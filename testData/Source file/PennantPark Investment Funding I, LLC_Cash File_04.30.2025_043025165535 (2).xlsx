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NNT JV\1 - BNP Credit Facility\Borrowing Base Reporting\2025\7. April\"/>
    </mc:Choice>
  </mc:AlternateContent>
  <xr:revisionPtr revIDLastSave="0" documentId="8_{65E48007-4CCA-47F9-910A-497570A6785C}" xr6:coauthVersionLast="47" xr6:coauthVersionMax="47" xr10:uidLastSave="{00000000-0000-0000-0000-000000000000}"/>
  <bookViews>
    <workbookView xWindow="14295" yWindow="0" windowWidth="14610" windowHeight="17385" firstSheet="6" activeTab="6" xr2:uid="{00000000-000D-0000-FFFF-FFFF00000000}"/>
  </bookViews>
  <sheets>
    <sheet name="Summary" sheetId="1" r:id="rId1"/>
    <sheet name="Transactions" sheetId="2" r:id="rId2"/>
    <sheet name="Outstanding Payments" sheetId="3" r:id="rId3"/>
    <sheet name="Sheet1" sheetId="6" r:id="rId4"/>
    <sheet name="Sheet2" sheetId="7" r:id="rId5"/>
    <sheet name="Loan List " sheetId="8" r:id="rId6"/>
    <sheet name="Holdings" sheetId="4" r:id="rId7"/>
    <sheet name="Pending Trades" sheetId="5" r:id="rId8"/>
  </sheets>
  <externalReferences>
    <externalReference r:id="rId9"/>
    <externalReference r:id="rId10"/>
    <externalReference r:id="rId11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F" hidden="1">#REF!</definedName>
    <definedName name="_1__123Graph_ACHART_1A" hidden="1">#REF!</definedName>
    <definedName name="_2__123Graph_BCHART_1A" hidden="1">#REF!</definedName>
    <definedName name="_3__123Graph_CCHART_1A" hidden="1">#REF!</definedName>
    <definedName name="_4__123Graph_DCHART_1A" hidden="1">#REF!</definedName>
    <definedName name="_5__123Graph_ECHART_1A" hidden="1">#REF!</definedName>
    <definedName name="_6__123Graph_FCHART_1A" hidden="1">#REF!</definedName>
    <definedName name="_dma1">#REF!</definedName>
    <definedName name="_dma2">#REF!</definedName>
    <definedName name="_dma3">#REF!</definedName>
    <definedName name="_dmb1">#REF!</definedName>
    <definedName name="_dmb2">#REF!</definedName>
    <definedName name="_dmc1">#REF!</definedName>
    <definedName name="_dmc2">#REF!</definedName>
    <definedName name="_dmd1">#REF!</definedName>
    <definedName name="_dmd2">#REF!</definedName>
    <definedName name="_Fill" hidden="1">#REF!</definedName>
    <definedName name="_Key1" hidden="1">#REF!</definedName>
    <definedName name="_Lag1">#REF!</definedName>
    <definedName name="_Lag2">#REF!</definedName>
    <definedName name="_Order1" hidden="1">255</definedName>
    <definedName name="_PV1">7</definedName>
    <definedName name="_Sort" hidden="1">#REF!</definedName>
    <definedName name="_xlcn.WorksheetConnection_HoldingsB7O113" hidden="1">Holdings!$B$7:$O$113</definedName>
    <definedName name="a">#REF!</definedName>
    <definedName name="A1loss">#REF!</definedName>
    <definedName name="A2loss">#REF!</definedName>
    <definedName name="A3loss">#REF!</definedName>
    <definedName name="AB">#REF!</definedName>
    <definedName name="AB_H">#REF!</definedName>
    <definedName name="AB_Orig">#REF!</definedName>
    <definedName name="ABS_Senior_____10">"FitchRecoverybyType"</definedName>
    <definedName name="ActiveRows">#REF!</definedName>
    <definedName name="Actual">#REF!</definedName>
    <definedName name="Actual12moChargeoffRatio">#REF!</definedName>
    <definedName name="Actual3moChargeoffRatio">#REF!</definedName>
    <definedName name="Actual3moDefaultRatio">#REF!</definedName>
    <definedName name="AdjAdvRate">#REF!</definedName>
    <definedName name="adv_rate">#REF!</definedName>
    <definedName name="adv_rate_reduced">#REF!</definedName>
    <definedName name="adv_rate_type">#REF!</definedName>
    <definedName name="advance_outstanding">#REF!</definedName>
    <definedName name="AdvancesOS">#REF!</definedName>
    <definedName name="agg_commit_bal">#REF!</definedName>
    <definedName name="AggregateAdjustedBalanceUSD">#REF!</definedName>
    <definedName name="AgingsDetail">#REF!</definedName>
    <definedName name="agreed_currency">#REF!</definedName>
    <definedName name="amort_adv_outstanding">#REF!</definedName>
    <definedName name="amort_period">#REF!</definedName>
    <definedName name="AOLB">#REF!</definedName>
    <definedName name="AOLBrange">#REF!</definedName>
    <definedName name="applicable_margin">#REF!</definedName>
    <definedName name="asfsdf">#REF!</definedName>
    <definedName name="ASH">#REF!</definedName>
    <definedName name="ASL">#REF!</definedName>
    <definedName name="asset_rating">#REF!</definedName>
    <definedName name="asset_types">#REF!</definedName>
    <definedName name="asset_value">#REF!</definedName>
    <definedName name="AUSTRALIA_NET">110</definedName>
    <definedName name="AUSTRIA_NET">107</definedName>
    <definedName name="AvailableCollections">#REF!</definedName>
    <definedName name="AverageABAgg">#REF!</definedName>
    <definedName name="AverageABL">#REF!</definedName>
    <definedName name="averageABL2">#REF!</definedName>
    <definedName name="AverageAgg">#REF!</definedName>
    <definedName name="b">#REF!</definedName>
    <definedName name="B1loss">#REF!</definedName>
    <definedName name="B2loss">#REF!</definedName>
    <definedName name="BackupServiceFee">#REF!</definedName>
    <definedName name="balances">#REF!</definedName>
    <definedName name="BeginningABAgg">#REF!</definedName>
    <definedName name="BeginningABL">#REF!</definedName>
    <definedName name="BegOPLB">#REF!</definedName>
    <definedName name="BegPeriodDate">#REF!</definedName>
    <definedName name="BEL_NET">111</definedName>
    <definedName name="BondBeg">#REF!</definedName>
    <definedName name="BondFin">#REF!</definedName>
    <definedName name="borrowing_base">#REF!</definedName>
    <definedName name="BorrowingBase">#REF!</definedName>
    <definedName name="BRA_NET">122</definedName>
    <definedName name="breakcolumn">#REF!</definedName>
    <definedName name="breakrownumber">#REF!</definedName>
    <definedName name="BRI_NET">104</definedName>
    <definedName name="C_1loss">#REF!</definedName>
    <definedName name="C_2loss">#REF!</definedName>
    <definedName name="C_L">#REF!</definedName>
    <definedName name="C_R">#REF!</definedName>
    <definedName name="CAD">#REF!</definedName>
    <definedName name="CADD">#REF!</definedName>
    <definedName name="CADRate">#REF!</definedName>
    <definedName name="Call">#REF!</definedName>
    <definedName name="CAN_NET">116</definedName>
    <definedName name="CHFRate">#REF!</definedName>
    <definedName name="choice">#REF!</definedName>
    <definedName name="CIQWBGuid" hidden="1">"Audax Credit Opportunities Offshore Ltd. Collateral Management Report_Audax _Current.xlsx"</definedName>
    <definedName name="Class">#REF!</definedName>
    <definedName name="ClassA1">#REF!</definedName>
    <definedName name="ClassA2">#REF!</definedName>
    <definedName name="ClassA3">#REF!</definedName>
    <definedName name="ClassB1">#REF!</definedName>
    <definedName name="ClassB2">#REF!</definedName>
    <definedName name="ClassC1">#REF!</definedName>
    <definedName name="ClassC2">#REF!</definedName>
    <definedName name="ClassD">#REF!</definedName>
    <definedName name="ClassE">#REF!</definedName>
    <definedName name="ClassF">#REF!</definedName>
    <definedName name="Classification">#REF!</definedName>
    <definedName name="ClassRange">#REF!</definedName>
    <definedName name="ClassStart">#REF!</definedName>
    <definedName name="closing_date">#REF!</definedName>
    <definedName name="collect_acct_int">#REF!</definedName>
    <definedName name="collect_acct_prin">#REF!</definedName>
    <definedName name="collect_acct_prin_net">#REF!</definedName>
    <definedName name="collect_acct_total">#REF!</definedName>
    <definedName name="commit_fee">#REF!</definedName>
    <definedName name="commit_fee_rate">#REF!</definedName>
    <definedName name="CoNames">#REF!</definedName>
    <definedName name="Concentration.Den">#REF!</definedName>
    <definedName name="ConcentrationExcess">#REF!</definedName>
    <definedName name="ConcentrationExcesses">#REF!</definedName>
    <definedName name="Country">#REF!</definedName>
    <definedName name="Currencies">#REF!</definedName>
    <definedName name="Currency">#REF!</definedName>
    <definedName name="CurrentDefaultRatio">#REF!</definedName>
    <definedName name="CurveBeg">#REF!</definedName>
    <definedName name="CurveFin">#REF!</definedName>
    <definedName name="CustodianFee">#REF!</definedName>
    <definedName name="CutOffBackup">#REF!</definedName>
    <definedName name="CutOffCopyTarget">#REF!</definedName>
    <definedName name="D_L">#REF!</definedName>
    <definedName name="D_NET">5</definedName>
    <definedName name="D_R">#REF!</definedName>
    <definedName name="D1loss">#REF!</definedName>
    <definedName name="D2loss">#REF!</definedName>
    <definedName name="daf.">#REF!</definedName>
    <definedName name="data">#REF!</definedName>
    <definedName name="_xlnm.Database">#REF!</definedName>
    <definedName name="DataSortSelection">#REF!</definedName>
    <definedName name="DAYAN" hidden="1">{"LIBOR",#N/A,TRUE,"Model";"Caps",#N/A,TRUE,"Model";"Assets",#N/A,TRUE,"Model";"Liabilities",#N/A,TRUE,"Model";"Tests",#N/A,TRUE,"Model";"Results",#N/A,TRUE,"Model"}</definedName>
    <definedName name="dboutputA1">#REF!</definedName>
    <definedName name="dboutputA2">#REF!</definedName>
    <definedName name="dboutputB1">#REF!</definedName>
    <definedName name="dboutputB2">#REF!</definedName>
    <definedName name="dboutputC1">#REF!</definedName>
    <definedName name="dboutputC2">#REF!</definedName>
    <definedName name="dboutputD1">#REF!</definedName>
    <definedName name="dboutputD2">#REF!</definedName>
    <definedName name="dboutputE1">#REF!</definedName>
    <definedName name="dboutputE2">#REF!</definedName>
    <definedName name="deal_name">#REF!</definedName>
    <definedName name="default_matrix">#REF!</definedName>
    <definedName name="DefaultCurve">#REF!</definedName>
    <definedName name="defaultcurvemoodys">#REF!</definedName>
    <definedName name="DefaultUtil">#REF!</definedName>
    <definedName name="DefCurve">#REF!</definedName>
    <definedName name="DefTiming1">#REF!</definedName>
    <definedName name="DefTiming2">#REF!</definedName>
    <definedName name="DelayBeg">#REF!</definedName>
    <definedName name="DelayFin">#REF!</definedName>
    <definedName name="Delete1">#REF!</definedName>
    <definedName name="Delete2">#REF!</definedName>
    <definedName name="DeleteRange3">#REF!</definedName>
    <definedName name="DEN_NET">100</definedName>
    <definedName name="determination_date">#REF!</definedName>
    <definedName name="diffa1">#REF!</definedName>
    <definedName name="diffa2">#REF!</definedName>
    <definedName name="diffa3">#REF!</definedName>
    <definedName name="diffb1">#REF!</definedName>
    <definedName name="diffb2">#REF!</definedName>
    <definedName name="diffc1">#REF!</definedName>
    <definedName name="diffc2">#REF!</definedName>
    <definedName name="diffd1">#REF!</definedName>
    <definedName name="diffd2">#REF!</definedName>
    <definedName name="diffdura1">#REF!</definedName>
    <definedName name="diffdura2">#REF!</definedName>
    <definedName name="diffdura3">#REF!</definedName>
    <definedName name="diffdurb1">#REF!</definedName>
    <definedName name="diffdurb2">#REF!</definedName>
    <definedName name="diffdurc1">#REF!</definedName>
    <definedName name="diffdurc2">#REF!</definedName>
    <definedName name="diffdurd1">#REF!</definedName>
    <definedName name="diffdurd2">#REF!</definedName>
    <definedName name="diffdure">#REF!</definedName>
    <definedName name="diffe">#REF!</definedName>
    <definedName name="diffpvswap">#REF!</definedName>
    <definedName name="DIRTY">4</definedName>
    <definedName name="DistributionDate">#REF!</definedName>
    <definedName name="Div.Score.Table">#REF!</definedName>
    <definedName name="DiversityScore">#REF!</definedName>
    <definedName name="DKKRate">#REF!</definedName>
    <definedName name="dme">#REF!</definedName>
    <definedName name="dpwam">#REF!</definedName>
    <definedName name="dpwam1">#REF!</definedName>
    <definedName name="dscore">#REF!</definedName>
    <definedName name="dscore1">#REF!</definedName>
    <definedName name="dscore2">#REF!</definedName>
    <definedName name="DurationA1">#REF!</definedName>
    <definedName name="DurationA2">#REF!</definedName>
    <definedName name="DurationA3">#REF!</definedName>
    <definedName name="DurationB1">#REF!</definedName>
    <definedName name="DurationB2">#REF!</definedName>
    <definedName name="DurationC1">#REF!</definedName>
    <definedName name="DurationC2">#REF!</definedName>
    <definedName name="DurationD1">#REF!</definedName>
    <definedName name="DurationE">#REF!</definedName>
    <definedName name="durationtable">#REF!</definedName>
    <definedName name="earliest_maturity">#REF!</definedName>
    <definedName name="EffectiveDefaultRate">#REF!</definedName>
    <definedName name="endAOLB">#REF!</definedName>
    <definedName name="EndingABAgg">#REF!</definedName>
    <definedName name="EndingABL">#REF!</definedName>
    <definedName name="EndPeriodDate">#REF!</definedName>
    <definedName name="eod">#REF!</definedName>
    <definedName name="eqloss">#REF!</definedName>
    <definedName name="EquityContribution">#REF!</definedName>
    <definedName name="EraseRatings">#REF!</definedName>
    <definedName name="EstimatedAmount">#REF!</definedName>
    <definedName name="EU.Score">#REF!</definedName>
    <definedName name="eur">#REF!</definedName>
    <definedName name="EURRate">#REF!</definedName>
    <definedName name="excess_conc_amt">#REF!</definedName>
    <definedName name="ExcessConcentrationAmount">#REF!</definedName>
    <definedName name="ExcessWithoutDuplication">#REF!</definedName>
    <definedName name="expduration1">#REF!</definedName>
    <definedName name="expduration2">#REF!</definedName>
    <definedName name="expduration3">#REF!</definedName>
    <definedName name="expduration4">#REF!</definedName>
    <definedName name="expduration5">#REF!</definedName>
    <definedName name="expduration6">#REF!</definedName>
    <definedName name="expduration7">#REF!</definedName>
    <definedName name="expduration8">#REF!</definedName>
    <definedName name="expduration9">#REF!</definedName>
    <definedName name="exploss1">#REF!</definedName>
    <definedName name="exploss2">#REF!</definedName>
    <definedName name="exploss3">#REF!</definedName>
    <definedName name="exploss4">#REF!</definedName>
    <definedName name="exploss5">#REF!</definedName>
    <definedName name="exploss6">#REF!</definedName>
    <definedName name="exploss7">#REF!</definedName>
    <definedName name="exploss8">#REF!</definedName>
    <definedName name="exploss9">#REF!</definedName>
    <definedName name="ExpLossA1">#REF!</definedName>
    <definedName name="ExpLossA2">#REF!</definedName>
    <definedName name="ExpLossA3">#REF!</definedName>
    <definedName name="ExpLossB1">#REF!</definedName>
    <definedName name="ExpLossB2">#REF!</definedName>
    <definedName name="ExpLossC1">#REF!</definedName>
    <definedName name="ExpLossC2">#REF!</definedName>
    <definedName name="ExpLossD1">#REF!</definedName>
    <definedName name="ExpLossE">#REF!</definedName>
    <definedName name="explosspath">#REF!</definedName>
    <definedName name="Exposure">#REF!</definedName>
    <definedName name="F_NET">6</definedName>
    <definedName name="facility_amount">#REF!</definedName>
    <definedName name="FacilityAmount">#REF!</definedName>
    <definedName name="FacilityEffectiveDate">#REF!</definedName>
    <definedName name="FacilityFee">#REF!</definedName>
    <definedName name="fee_basis_amt">#REF!</definedName>
    <definedName name="fgdf">#REF!</definedName>
    <definedName name="FIN_NET">102</definedName>
    <definedName name="final_mat">#REF!</definedName>
    <definedName name="FIX">#REF!</definedName>
    <definedName name="FixedFloating">#REF!</definedName>
    <definedName name="FixedRatePerct">#REF!</definedName>
    <definedName name="FRA_NET">112</definedName>
    <definedName name="freq">#REF!</definedName>
    <definedName name="fz0">#REF!</definedName>
    <definedName name="gbp">#REF!</definedName>
    <definedName name="GBPRate">#REF!</definedName>
    <definedName name="GER_NET">101</definedName>
    <definedName name="GetRatingOutput">#REF!</definedName>
    <definedName name="Grade2ExcessAmount">#REF!</definedName>
    <definedName name="GRE_NET">117</definedName>
    <definedName name="GrossDef1">#REF!</definedName>
    <definedName name="GrossDef2">#REF!</definedName>
    <definedName name="HedgeAmount">#REF!</definedName>
    <definedName name="HedgeNotionalAmount">#REF!</definedName>
    <definedName name="HedgePayments">#REF!</definedName>
    <definedName name="HedgePerct">#REF!</definedName>
    <definedName name="HedgeThresholdAmount">#REF!</definedName>
    <definedName name="high_code">#REF!</definedName>
    <definedName name="high_ind_code">#REF!</definedName>
    <definedName name="high_sen_code">#REF!</definedName>
    <definedName name="HOL_NET">105</definedName>
    <definedName name="IncludeYN">#REF!</definedName>
    <definedName name="Industry">#REF!</definedName>
    <definedName name="industry_concn">#REF!</definedName>
    <definedName name="IndustryConcentration">#REF!</definedName>
    <definedName name="IndustryLimits">#REF!</definedName>
    <definedName name="IndustryRange">#REF!</definedName>
    <definedName name="IndustryStart">#REF!</definedName>
    <definedName name="InitUtil">#REF!</definedName>
    <definedName name="int_accrual_beg_date">#REF!</definedName>
    <definedName name="int_accrual_end_date">#REF!</definedName>
    <definedName name="IntCollections">#REF!</definedName>
    <definedName name="INTEREST">2</definedName>
    <definedName name="interest_accrual_days">#REF!</definedName>
    <definedName name="interim_bb_period">#REF!</definedName>
    <definedName name="IntExpense">#REF!</definedName>
    <definedName name="iorder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ST_REUT" hidden="1">"c3640"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HIGH_REC_REUT" hidden="1">"c3870"</definedName>
    <definedName name="IQ_EST_NUM_HIGHEST_REC_REUT" hidden="1">"c3869"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1387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43019.6044444444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ENUE" hidden="1">"c1422"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ISION_DATE" hidden="1">39545.6064814815</definedName>
    <definedName name="IQ_REVISION_DATE_" hidden="1">38765.6984722222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_REUT" hidden="1">"c4051"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_NET">103</definedName>
    <definedName name="IssuerIDs">#REF!</definedName>
    <definedName name="ITA_NET">115</definedName>
    <definedName name="JAP_NET">113</definedName>
    <definedName name="jurisdication">#REF!</definedName>
    <definedName name="KOR_NET">121</definedName>
    <definedName name="lab_assets_CDSCounterpartyID">#REF!</definedName>
    <definedName name="lab_assets_financialGuarantorID">#REF!</definedName>
    <definedName name="lab_assets_longShort">#REF!</definedName>
    <definedName name="lab_counterparty_assetType">#REF!</definedName>
    <definedName name="lab_counterparty_counterparty">#REF!</definedName>
    <definedName name="lab_counterparty_counterpartyID">#REF!</definedName>
    <definedName name="lab_counterparty_countryCode">#REF!</definedName>
    <definedName name="lab_counterparty_soverignForeignCurrencyRating">#REF!</definedName>
    <definedName name="lab_counterparty_spCreditRating">#REF!</definedName>
    <definedName name="Label_Collateral_Type">#REF!</definedName>
    <definedName name="Label_Industry">#REF!</definedName>
    <definedName name="Label_Ratings">#REF!</definedName>
    <definedName name="Lag1a">#REF!</definedName>
    <definedName name="Lag2a">#REF!</definedName>
    <definedName name="LargeLoanLimit">#REF!</definedName>
    <definedName name="LAT">#REF!</definedName>
    <definedName name="latest_maturity">#REF!</definedName>
    <definedName name="LeverageRatio">#REF!</definedName>
    <definedName name="LIBOR">#REF!</definedName>
    <definedName name="libor_rate">#REF!</definedName>
    <definedName name="LiborBeg">#REF!</definedName>
    <definedName name="LiborFin">#REF!</definedName>
    <definedName name="lied_table">#REF!</definedName>
    <definedName name="lien_type">#REF!</definedName>
    <definedName name="limcount" hidden="1">1</definedName>
    <definedName name="Liquidation1">#REF!</definedName>
    <definedName name="Liquidation2">#REF!</definedName>
    <definedName name="loan">#REF!</definedName>
    <definedName name="Loan_Asset">#REF!</definedName>
    <definedName name="LoanAmount">#REF!</definedName>
    <definedName name="LoanCountSIC">#REF!</definedName>
    <definedName name="LoanSortSelection">#REF!</definedName>
    <definedName name="lockout1">#REF!</definedName>
    <definedName name="lockout2">#REF!</definedName>
    <definedName name="loss_rates">#REF!</definedName>
    <definedName name="loss_sev_used">#REF!</definedName>
    <definedName name="loss_severity">#REF!</definedName>
    <definedName name="loss_threshold">#REF!</definedName>
    <definedName name="lossA1">#REF!</definedName>
    <definedName name="lossA2">#REF!</definedName>
    <definedName name="lossA3">#REF!</definedName>
    <definedName name="lossB1">#REF!</definedName>
    <definedName name="lossB2">#REF!</definedName>
    <definedName name="LossC1">#REF!</definedName>
    <definedName name="lossC2">#REF!</definedName>
    <definedName name="lossD1">#REF!</definedName>
    <definedName name="lossE">#REF!</definedName>
    <definedName name="losstable">#REF!</definedName>
    <definedName name="low_code">#REF!</definedName>
    <definedName name="low_ind_code">#REF!</definedName>
    <definedName name="low_sen_code">#REF!</definedName>
    <definedName name="Lst_MoodysRatings">#REF!</definedName>
    <definedName name="Lst_SPRatings">#REF!</definedName>
    <definedName name="lt_a">#REF!</definedName>
    <definedName name="lt_aa">#REF!</definedName>
    <definedName name="lt_aaa">#REF!</definedName>
    <definedName name="lt_aam">#REF!</definedName>
    <definedName name="lt_aap">#REF!</definedName>
    <definedName name="lt_am">#REF!</definedName>
    <definedName name="lt_ap">#REF!</definedName>
    <definedName name="lt_b">#REF!</definedName>
    <definedName name="lt_bb">#REF!</definedName>
    <definedName name="lt_bbb">#REF!</definedName>
    <definedName name="lt_bbbm">#REF!</definedName>
    <definedName name="lt_bbbp">#REF!</definedName>
    <definedName name="lt_bbm">#REF!</definedName>
    <definedName name="lt_bbp">#REF!</definedName>
    <definedName name="lt_bm">#REF!</definedName>
    <definedName name="lt_bp">#REF!</definedName>
    <definedName name="lt_ccc">#REF!</definedName>
    <definedName name="lt_cccm">#REF!</definedName>
    <definedName name="lt_cccp">#REF!</definedName>
    <definedName name="MacroStart">#REF!</definedName>
    <definedName name="MarktoMarket">#REF!</definedName>
    <definedName name="max_amt">#REF!</definedName>
    <definedName name="max_assets">#REF!</definedName>
    <definedName name="max_loss">#REF!</definedName>
    <definedName name="Max12moChargeoffRatio">#REF!</definedName>
    <definedName name="Max3moChargeoffRatio">#REF!</definedName>
    <definedName name="Max3moDefaultRatio">#REF!</definedName>
    <definedName name="MaxAvailability">#REF!</definedName>
    <definedName name="MaximumFacilityAmount">#REF!</definedName>
    <definedName name="MaxLeverageRatio">#REF!</definedName>
    <definedName name="mdygrp1dft">#REF!</definedName>
    <definedName name="mdygrp2dft">#REF!</definedName>
    <definedName name="mendbond">#REF!</definedName>
    <definedName name="mendcurve">#REF!</definedName>
    <definedName name="mendrate">#REF!</definedName>
    <definedName name="meya1">#REF!</definedName>
    <definedName name="meya2">#REF!</definedName>
    <definedName name="meya3">#REF!</definedName>
    <definedName name="meyb1">#REF!</definedName>
    <definedName name="meyb2">#REF!</definedName>
    <definedName name="meyc1">#REF!</definedName>
    <definedName name="meyc2">#REF!</definedName>
    <definedName name="meyd1">#REF!</definedName>
    <definedName name="meyd2">#REF!</definedName>
    <definedName name="meye">#REF!</definedName>
    <definedName name="min_amt">#REF!</definedName>
    <definedName name="min_obligors">#REF!</definedName>
    <definedName name="min_thresh">#REF!</definedName>
    <definedName name="Min3moPortYield">#REF!</definedName>
    <definedName name="MinimumTargetAmount">#REF!</definedName>
    <definedName name="MinNetWorth">#REF!</definedName>
    <definedName name="Minnn">#REF!</definedName>
    <definedName name="MinOCamount">#REF!</definedName>
    <definedName name="moodys_ind_no">#REF!</definedName>
    <definedName name="Moodys_Industry">#REF!</definedName>
    <definedName name="Moodys_Senior">#REF!</definedName>
    <definedName name="Moodys_Sub">#REF!</definedName>
    <definedName name="Moodys2010">#REF!</definedName>
    <definedName name="MoodysRatings">#REF!</definedName>
    <definedName name="MoodysRatingsq">#REF!</definedName>
    <definedName name="mstartbond">#REF!</definedName>
    <definedName name="mstartcurve">#REF!</definedName>
    <definedName name="mstartrate">#REF!</definedName>
    <definedName name="names">#REF!</definedName>
    <definedName name="NetWorth">#REF!</definedName>
    <definedName name="nnnnnnnnnnnnnnnnnnn" hidden="1">{"LIBOR",#N/A,TRUE,"Model";"Caps",#N/A,TRUE,"Model";"Assets",#N/A,TRUE,"Model";"Liabilities",#N/A,TRUE,"Model";"Tests",#N/A,TRUE,"Model";"Results",#N/A,TRUE,"Model"}</definedName>
    <definedName name="NOKRate">#REF!</definedName>
    <definedName name="NOR_NET">106</definedName>
    <definedName name="notch_lim1">#REF!</definedName>
    <definedName name="notch_lim2">#REF!</definedName>
    <definedName name="notch_lim3">#REF!</definedName>
    <definedName name="notch_limit">#REF!</definedName>
    <definedName name="NR">#REF!</definedName>
    <definedName name="num_assets">#REF!</definedName>
    <definedName name="num_bins">#REF!</definedName>
    <definedName name="num_notch_a">#REF!</definedName>
    <definedName name="num_notch_b">#REF!</definedName>
    <definedName name="num_notch_c">#REF!</definedName>
    <definedName name="num_notch_d">#REF!</definedName>
    <definedName name="num_obligors">#REF!</definedName>
    <definedName name="O_S_L">#REF!</definedName>
    <definedName name="O_S_R">#REF!</definedName>
    <definedName name="OBLIG">#REF!</definedName>
    <definedName name="ObligorCount">#REF!</definedName>
    <definedName name="ObligorLimits">#REF!</definedName>
    <definedName name="ObligorRange">#REF!</definedName>
    <definedName name="ObligorTotal">#REF!</definedName>
    <definedName name="ObligorTotalRange">#REF!</definedName>
    <definedName name="OCamount">#REF!</definedName>
    <definedName name="OF_A_32">9</definedName>
    <definedName name="OF_AN_01">8</definedName>
    <definedName name="opt_ratings">#REF!</definedName>
    <definedName name="OtherColl">#REF!</definedName>
    <definedName name="outputtable">#REF!</definedName>
    <definedName name="payment_date">#REF!</definedName>
    <definedName name="PaymentDate">#REF!</definedName>
    <definedName name="pchksum">#REF!</definedName>
    <definedName name="PeakRange">#REF!</definedName>
    <definedName name="percentage_unused">'[1]Summary '!$I$39</definedName>
    <definedName name="PercentageH">#REF!</definedName>
    <definedName name="PercentageL">#REF!</definedName>
    <definedName name="PeriodEnd">#REF!</definedName>
    <definedName name="plot_loss_distn">#REF!</definedName>
    <definedName name="plot_pool_distn">#REF!</definedName>
    <definedName name="PoolAgings">#REF!</definedName>
    <definedName name="PortYield">#REF!</definedName>
    <definedName name="PrePays">#REF!</definedName>
    <definedName name="PRINCIPAL">1</definedName>
    <definedName name="PrincipalCollection">#REF!</definedName>
    <definedName name="PrincipalCollectionCash">#REF!</definedName>
    <definedName name="PrinCollections">#REF!</definedName>
    <definedName name="PrintResults">#REF!</definedName>
    <definedName name="ProgramFee">#REF!</definedName>
    <definedName name="PSelect">"Dialog Frame 1"</definedName>
    <definedName name="Q">#REF!</definedName>
    <definedName name="qa">#REF!</definedName>
    <definedName name="QQ">#REF!</definedName>
    <definedName name="RampPeriod">#REF!</definedName>
    <definedName name="RampPeriodEnd">#REF!</definedName>
    <definedName name="Ranges">#REF!</definedName>
    <definedName name="Rates">#REF!</definedName>
    <definedName name="rating_table">#REF!</definedName>
    <definedName name="RatingOutput">#REF!</definedName>
    <definedName name="ratings_ccc">#REF!</definedName>
    <definedName name="ratings_moodys">#REF!</definedName>
    <definedName name="ratings_sp">#REF!</definedName>
    <definedName name="recincr">#REF!</definedName>
    <definedName name="Recov1">#REF!</definedName>
    <definedName name="Recov2">#REF!</definedName>
    <definedName name="Recovery">#REF!</definedName>
    <definedName name="recprec">#REF!</definedName>
    <definedName name="ref">#REF!</definedName>
    <definedName name="reinvest_term_date">#REF!</definedName>
    <definedName name="ReportAsOf">#REF!</definedName>
    <definedName name="ReportDate">#REF!</definedName>
    <definedName name="ReportingDate">#REF!</definedName>
    <definedName name="Repurchased">#REF!</definedName>
    <definedName name="ReqEquityContribution">#REF!</definedName>
    <definedName name="RequiredReserveAmount">#REF!</definedName>
    <definedName name="ReserveReleases">#REF!</definedName>
    <definedName name="RevolverFlag">#REF!</definedName>
    <definedName name="rngMAsOfDate">#REF!</definedName>
    <definedName name="rngMCashBox">#REF!</definedName>
    <definedName name="rngMDealName">#REF!</definedName>
    <definedName name="rngMInputs">#REF!</definedName>
    <definedName name="rngMPath">#REF!</definedName>
    <definedName name="rngOC">#REF!</definedName>
    <definedName name="rngWAP">#REF!</definedName>
    <definedName name="rngWAR">#REF!</definedName>
    <definedName name="rngWAS">#REF!</definedName>
    <definedName name="Rollforward">#REF!</definedName>
    <definedName name="s">#REF!</definedName>
    <definedName name="S_L">#REF!</definedName>
    <definedName name="S_R">#REF!</definedName>
    <definedName name="sampling_opt">#REF!</definedName>
    <definedName name="Scenario1">#REF!</definedName>
    <definedName name="Scenario2">#REF!</definedName>
    <definedName name="ScenarioRange">#REF!</definedName>
    <definedName name="SchedPrinColl">#REF!</definedName>
    <definedName name="ScoreStart">#REF!</definedName>
    <definedName name="sdefincr">#REF!</definedName>
    <definedName name="SEKRate">#REF!</definedName>
    <definedName name="sencount" hidden="1">1</definedName>
    <definedName name="servicing_fee_sr">#REF!</definedName>
    <definedName name="servicing_fee_sub">#REF!</definedName>
    <definedName name="ServicingFee">#REF!</definedName>
    <definedName name="ShiftFactor">#REF!</definedName>
    <definedName name="shiodsf">#REF!</definedName>
    <definedName name="SICcodes">#REF!</definedName>
    <definedName name="SIClist">#REF!</definedName>
    <definedName name="SICPerct">#REF!</definedName>
    <definedName name="SICRange">#REF!</definedName>
    <definedName name="SicSortRange">#REF!</definedName>
    <definedName name="sigma">#REF!</definedName>
    <definedName name="SigmaRange">#REF!</definedName>
    <definedName name="SIN_NET">119</definedName>
    <definedName name="SINKING_FUND">10</definedName>
    <definedName name="SNPIntCurve">#REF!</definedName>
    <definedName name="SNPOutput">#REF!</definedName>
    <definedName name="SNPOutput1">#REF!</definedName>
    <definedName name="SP">#REF!</definedName>
    <definedName name="SP_Industry">#REF!</definedName>
    <definedName name="SPA_NET">114</definedName>
    <definedName name="SPDeleteRange">#REF!</definedName>
    <definedName name="SPindustries">#REF!</definedName>
    <definedName name="SPindustriesRange">#REF!</definedName>
    <definedName name="SPRatings">#REF!</definedName>
    <definedName name="sprecise">#REF!</definedName>
    <definedName name="SPStart">#REF!</definedName>
    <definedName name="Start">#REF!</definedName>
    <definedName name="Start1">#REF!</definedName>
    <definedName name="Start2">#REF!</definedName>
    <definedName name="StartAOLB">#REF!</definedName>
    <definedName name="StartObligor">#REF!</definedName>
    <definedName name="StartSic">#REF!</definedName>
    <definedName name="StateInsertRange">#REF!</definedName>
    <definedName name="SumAssetSales">#REF!</definedName>
    <definedName name="SumCommitted">#REF!</definedName>
    <definedName name="SumNetCommitted">#REF!</definedName>
    <definedName name="SwapBal">#REF!</definedName>
    <definedName name="SWE_NET">108</definedName>
    <definedName name="SWI_NET">118</definedName>
    <definedName name="SyndLoanTotalDebt">#REF!</definedName>
    <definedName name="SyndLoanTrancheSize">#REF!</definedName>
    <definedName name="Tables">#REF!</definedName>
    <definedName name="TenLargestLoans">#REF!</definedName>
    <definedName name="TermEventFlag">#REF!</definedName>
    <definedName name="TmPayOff">#REF!</definedName>
    <definedName name="TotalLoan">#REF!</definedName>
    <definedName name="TotalObligor">#REF!</definedName>
    <definedName name="trustee_fee_basis">#REF!</definedName>
    <definedName name="UDCopyArea">#REF!</definedName>
    <definedName name="UDCopyTarget">#REF!</definedName>
    <definedName name="unf_res_req_amt">#REF!</definedName>
    <definedName name="unf_res_req_amt_net">#REF!</definedName>
    <definedName name="unfunded_reserve_acct">#REF!</definedName>
    <definedName name="UnfundedExposureAccount">#REF!</definedName>
    <definedName name="UnfundedExposureAmount">#REF!</definedName>
    <definedName name="UnitScoreRange">#REF!</definedName>
    <definedName name="USA_NET">109</definedName>
    <definedName name="usd">#REF!</definedName>
    <definedName name="use_notched_ratings">#REF!</definedName>
    <definedName name="WA.Adv.Rate">#REF!</definedName>
    <definedName name="WAAdvRate">#REF!</definedName>
    <definedName name="wadp">#REF!</definedName>
    <definedName name="wal">#REF!</definedName>
    <definedName name="wals">#REF!</definedName>
    <definedName name="wam">#REF!</definedName>
    <definedName name="wam_a">#REF!</definedName>
    <definedName name="wam_aa">#REF!</definedName>
    <definedName name="wam_aaa">#REF!</definedName>
    <definedName name="wam_aam">#REF!</definedName>
    <definedName name="wam_aap">#REF!</definedName>
    <definedName name="wam_am">#REF!</definedName>
    <definedName name="wam_ap">#REF!</definedName>
    <definedName name="wam_b">#REF!</definedName>
    <definedName name="wam_bb">#REF!</definedName>
    <definedName name="wam_bbb">#REF!</definedName>
    <definedName name="wam_bbbm">#REF!</definedName>
    <definedName name="wam_bbbp">#REF!</definedName>
    <definedName name="wam_bbm">#REF!</definedName>
    <definedName name="wam_bbp">#REF!</definedName>
    <definedName name="wam_bm">#REF!</definedName>
    <definedName name="wam_bp">#REF!</definedName>
    <definedName name="wam_ccc">#REF!</definedName>
    <definedName name="wam_cccm">#REF!</definedName>
    <definedName name="wam_cccp">#REF!</definedName>
    <definedName name="wam1_a">#REF!</definedName>
    <definedName name="wam1_aa">#REF!</definedName>
    <definedName name="wam1_aaa">#REF!</definedName>
    <definedName name="wam1_aam">#REF!</definedName>
    <definedName name="wam1_aap">#REF!</definedName>
    <definedName name="wam1_am">#REF!</definedName>
    <definedName name="wam1_ap">#REF!</definedName>
    <definedName name="wam1_b">#REF!</definedName>
    <definedName name="wam1_bb">#REF!</definedName>
    <definedName name="wam1_bbb">#REF!</definedName>
    <definedName name="wam1_bbbm">#REF!</definedName>
    <definedName name="wam1_bbbp">#REF!</definedName>
    <definedName name="wam1_bbm">#REF!</definedName>
    <definedName name="wam1_bbp">#REF!</definedName>
    <definedName name="wam1_bm">#REF!</definedName>
    <definedName name="wam1_bp">#REF!</definedName>
    <definedName name="wam1_ccc">#REF!</definedName>
    <definedName name="wam1_cccm">#REF!</definedName>
    <definedName name="wam1_cccp">#REF!</definedName>
    <definedName name="WAS">#REF!</definedName>
    <definedName name="WeightedAverageAdvanceRate">#REF!</definedName>
    <definedName name="wrn.Assumptions." hidden="1">{"Assumptions",#N/A,FALSE,"Model"}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tdAvgApplicablePercentage">#REF!</definedName>
    <definedName name="WtdAvgLife">#REF!</definedName>
    <definedName name="ww" hidden="1">{"Assumptions",#N/A,FALSE,"Model"}</definedName>
    <definedName name="X_L">#REF!</definedName>
    <definedName name="X_R">#REF!</definedName>
    <definedName name="YesNo">#REF!</definedName>
    <definedName name="zsdsdf">#REF!</definedName>
  </definedNames>
  <calcPr calcId="191028"/>
  <pivotCaches>
    <pivotCache cacheId="234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Holdings!$B$7:$O$1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9" i="6" l="1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M1" i="6"/>
  <c r="N1" i="6" s="1"/>
  <c r="O1" i="6" s="1"/>
  <c r="P1" i="6" s="1"/>
  <c r="Q1" i="6" s="1"/>
  <c r="R1" i="6" s="1"/>
  <c r="S1" i="6" s="1"/>
  <c r="T1" i="6" s="1"/>
  <c r="U1" i="6" s="1"/>
  <c r="V1" i="6" s="1"/>
  <c r="W1" i="6" s="1"/>
  <c r="L1" i="6"/>
  <c r="W79" i="6"/>
  <c r="V79" i="6"/>
  <c r="U79" i="6"/>
  <c r="T79" i="6"/>
  <c r="S79" i="6"/>
  <c r="R79" i="6"/>
  <c r="W78" i="6"/>
  <c r="V78" i="6"/>
  <c r="U78" i="6"/>
  <c r="T78" i="6"/>
  <c r="S78" i="6"/>
  <c r="R78" i="6"/>
  <c r="W77" i="6"/>
  <c r="V77" i="6"/>
  <c r="U77" i="6"/>
  <c r="T77" i="6"/>
  <c r="S77" i="6"/>
  <c r="R77" i="6"/>
  <c r="W76" i="6"/>
  <c r="V76" i="6"/>
  <c r="U76" i="6"/>
  <c r="T76" i="6"/>
  <c r="S76" i="6"/>
  <c r="R76" i="6"/>
  <c r="W75" i="6"/>
  <c r="V75" i="6"/>
  <c r="U75" i="6"/>
  <c r="T75" i="6"/>
  <c r="S75" i="6"/>
  <c r="R75" i="6"/>
  <c r="W74" i="6"/>
  <c r="V74" i="6"/>
  <c r="U74" i="6"/>
  <c r="T74" i="6"/>
  <c r="S74" i="6"/>
  <c r="R74" i="6"/>
  <c r="W73" i="6"/>
  <c r="V73" i="6"/>
  <c r="U73" i="6"/>
  <c r="T73" i="6"/>
  <c r="S73" i="6"/>
  <c r="R73" i="6"/>
  <c r="W72" i="6"/>
  <c r="V72" i="6"/>
  <c r="U72" i="6"/>
  <c r="T72" i="6"/>
  <c r="S72" i="6"/>
  <c r="R72" i="6"/>
  <c r="W71" i="6"/>
  <c r="V71" i="6"/>
  <c r="U71" i="6"/>
  <c r="T71" i="6"/>
  <c r="S71" i="6"/>
  <c r="R71" i="6"/>
  <c r="W70" i="6"/>
  <c r="V70" i="6"/>
  <c r="U70" i="6"/>
  <c r="T70" i="6"/>
  <c r="S70" i="6"/>
  <c r="R70" i="6"/>
  <c r="W69" i="6"/>
  <c r="V69" i="6"/>
  <c r="U69" i="6"/>
  <c r="T69" i="6"/>
  <c r="S69" i="6"/>
  <c r="R69" i="6"/>
  <c r="W68" i="6"/>
  <c r="V68" i="6"/>
  <c r="U68" i="6"/>
  <c r="T68" i="6"/>
  <c r="S68" i="6"/>
  <c r="R68" i="6"/>
  <c r="W67" i="6"/>
  <c r="V67" i="6"/>
  <c r="U67" i="6"/>
  <c r="T67" i="6"/>
  <c r="S67" i="6"/>
  <c r="R67" i="6"/>
  <c r="W66" i="6"/>
  <c r="V66" i="6"/>
  <c r="U66" i="6"/>
  <c r="T66" i="6"/>
  <c r="S66" i="6"/>
  <c r="R66" i="6"/>
  <c r="W65" i="6"/>
  <c r="V65" i="6"/>
  <c r="U65" i="6"/>
  <c r="T65" i="6"/>
  <c r="S65" i="6"/>
  <c r="R65" i="6"/>
  <c r="W64" i="6"/>
  <c r="V64" i="6"/>
  <c r="U64" i="6"/>
  <c r="T64" i="6"/>
  <c r="S64" i="6"/>
  <c r="R64" i="6"/>
  <c r="W63" i="6"/>
  <c r="V63" i="6"/>
  <c r="U63" i="6"/>
  <c r="T63" i="6"/>
  <c r="S63" i="6"/>
  <c r="R63" i="6"/>
  <c r="W62" i="6"/>
  <c r="V62" i="6"/>
  <c r="U62" i="6"/>
  <c r="T62" i="6"/>
  <c r="S62" i="6"/>
  <c r="R62" i="6"/>
  <c r="W61" i="6"/>
  <c r="V61" i="6"/>
  <c r="U61" i="6"/>
  <c r="T61" i="6"/>
  <c r="S61" i="6"/>
  <c r="R61" i="6"/>
  <c r="W60" i="6"/>
  <c r="V60" i="6"/>
  <c r="U60" i="6"/>
  <c r="T60" i="6"/>
  <c r="S60" i="6"/>
  <c r="R60" i="6"/>
  <c r="W59" i="6"/>
  <c r="V59" i="6"/>
  <c r="U59" i="6"/>
  <c r="T59" i="6"/>
  <c r="S59" i="6"/>
  <c r="R59" i="6"/>
  <c r="W58" i="6"/>
  <c r="V58" i="6"/>
  <c r="U58" i="6"/>
  <c r="T58" i="6"/>
  <c r="S58" i="6"/>
  <c r="R58" i="6"/>
  <c r="W57" i="6"/>
  <c r="V57" i="6"/>
  <c r="U57" i="6"/>
  <c r="T57" i="6"/>
  <c r="S57" i="6"/>
  <c r="R57" i="6"/>
  <c r="W56" i="6"/>
  <c r="V56" i="6"/>
  <c r="U56" i="6"/>
  <c r="T56" i="6"/>
  <c r="S56" i="6"/>
  <c r="R56" i="6"/>
  <c r="W55" i="6"/>
  <c r="V55" i="6"/>
  <c r="U55" i="6"/>
  <c r="T55" i="6"/>
  <c r="S55" i="6"/>
  <c r="R55" i="6"/>
  <c r="W54" i="6"/>
  <c r="V54" i="6"/>
  <c r="U54" i="6"/>
  <c r="T54" i="6"/>
  <c r="S54" i="6"/>
  <c r="R54" i="6"/>
  <c r="W53" i="6"/>
  <c r="V53" i="6"/>
  <c r="U53" i="6"/>
  <c r="T53" i="6"/>
  <c r="S53" i="6"/>
  <c r="R53" i="6"/>
  <c r="W52" i="6"/>
  <c r="V52" i="6"/>
  <c r="U52" i="6"/>
  <c r="T52" i="6"/>
  <c r="S52" i="6"/>
  <c r="R52" i="6"/>
  <c r="W50" i="6"/>
  <c r="V50" i="6"/>
  <c r="U50" i="6"/>
  <c r="T50" i="6"/>
  <c r="S50" i="6"/>
  <c r="R50" i="6"/>
  <c r="W49" i="6"/>
  <c r="V49" i="6"/>
  <c r="U49" i="6"/>
  <c r="T49" i="6"/>
  <c r="S49" i="6"/>
  <c r="R49" i="6"/>
  <c r="W48" i="6"/>
  <c r="V48" i="6"/>
  <c r="U48" i="6"/>
  <c r="T48" i="6"/>
  <c r="S48" i="6"/>
  <c r="R48" i="6"/>
  <c r="W47" i="6"/>
  <c r="V47" i="6"/>
  <c r="U47" i="6"/>
  <c r="T47" i="6"/>
  <c r="S47" i="6"/>
  <c r="R47" i="6"/>
  <c r="W46" i="6"/>
  <c r="V46" i="6"/>
  <c r="U46" i="6"/>
  <c r="T46" i="6"/>
  <c r="S46" i="6"/>
  <c r="R46" i="6"/>
  <c r="W45" i="6"/>
  <c r="V45" i="6"/>
  <c r="U45" i="6"/>
  <c r="T45" i="6"/>
  <c r="S45" i="6"/>
  <c r="R45" i="6"/>
  <c r="W44" i="6"/>
  <c r="V44" i="6"/>
  <c r="U44" i="6"/>
  <c r="T44" i="6"/>
  <c r="S44" i="6"/>
  <c r="R44" i="6"/>
  <c r="W43" i="6"/>
  <c r="V43" i="6"/>
  <c r="U43" i="6"/>
  <c r="T43" i="6"/>
  <c r="S43" i="6"/>
  <c r="R43" i="6"/>
  <c r="W42" i="6"/>
  <c r="V42" i="6"/>
  <c r="U42" i="6"/>
  <c r="T42" i="6"/>
  <c r="S42" i="6"/>
  <c r="R42" i="6"/>
  <c r="W41" i="6"/>
  <c r="V41" i="6"/>
  <c r="U41" i="6"/>
  <c r="T41" i="6"/>
  <c r="S41" i="6"/>
  <c r="R41" i="6"/>
  <c r="W40" i="6"/>
  <c r="V40" i="6"/>
  <c r="U40" i="6"/>
  <c r="T40" i="6"/>
  <c r="S40" i="6"/>
  <c r="R40" i="6"/>
  <c r="W39" i="6"/>
  <c r="V39" i="6"/>
  <c r="U39" i="6"/>
  <c r="T39" i="6"/>
  <c r="S39" i="6"/>
  <c r="R39" i="6"/>
  <c r="W38" i="6"/>
  <c r="V38" i="6"/>
  <c r="U38" i="6"/>
  <c r="T38" i="6"/>
  <c r="S38" i="6"/>
  <c r="R38" i="6"/>
  <c r="W37" i="6"/>
  <c r="V37" i="6"/>
  <c r="U37" i="6"/>
  <c r="T37" i="6"/>
  <c r="S37" i="6"/>
  <c r="R37" i="6"/>
  <c r="W36" i="6"/>
  <c r="V36" i="6"/>
  <c r="U36" i="6"/>
  <c r="T36" i="6"/>
  <c r="S36" i="6"/>
  <c r="R36" i="6"/>
  <c r="W35" i="6"/>
  <c r="V35" i="6"/>
  <c r="U35" i="6"/>
  <c r="T35" i="6"/>
  <c r="S35" i="6"/>
  <c r="R35" i="6"/>
  <c r="W34" i="6"/>
  <c r="V34" i="6"/>
  <c r="U34" i="6"/>
  <c r="T34" i="6"/>
  <c r="S34" i="6"/>
  <c r="R34" i="6"/>
  <c r="W33" i="6"/>
  <c r="V33" i="6"/>
  <c r="U33" i="6"/>
  <c r="T33" i="6"/>
  <c r="S33" i="6"/>
  <c r="R33" i="6"/>
  <c r="W32" i="6"/>
  <c r="V32" i="6"/>
  <c r="U32" i="6"/>
  <c r="T32" i="6"/>
  <c r="S32" i="6"/>
  <c r="R32" i="6"/>
  <c r="W31" i="6"/>
  <c r="V31" i="6"/>
  <c r="U31" i="6"/>
  <c r="T31" i="6"/>
  <c r="S31" i="6"/>
  <c r="R31" i="6"/>
  <c r="W30" i="6"/>
  <c r="V30" i="6"/>
  <c r="U30" i="6"/>
  <c r="T30" i="6"/>
  <c r="S30" i="6"/>
  <c r="R30" i="6"/>
  <c r="W29" i="6"/>
  <c r="V29" i="6"/>
  <c r="U29" i="6"/>
  <c r="T29" i="6"/>
  <c r="S29" i="6"/>
  <c r="R29" i="6"/>
  <c r="W28" i="6"/>
  <c r="V28" i="6"/>
  <c r="U28" i="6"/>
  <c r="T28" i="6"/>
  <c r="S28" i="6"/>
  <c r="R28" i="6"/>
  <c r="W27" i="6"/>
  <c r="V27" i="6"/>
  <c r="U27" i="6"/>
  <c r="T27" i="6"/>
  <c r="S27" i="6"/>
  <c r="R27" i="6"/>
  <c r="W26" i="6"/>
  <c r="V26" i="6"/>
  <c r="U26" i="6"/>
  <c r="T26" i="6"/>
  <c r="S26" i="6"/>
  <c r="R26" i="6"/>
  <c r="W25" i="6"/>
  <c r="V25" i="6"/>
  <c r="U25" i="6"/>
  <c r="T25" i="6"/>
  <c r="S25" i="6"/>
  <c r="R25" i="6"/>
  <c r="W24" i="6"/>
  <c r="V24" i="6"/>
  <c r="U24" i="6"/>
  <c r="T24" i="6"/>
  <c r="S24" i="6"/>
  <c r="R24" i="6"/>
  <c r="W23" i="6"/>
  <c r="V23" i="6"/>
  <c r="U23" i="6"/>
  <c r="T23" i="6"/>
  <c r="S23" i="6"/>
  <c r="R23" i="6"/>
  <c r="W22" i="6"/>
  <c r="V22" i="6"/>
  <c r="U22" i="6"/>
  <c r="T22" i="6"/>
  <c r="S22" i="6"/>
  <c r="R22" i="6"/>
  <c r="W21" i="6"/>
  <c r="V21" i="6"/>
  <c r="U21" i="6"/>
  <c r="T21" i="6"/>
  <c r="S21" i="6"/>
  <c r="R21" i="6"/>
  <c r="W20" i="6"/>
  <c r="V20" i="6"/>
  <c r="U20" i="6"/>
  <c r="T20" i="6"/>
  <c r="S20" i="6"/>
  <c r="R20" i="6"/>
  <c r="W19" i="6"/>
  <c r="V19" i="6"/>
  <c r="U19" i="6"/>
  <c r="T19" i="6"/>
  <c r="S19" i="6"/>
  <c r="R19" i="6"/>
  <c r="W18" i="6"/>
  <c r="V18" i="6"/>
  <c r="U18" i="6"/>
  <c r="T18" i="6"/>
  <c r="S18" i="6"/>
  <c r="R18" i="6"/>
  <c r="W17" i="6"/>
  <c r="V17" i="6"/>
  <c r="U17" i="6"/>
  <c r="T17" i="6"/>
  <c r="S17" i="6"/>
  <c r="R17" i="6"/>
  <c r="W16" i="6"/>
  <c r="V16" i="6"/>
  <c r="U16" i="6"/>
  <c r="T16" i="6"/>
  <c r="S16" i="6"/>
  <c r="R16" i="6"/>
  <c r="W15" i="6"/>
  <c r="V15" i="6"/>
  <c r="U15" i="6"/>
  <c r="T15" i="6"/>
  <c r="S15" i="6"/>
  <c r="R15" i="6"/>
  <c r="W14" i="6"/>
  <c r="V14" i="6"/>
  <c r="U14" i="6"/>
  <c r="T14" i="6"/>
  <c r="S14" i="6"/>
  <c r="R14" i="6"/>
  <c r="W13" i="6"/>
  <c r="V13" i="6"/>
  <c r="U13" i="6"/>
  <c r="T13" i="6"/>
  <c r="S13" i="6"/>
  <c r="R13" i="6"/>
  <c r="W12" i="6"/>
  <c r="V12" i="6"/>
  <c r="U12" i="6"/>
  <c r="T12" i="6"/>
  <c r="S12" i="6"/>
  <c r="R12" i="6"/>
  <c r="W11" i="6"/>
  <c r="V11" i="6"/>
  <c r="U11" i="6"/>
  <c r="T11" i="6"/>
  <c r="S11" i="6"/>
  <c r="R11" i="6"/>
  <c r="W10" i="6"/>
  <c r="V10" i="6"/>
  <c r="U10" i="6"/>
  <c r="T10" i="6"/>
  <c r="S10" i="6"/>
  <c r="R10" i="6"/>
  <c r="W9" i="6"/>
  <c r="V9" i="6"/>
  <c r="U9" i="6"/>
  <c r="T9" i="6"/>
  <c r="S9" i="6"/>
  <c r="R9" i="6"/>
  <c r="W8" i="6"/>
  <c r="V8" i="6"/>
  <c r="U8" i="6"/>
  <c r="T8" i="6"/>
  <c r="S8" i="6"/>
  <c r="R8" i="6"/>
  <c r="W7" i="6"/>
  <c r="V7" i="6"/>
  <c r="U7" i="6"/>
  <c r="T7" i="6"/>
  <c r="S7" i="6"/>
  <c r="R7" i="6"/>
  <c r="W6" i="6"/>
  <c r="V6" i="6"/>
  <c r="U6" i="6"/>
  <c r="T6" i="6"/>
  <c r="S6" i="6"/>
  <c r="R6" i="6"/>
  <c r="W5" i="6"/>
  <c r="V5" i="6"/>
  <c r="U5" i="6"/>
  <c r="T5" i="6"/>
  <c r="S5" i="6"/>
  <c r="R5" i="6"/>
  <c r="W4" i="6"/>
  <c r="V4" i="6"/>
  <c r="U4" i="6"/>
  <c r="T4" i="6"/>
  <c r="S4" i="6"/>
  <c r="R4" i="6"/>
  <c r="N68" i="6" l="1"/>
  <c r="N67" i="6"/>
  <c r="P67" i="6" s="1"/>
  <c r="N66" i="6"/>
  <c r="N59" i="6"/>
  <c r="P59" i="6" s="1"/>
  <c r="N54" i="6"/>
  <c r="N47" i="6"/>
  <c r="N46" i="6"/>
  <c r="P46" i="6" s="1"/>
  <c r="N45" i="6"/>
  <c r="N44" i="6"/>
  <c r="N43" i="6"/>
  <c r="N23" i="6"/>
  <c r="N22" i="6"/>
  <c r="N6" i="6"/>
  <c r="P6" i="6" s="1"/>
  <c r="P13" i="6"/>
  <c r="P14" i="6"/>
  <c r="P22" i="6"/>
  <c r="P23" i="6"/>
  <c r="P24" i="6"/>
  <c r="P25" i="6"/>
  <c r="P26" i="6"/>
  <c r="P38" i="6"/>
  <c r="P39" i="6"/>
  <c r="P40" i="6"/>
  <c r="P43" i="6"/>
  <c r="P44" i="6"/>
  <c r="P45" i="6"/>
  <c r="P47" i="6"/>
  <c r="P54" i="6"/>
  <c r="P57" i="6"/>
  <c r="P66" i="6"/>
  <c r="P68" i="6"/>
  <c r="P73" i="6"/>
  <c r="P74" i="6"/>
  <c r="O3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4" i="6"/>
  <c r="M47" i="6"/>
  <c r="M46" i="6"/>
  <c r="N79" i="6"/>
  <c r="P79" i="6" s="1"/>
  <c r="N78" i="6"/>
  <c r="P78" i="6" s="1"/>
  <c r="N77" i="6"/>
  <c r="P77" i="6" s="1"/>
  <c r="N76" i="6"/>
  <c r="P76" i="6" s="1"/>
  <c r="N75" i="6"/>
  <c r="P75" i="6" s="1"/>
  <c r="N74" i="6"/>
  <c r="N73" i="6"/>
  <c r="N72" i="6"/>
  <c r="P72" i="6" s="1"/>
  <c r="N71" i="6"/>
  <c r="P71" i="6" s="1"/>
  <c r="N70" i="6"/>
  <c r="P70" i="6" s="1"/>
  <c r="N69" i="6"/>
  <c r="P69" i="6" s="1"/>
  <c r="N65" i="6"/>
  <c r="P65" i="6" s="1"/>
  <c r="N64" i="6"/>
  <c r="P64" i="6" s="1"/>
  <c r="N63" i="6"/>
  <c r="P63" i="6" s="1"/>
  <c r="N62" i="6"/>
  <c r="P62" i="6" s="1"/>
  <c r="N61" i="6"/>
  <c r="P61" i="6" s="1"/>
  <c r="N60" i="6"/>
  <c r="P60" i="6" s="1"/>
  <c r="N58" i="6"/>
  <c r="P58" i="6" s="1"/>
  <c r="N57" i="6"/>
  <c r="N56" i="6"/>
  <c r="P56" i="6" s="1"/>
  <c r="N55" i="6"/>
  <c r="P55" i="6" s="1"/>
  <c r="N53" i="6"/>
  <c r="P53" i="6" s="1"/>
  <c r="N52" i="6"/>
  <c r="P52" i="6" s="1"/>
  <c r="N51" i="6"/>
  <c r="P51" i="6" s="1"/>
  <c r="N50" i="6"/>
  <c r="P50" i="6" s="1"/>
  <c r="N49" i="6"/>
  <c r="P49" i="6" s="1"/>
  <c r="N48" i="6"/>
  <c r="P48" i="6" s="1"/>
  <c r="N42" i="6"/>
  <c r="P42" i="6" s="1"/>
  <c r="N41" i="6"/>
  <c r="P41" i="6" s="1"/>
  <c r="N40" i="6"/>
  <c r="N39" i="6"/>
  <c r="N38" i="6"/>
  <c r="N37" i="6"/>
  <c r="P37" i="6" s="1"/>
  <c r="N36" i="6"/>
  <c r="P36" i="6" s="1"/>
  <c r="N35" i="6"/>
  <c r="P35" i="6" s="1"/>
  <c r="N34" i="6"/>
  <c r="P34" i="6" s="1"/>
  <c r="N33" i="6"/>
  <c r="P33" i="6" s="1"/>
  <c r="N32" i="6"/>
  <c r="P32" i="6" s="1"/>
  <c r="N31" i="6"/>
  <c r="P31" i="6" s="1"/>
  <c r="N30" i="6"/>
  <c r="P30" i="6" s="1"/>
  <c r="N29" i="6"/>
  <c r="P29" i="6" s="1"/>
  <c r="N28" i="6"/>
  <c r="P28" i="6" s="1"/>
  <c r="N27" i="6"/>
  <c r="P27" i="6" s="1"/>
  <c r="N26" i="6"/>
  <c r="N25" i="6"/>
  <c r="N24" i="6"/>
  <c r="N21" i="6"/>
  <c r="P21" i="6" s="1"/>
  <c r="N20" i="6"/>
  <c r="P20" i="6" s="1"/>
  <c r="N19" i="6"/>
  <c r="P19" i="6" s="1"/>
  <c r="N18" i="6"/>
  <c r="P18" i="6" s="1"/>
  <c r="N17" i="6"/>
  <c r="P17" i="6" s="1"/>
  <c r="N16" i="6"/>
  <c r="P16" i="6" s="1"/>
  <c r="N15" i="6"/>
  <c r="P15" i="6" s="1"/>
  <c r="N14" i="6"/>
  <c r="N13" i="6"/>
  <c r="N12" i="6"/>
  <c r="P12" i="6" s="1"/>
  <c r="N11" i="6"/>
  <c r="P11" i="6" s="1"/>
  <c r="N10" i="6"/>
  <c r="P10" i="6" s="1"/>
  <c r="N9" i="6"/>
  <c r="P9" i="6" s="1"/>
  <c r="N8" i="6"/>
  <c r="P8" i="6" s="1"/>
  <c r="N7" i="6"/>
  <c r="P7" i="6" s="1"/>
  <c r="N5" i="6"/>
  <c r="P5" i="6" s="1"/>
  <c r="N4" i="6"/>
  <c r="P4" i="6" s="1"/>
  <c r="M70" i="6"/>
  <c r="M71" i="6"/>
  <c r="M72" i="6"/>
  <c r="M73" i="6"/>
  <c r="M74" i="6"/>
  <c r="M75" i="6"/>
  <c r="M76" i="6"/>
  <c r="M77" i="6"/>
  <c r="M78" i="6"/>
  <c r="M79" i="6"/>
  <c r="E2" i="6"/>
  <c r="BX81" i="8"/>
  <c r="BW81" i="8"/>
  <c r="BZ81" i="8" s="1"/>
  <c r="BQ81" i="8"/>
  <c r="BP81" i="8"/>
  <c r="BO81" i="8"/>
  <c r="BN81" i="8"/>
  <c r="BM81" i="8"/>
  <c r="BL81" i="8"/>
  <c r="BK81" i="8"/>
  <c r="BJ81" i="8"/>
  <c r="BI81" i="8"/>
  <c r="BH81" i="8"/>
  <c r="BG81" i="8"/>
  <c r="BF81" i="8"/>
  <c r="BE81" i="8"/>
  <c r="AZ81" i="8"/>
  <c r="BS81" i="8" s="1"/>
  <c r="BU81" i="8" s="1"/>
  <c r="AP81" i="8"/>
  <c r="AN81" i="8"/>
  <c r="AK81" i="8"/>
  <c r="U81" i="8"/>
  <c r="BX80" i="8"/>
  <c r="BW80" i="8"/>
  <c r="BZ80" i="8" s="1"/>
  <c r="BE80" i="8" s="1"/>
  <c r="BQ80" i="8"/>
  <c r="BP80" i="8"/>
  <c r="BO80" i="8"/>
  <c r="BN80" i="8"/>
  <c r="BM80" i="8"/>
  <c r="BL80" i="8"/>
  <c r="BK80" i="8"/>
  <c r="BJ80" i="8"/>
  <c r="BI80" i="8"/>
  <c r="BH80" i="8"/>
  <c r="BG80" i="8"/>
  <c r="BF80" i="8"/>
  <c r="AZ80" i="8"/>
  <c r="BS80" i="8" s="1"/>
  <c r="BU80" i="8" s="1"/>
  <c r="AP80" i="8"/>
  <c r="AN80" i="8"/>
  <c r="AK80" i="8"/>
  <c r="U80" i="8"/>
  <c r="BX79" i="8"/>
  <c r="BW79" i="8"/>
  <c r="BZ79" i="8" s="1"/>
  <c r="BE79" i="8" s="1"/>
  <c r="BQ79" i="8"/>
  <c r="BP79" i="8"/>
  <c r="BO79" i="8"/>
  <c r="BN79" i="8"/>
  <c r="BM79" i="8"/>
  <c r="BL79" i="8"/>
  <c r="BK79" i="8"/>
  <c r="BJ79" i="8"/>
  <c r="BI79" i="8"/>
  <c r="BH79" i="8"/>
  <c r="BG79" i="8"/>
  <c r="BF79" i="8"/>
  <c r="AZ79" i="8"/>
  <c r="BS79" i="8" s="1"/>
  <c r="BU79" i="8" s="1"/>
  <c r="AP79" i="8"/>
  <c r="AN79" i="8"/>
  <c r="AK79" i="8"/>
  <c r="U79" i="8"/>
  <c r="BX78" i="8"/>
  <c r="BW78" i="8"/>
  <c r="BZ78" i="8" s="1"/>
  <c r="BE78" i="8" s="1"/>
  <c r="BQ78" i="8"/>
  <c r="BP78" i="8"/>
  <c r="BO78" i="8"/>
  <c r="BM78" i="8"/>
  <c r="BL78" i="8"/>
  <c r="BI78" i="8"/>
  <c r="BH78" i="8"/>
  <c r="BG78" i="8"/>
  <c r="BF78" i="8"/>
  <c r="AZ78" i="8"/>
  <c r="BS78" i="8" s="1"/>
  <c r="BU78" i="8" s="1"/>
  <c r="AO78" i="8"/>
  <c r="AP78" i="8" s="1"/>
  <c r="AM78" i="8"/>
  <c r="AN78" i="8" s="1"/>
  <c r="AJ78" i="8"/>
  <c r="BK78" i="8" s="1"/>
  <c r="AI78" i="8"/>
  <c r="BN78" i="8" s="1"/>
  <c r="AG78" i="8"/>
  <c r="U78" i="8"/>
  <c r="Q78" i="8"/>
  <c r="N78" i="8"/>
  <c r="BX77" i="8"/>
  <c r="BW77" i="8"/>
  <c r="BZ77" i="8" s="1"/>
  <c r="BE77" i="8" s="1"/>
  <c r="BQ77" i="8"/>
  <c r="BP77" i="8"/>
  <c r="BO77" i="8"/>
  <c r="BM77" i="8"/>
  <c r="BL77" i="8"/>
  <c r="BI77" i="8"/>
  <c r="BH77" i="8"/>
  <c r="BG77" i="8"/>
  <c r="BF77" i="8"/>
  <c r="AZ77" i="8"/>
  <c r="BS77" i="8" s="1"/>
  <c r="BU77" i="8" s="1"/>
  <c r="AP77" i="8"/>
  <c r="AO77" i="8"/>
  <c r="AM77" i="8"/>
  <c r="AN77" i="8" s="1"/>
  <c r="AJ77" i="8"/>
  <c r="BJ77" i="8" s="1"/>
  <c r="AI77" i="8"/>
  <c r="AK77" i="8" s="1"/>
  <c r="AG77" i="8"/>
  <c r="U77" i="8"/>
  <c r="Q77" i="8"/>
  <c r="N77" i="8"/>
  <c r="BX76" i="8"/>
  <c r="BW76" i="8"/>
  <c r="BZ76" i="8" s="1"/>
  <c r="BE76" i="8" s="1"/>
  <c r="BS76" i="8"/>
  <c r="BU76" i="8" s="1"/>
  <c r="BQ76" i="8"/>
  <c r="BP76" i="8"/>
  <c r="BO76" i="8"/>
  <c r="BM76" i="8"/>
  <c r="BL76" i="8"/>
  <c r="BJ76" i="8"/>
  <c r="BI76" i="8"/>
  <c r="BH76" i="8"/>
  <c r="BG76" i="8"/>
  <c r="BF76" i="8"/>
  <c r="AZ76" i="8"/>
  <c r="AO76" i="8"/>
  <c r="AP76" i="8" s="1"/>
  <c r="AM76" i="8"/>
  <c r="AN76" i="8" s="1"/>
  <c r="AJ76" i="8"/>
  <c r="BK76" i="8" s="1"/>
  <c r="AI76" i="8"/>
  <c r="AK76" i="8" s="1"/>
  <c r="AG76" i="8"/>
  <c r="U76" i="8"/>
  <c r="Q76" i="8"/>
  <c r="N76" i="8"/>
  <c r="BX75" i="8"/>
  <c r="BW75" i="8"/>
  <c r="BZ75" i="8" s="1"/>
  <c r="BE75" i="8" s="1"/>
  <c r="BQ75" i="8"/>
  <c r="BP75" i="8"/>
  <c r="BO75" i="8"/>
  <c r="BM75" i="8"/>
  <c r="BL75" i="8"/>
  <c r="BK75" i="8"/>
  <c r="BI75" i="8"/>
  <c r="BH75" i="8"/>
  <c r="BG75" i="8"/>
  <c r="BF75" i="8"/>
  <c r="AZ75" i="8"/>
  <c r="BS75" i="8" s="1"/>
  <c r="BU75" i="8" s="1"/>
  <c r="AO75" i="8"/>
  <c r="AP75" i="8" s="1"/>
  <c r="AM75" i="8"/>
  <c r="AN75" i="8" s="1"/>
  <c r="AJ75" i="8"/>
  <c r="BJ75" i="8" s="1"/>
  <c r="AI75" i="8"/>
  <c r="AK75" i="8" s="1"/>
  <c r="AG75" i="8"/>
  <c r="U75" i="8"/>
  <c r="Q75" i="8"/>
  <c r="N75" i="8"/>
  <c r="BX74" i="8"/>
  <c r="BW74" i="8"/>
  <c r="BZ74" i="8" s="1"/>
  <c r="BE74" i="8" s="1"/>
  <c r="BS74" i="8"/>
  <c r="BU74" i="8" s="1"/>
  <c r="BQ74" i="8"/>
  <c r="BP74" i="8"/>
  <c r="BO74" i="8"/>
  <c r="BM74" i="8"/>
  <c r="BL74" i="8"/>
  <c r="BK74" i="8"/>
  <c r="BI74" i="8"/>
  <c r="BH74" i="8"/>
  <c r="BG74" i="8"/>
  <c r="BF74" i="8"/>
  <c r="AZ74" i="8"/>
  <c r="AO74" i="8"/>
  <c r="AP74" i="8" s="1"/>
  <c r="AM74" i="8"/>
  <c r="AN74" i="8" s="1"/>
  <c r="AJ74" i="8"/>
  <c r="BJ74" i="8" s="1"/>
  <c r="AI74" i="8"/>
  <c r="AK74" i="8" s="1"/>
  <c r="AG74" i="8"/>
  <c r="U74" i="8"/>
  <c r="Q74" i="8"/>
  <c r="N74" i="8"/>
  <c r="BX73" i="8"/>
  <c r="BW73" i="8"/>
  <c r="BZ73" i="8" s="1"/>
  <c r="BE73" i="8" s="1"/>
  <c r="BQ73" i="8"/>
  <c r="BP73" i="8"/>
  <c r="BO73" i="8"/>
  <c r="BM73" i="8"/>
  <c r="BL73" i="8"/>
  <c r="BK73" i="8"/>
  <c r="BI73" i="8"/>
  <c r="BH73" i="8"/>
  <c r="BG73" i="8"/>
  <c r="BF73" i="8"/>
  <c r="AZ73" i="8"/>
  <c r="BS73" i="8" s="1"/>
  <c r="BU73" i="8" s="1"/>
  <c r="AO73" i="8"/>
  <c r="AP73" i="8" s="1"/>
  <c r="AM73" i="8"/>
  <c r="AN73" i="8" s="1"/>
  <c r="AJ73" i="8"/>
  <c r="BJ73" i="8" s="1"/>
  <c r="AI73" i="8"/>
  <c r="AK73" i="8" s="1"/>
  <c r="AG73" i="8"/>
  <c r="U73" i="8"/>
  <c r="Q73" i="8"/>
  <c r="N73" i="8"/>
  <c r="BX72" i="8"/>
  <c r="BS72" i="8"/>
  <c r="BU72" i="8" s="1"/>
  <c r="BQ72" i="8"/>
  <c r="BP72" i="8"/>
  <c r="BO72" i="8"/>
  <c r="BM72" i="8"/>
  <c r="BL72" i="8"/>
  <c r="BI72" i="8"/>
  <c r="BH72" i="8"/>
  <c r="BG72" i="8"/>
  <c r="BF72" i="8"/>
  <c r="AZ72" i="8"/>
  <c r="AO72" i="8"/>
  <c r="AP72" i="8" s="1"/>
  <c r="AM72" i="8"/>
  <c r="AN72" i="8" s="1"/>
  <c r="AK72" i="8"/>
  <c r="AJ72" i="8"/>
  <c r="BW72" i="8" s="1"/>
  <c r="BZ72" i="8" s="1"/>
  <c r="BE72" i="8" s="1"/>
  <c r="AI72" i="8"/>
  <c r="BN72" i="8" s="1"/>
  <c r="AG72" i="8"/>
  <c r="U72" i="8"/>
  <c r="Q72" i="8"/>
  <c r="N72" i="8"/>
  <c r="BX71" i="8"/>
  <c r="BQ71" i="8"/>
  <c r="BP71" i="8"/>
  <c r="BO71" i="8"/>
  <c r="BN71" i="8"/>
  <c r="BM71" i="8"/>
  <c r="BL71" i="8"/>
  <c r="BI71" i="8"/>
  <c r="BH71" i="8"/>
  <c r="BG71" i="8"/>
  <c r="BF71" i="8"/>
  <c r="AZ71" i="8"/>
  <c r="BS71" i="8" s="1"/>
  <c r="BU71" i="8" s="1"/>
  <c r="AO71" i="8"/>
  <c r="AP71" i="8" s="1"/>
  <c r="AM71" i="8"/>
  <c r="AN71" i="8" s="1"/>
  <c r="AJ71" i="8"/>
  <c r="BJ71" i="8" s="1"/>
  <c r="AI71" i="8"/>
  <c r="AK71" i="8" s="1"/>
  <c r="AG71" i="8"/>
  <c r="U71" i="8"/>
  <c r="Q71" i="8"/>
  <c r="N71" i="8"/>
  <c r="BX70" i="8"/>
  <c r="BS70" i="8"/>
  <c r="BU70" i="8" s="1"/>
  <c r="BQ70" i="8"/>
  <c r="BP70" i="8"/>
  <c r="BO70" i="8"/>
  <c r="BM70" i="8"/>
  <c r="BL70" i="8"/>
  <c r="BK70" i="8"/>
  <c r="BI70" i="8"/>
  <c r="BH70" i="8"/>
  <c r="BG70" i="8"/>
  <c r="BF70" i="8"/>
  <c r="AZ70" i="8"/>
  <c r="AO70" i="8"/>
  <c r="AP70" i="8" s="1"/>
  <c r="AM70" i="8"/>
  <c r="AN70" i="8" s="1"/>
  <c r="AJ70" i="8"/>
  <c r="BJ70" i="8" s="1"/>
  <c r="AI70" i="8"/>
  <c r="BN70" i="8" s="1"/>
  <c r="AG70" i="8"/>
  <c r="U70" i="8"/>
  <c r="Q70" i="8"/>
  <c r="N70" i="8"/>
  <c r="BX69" i="8"/>
  <c r="BQ69" i="8"/>
  <c r="BP69" i="8"/>
  <c r="BO69" i="8"/>
  <c r="BM69" i="8"/>
  <c r="BL69" i="8"/>
  <c r="BK69" i="8"/>
  <c r="BI69" i="8"/>
  <c r="BH69" i="8"/>
  <c r="BG69" i="8"/>
  <c r="BF69" i="8"/>
  <c r="AZ69" i="8"/>
  <c r="BS69" i="8" s="1"/>
  <c r="BU69" i="8" s="1"/>
  <c r="AO69" i="8"/>
  <c r="AP69" i="8" s="1"/>
  <c r="AM69" i="8"/>
  <c r="AN69" i="8" s="1"/>
  <c r="AJ69" i="8"/>
  <c r="BJ69" i="8" s="1"/>
  <c r="AI69" i="8"/>
  <c r="AK69" i="8" s="1"/>
  <c r="AG69" i="8"/>
  <c r="U69" i="8"/>
  <c r="Q69" i="8"/>
  <c r="N69" i="8"/>
  <c r="BX68" i="8"/>
  <c r="BS68" i="8"/>
  <c r="BU68" i="8" s="1"/>
  <c r="BQ68" i="8"/>
  <c r="BP68" i="8"/>
  <c r="BO68" i="8"/>
  <c r="BM68" i="8"/>
  <c r="BL68" i="8"/>
  <c r="BK68" i="8"/>
  <c r="BJ68" i="8"/>
  <c r="BI68" i="8"/>
  <c r="BH68" i="8"/>
  <c r="BG68" i="8"/>
  <c r="BF68" i="8"/>
  <c r="AZ68" i="8"/>
  <c r="AO68" i="8"/>
  <c r="AP68" i="8" s="1"/>
  <c r="AM68" i="8"/>
  <c r="AN68" i="8" s="1"/>
  <c r="AJ68" i="8"/>
  <c r="BW68" i="8" s="1"/>
  <c r="BZ68" i="8" s="1"/>
  <c r="BE68" i="8" s="1"/>
  <c r="AI68" i="8"/>
  <c r="AK68" i="8" s="1"/>
  <c r="AG68" i="8"/>
  <c r="U68" i="8"/>
  <c r="Q68" i="8"/>
  <c r="N68" i="8"/>
  <c r="BX67" i="8"/>
  <c r="BQ67" i="8"/>
  <c r="BP67" i="8"/>
  <c r="BO67" i="8"/>
  <c r="BM67" i="8"/>
  <c r="BL67" i="8"/>
  <c r="BK67" i="8"/>
  <c r="BI67" i="8"/>
  <c r="BH67" i="8"/>
  <c r="BG67" i="8"/>
  <c r="BF67" i="8"/>
  <c r="AZ67" i="8"/>
  <c r="BS67" i="8" s="1"/>
  <c r="BU67" i="8" s="1"/>
  <c r="AO67" i="8"/>
  <c r="AP67" i="8" s="1"/>
  <c r="AM67" i="8"/>
  <c r="AN67" i="8" s="1"/>
  <c r="AJ67" i="8"/>
  <c r="BJ67" i="8" s="1"/>
  <c r="AI67" i="8"/>
  <c r="AK67" i="8" s="1"/>
  <c r="AG67" i="8"/>
  <c r="U67" i="8"/>
  <c r="Q67" i="8"/>
  <c r="N67" i="8"/>
  <c r="BX66" i="8"/>
  <c r="BW66" i="8"/>
  <c r="BZ66" i="8" s="1"/>
  <c r="BE66" i="8" s="1"/>
  <c r="BQ66" i="8"/>
  <c r="BP66" i="8"/>
  <c r="BO66" i="8"/>
  <c r="BM66" i="8"/>
  <c r="BL66" i="8"/>
  <c r="BI66" i="8"/>
  <c r="BH66" i="8"/>
  <c r="BG66" i="8"/>
  <c r="BF66" i="8"/>
  <c r="AY66" i="8"/>
  <c r="AZ66" i="8" s="1"/>
  <c r="BS66" i="8" s="1"/>
  <c r="BU66" i="8" s="1"/>
  <c r="AO66" i="8"/>
  <c r="AP66" i="8" s="1"/>
  <c r="AM66" i="8"/>
  <c r="AN66" i="8" s="1"/>
  <c r="AJ66" i="8"/>
  <c r="BK66" i="8" s="1"/>
  <c r="AI66" i="8"/>
  <c r="AK66" i="8" s="1"/>
  <c r="AG66" i="8"/>
  <c r="U66" i="8"/>
  <c r="Q66" i="8"/>
  <c r="N66" i="8"/>
  <c r="BX65" i="8"/>
  <c r="BW65" i="8"/>
  <c r="BZ65" i="8" s="1"/>
  <c r="BE65" i="8" s="1"/>
  <c r="BS65" i="8"/>
  <c r="BU65" i="8" s="1"/>
  <c r="BQ65" i="8"/>
  <c r="BP65" i="8"/>
  <c r="BO65" i="8"/>
  <c r="BM65" i="8"/>
  <c r="BL65" i="8"/>
  <c r="BI65" i="8"/>
  <c r="BH65" i="8"/>
  <c r="BG65" i="8"/>
  <c r="BF65" i="8"/>
  <c r="AZ65" i="8"/>
  <c r="AO65" i="8"/>
  <c r="AP65" i="8" s="1"/>
  <c r="AM65" i="8"/>
  <c r="AN65" i="8" s="1"/>
  <c r="AJ65" i="8"/>
  <c r="BJ65" i="8" s="1"/>
  <c r="AI65" i="8"/>
  <c r="AG65" i="8"/>
  <c r="U65" i="8"/>
  <c r="Q65" i="8"/>
  <c r="N65" i="8"/>
  <c r="BZ64" i="8"/>
  <c r="BE64" i="8" s="1"/>
  <c r="BX64" i="8"/>
  <c r="BQ64" i="8"/>
  <c r="BP64" i="8"/>
  <c r="BO64" i="8"/>
  <c r="BM64" i="8"/>
  <c r="BL64" i="8"/>
  <c r="BK64" i="8"/>
  <c r="BJ64" i="8"/>
  <c r="BI64" i="8"/>
  <c r="BH64" i="8"/>
  <c r="BG64" i="8"/>
  <c r="BF64" i="8"/>
  <c r="AZ64" i="8"/>
  <c r="BS64" i="8" s="1"/>
  <c r="BU64" i="8" s="1"/>
  <c r="AO64" i="8"/>
  <c r="AP64" i="8" s="1"/>
  <c r="AM64" i="8"/>
  <c r="AN64" i="8" s="1"/>
  <c r="AJ64" i="8"/>
  <c r="BW64" i="8" s="1"/>
  <c r="AI64" i="8"/>
  <c r="BN64" i="8" s="1"/>
  <c r="AG64" i="8"/>
  <c r="U64" i="8"/>
  <c r="Q64" i="8"/>
  <c r="N64" i="8"/>
  <c r="BX63" i="8"/>
  <c r="BS63" i="8"/>
  <c r="BU63" i="8" s="1"/>
  <c r="BQ63" i="8"/>
  <c r="BP63" i="8"/>
  <c r="BO63" i="8"/>
  <c r="BM63" i="8"/>
  <c r="BL63" i="8"/>
  <c r="BI63" i="8"/>
  <c r="BH63" i="8"/>
  <c r="BG63" i="8"/>
  <c r="BF63" i="8"/>
  <c r="AZ63" i="8"/>
  <c r="AO63" i="8"/>
  <c r="AP63" i="8" s="1"/>
  <c r="AM63" i="8"/>
  <c r="AN63" i="8" s="1"/>
  <c r="AJ63" i="8"/>
  <c r="AI63" i="8"/>
  <c r="AG63" i="8"/>
  <c r="U63" i="8"/>
  <c r="Q63" i="8"/>
  <c r="N63" i="8"/>
  <c r="BX62" i="8"/>
  <c r="BQ62" i="8"/>
  <c r="BP62" i="8"/>
  <c r="BO62" i="8"/>
  <c r="BM62" i="8"/>
  <c r="BL62" i="8"/>
  <c r="BI62" i="8"/>
  <c r="BH62" i="8"/>
  <c r="BG62" i="8"/>
  <c r="BF62" i="8"/>
  <c r="AZ62" i="8"/>
  <c r="BS62" i="8" s="1"/>
  <c r="BU62" i="8" s="1"/>
  <c r="AO62" i="8"/>
  <c r="AP62" i="8" s="1"/>
  <c r="AM62" i="8"/>
  <c r="AN62" i="8" s="1"/>
  <c r="AJ62" i="8"/>
  <c r="BK62" i="8" s="1"/>
  <c r="AI62" i="8"/>
  <c r="AG62" i="8"/>
  <c r="U62" i="8"/>
  <c r="Q62" i="8"/>
  <c r="N62" i="8"/>
  <c r="BX61" i="8"/>
  <c r="BS61" i="8"/>
  <c r="BU61" i="8" s="1"/>
  <c r="BQ61" i="8"/>
  <c r="BP61" i="8"/>
  <c r="BO61" i="8"/>
  <c r="BM61" i="8"/>
  <c r="BL61" i="8"/>
  <c r="BI61" i="8"/>
  <c r="BH61" i="8"/>
  <c r="BG61" i="8"/>
  <c r="BF61" i="8"/>
  <c r="AZ61" i="8"/>
  <c r="AO61" i="8"/>
  <c r="AP61" i="8" s="1"/>
  <c r="AM61" i="8"/>
  <c r="AN61" i="8" s="1"/>
  <c r="AJ61" i="8"/>
  <c r="BJ61" i="8" s="1"/>
  <c r="AI61" i="8"/>
  <c r="AG61" i="8"/>
  <c r="U61" i="8"/>
  <c r="Q61" i="8"/>
  <c r="N61" i="8"/>
  <c r="BX60" i="8"/>
  <c r="BQ60" i="8"/>
  <c r="BP60" i="8"/>
  <c r="BO60" i="8"/>
  <c r="BM60" i="8"/>
  <c r="BL60" i="8"/>
  <c r="BK60" i="8"/>
  <c r="BJ60" i="8"/>
  <c r="BI60" i="8"/>
  <c r="BH60" i="8"/>
  <c r="BG60" i="8"/>
  <c r="BF60" i="8"/>
  <c r="AZ60" i="8"/>
  <c r="BS60" i="8" s="1"/>
  <c r="BU60" i="8" s="1"/>
  <c r="AO60" i="8"/>
  <c r="AP60" i="8" s="1"/>
  <c r="AM60" i="8"/>
  <c r="AN60" i="8" s="1"/>
  <c r="AJ60" i="8"/>
  <c r="BW60" i="8" s="1"/>
  <c r="BZ60" i="8" s="1"/>
  <c r="BE60" i="8" s="1"/>
  <c r="AI60" i="8"/>
  <c r="AK60" i="8" s="1"/>
  <c r="AG60" i="8"/>
  <c r="U60" i="8"/>
  <c r="Q60" i="8"/>
  <c r="N60" i="8"/>
  <c r="BX59" i="8"/>
  <c r="BS59" i="8"/>
  <c r="BU59" i="8" s="1"/>
  <c r="BQ59" i="8"/>
  <c r="BP59" i="8"/>
  <c r="BO59" i="8"/>
  <c r="BM59" i="8"/>
  <c r="BL59" i="8"/>
  <c r="BI59" i="8"/>
  <c r="BH59" i="8"/>
  <c r="BG59" i="8"/>
  <c r="BF59" i="8"/>
  <c r="AZ59" i="8"/>
  <c r="AP59" i="8"/>
  <c r="AO59" i="8"/>
  <c r="AM59" i="8"/>
  <c r="AN59" i="8" s="1"/>
  <c r="AJ59" i="8"/>
  <c r="BJ59" i="8" s="1"/>
  <c r="AI59" i="8"/>
  <c r="AG59" i="8"/>
  <c r="U59" i="8"/>
  <c r="Q59" i="8"/>
  <c r="N59" i="8"/>
  <c r="BX58" i="8"/>
  <c r="BQ58" i="8"/>
  <c r="BP58" i="8"/>
  <c r="BO58" i="8"/>
  <c r="BN58" i="8"/>
  <c r="BM58" i="8"/>
  <c r="BL58" i="8"/>
  <c r="BK58" i="8"/>
  <c r="BI58" i="8"/>
  <c r="BH58" i="8"/>
  <c r="BG58" i="8"/>
  <c r="BF58" i="8"/>
  <c r="AZ58" i="8"/>
  <c r="BS58" i="8" s="1"/>
  <c r="BU58" i="8" s="1"/>
  <c r="AO58" i="8"/>
  <c r="AP58" i="8" s="1"/>
  <c r="AM58" i="8"/>
  <c r="AN58" i="8" s="1"/>
  <c r="AK58" i="8"/>
  <c r="AJ58" i="8"/>
  <c r="AI58" i="8"/>
  <c r="AG58" i="8"/>
  <c r="U58" i="8"/>
  <c r="Q58" i="8"/>
  <c r="N58" i="8"/>
  <c r="BX57" i="8"/>
  <c r="BW57" i="8"/>
  <c r="BZ57" i="8" s="1"/>
  <c r="BE57" i="8" s="1"/>
  <c r="BU57" i="8"/>
  <c r="BQ57" i="8"/>
  <c r="BP57" i="8"/>
  <c r="BO57" i="8"/>
  <c r="BM57" i="8"/>
  <c r="BL57" i="8"/>
  <c r="BI57" i="8"/>
  <c r="BH57" i="8"/>
  <c r="BG57" i="8"/>
  <c r="BF57" i="8"/>
  <c r="AZ57" i="8"/>
  <c r="BS57" i="8" s="1"/>
  <c r="AP57" i="8"/>
  <c r="AO57" i="8"/>
  <c r="AM57" i="8"/>
  <c r="AN57" i="8" s="1"/>
  <c r="AJ57" i="8"/>
  <c r="AI57" i="8"/>
  <c r="AG57" i="8"/>
  <c r="U57" i="8"/>
  <c r="Q57" i="8"/>
  <c r="N57" i="8"/>
  <c r="BZ56" i="8"/>
  <c r="BE56" i="8" s="1"/>
  <c r="BX56" i="8"/>
  <c r="BQ56" i="8"/>
  <c r="BP56" i="8"/>
  <c r="BO56" i="8"/>
  <c r="BM56" i="8"/>
  <c r="BL56" i="8"/>
  <c r="BJ56" i="8"/>
  <c r="BI56" i="8"/>
  <c r="BH56" i="8"/>
  <c r="BG56" i="8"/>
  <c r="BF56" i="8"/>
  <c r="AZ56" i="8"/>
  <c r="BS56" i="8" s="1"/>
  <c r="BU56" i="8" s="1"/>
  <c r="AO56" i="8"/>
  <c r="AP56" i="8" s="1"/>
  <c r="AM56" i="8"/>
  <c r="AN56" i="8" s="1"/>
  <c r="AJ56" i="8"/>
  <c r="BW56" i="8" s="1"/>
  <c r="AI56" i="8"/>
  <c r="AK56" i="8" s="1"/>
  <c r="AG56" i="8"/>
  <c r="U56" i="8"/>
  <c r="Q56" i="8"/>
  <c r="N56" i="8"/>
  <c r="BX55" i="8"/>
  <c r="BQ55" i="8"/>
  <c r="BP55" i="8"/>
  <c r="BO55" i="8"/>
  <c r="BM55" i="8"/>
  <c r="BL55" i="8"/>
  <c r="BI55" i="8"/>
  <c r="BH55" i="8"/>
  <c r="BG55" i="8"/>
  <c r="BF55" i="8"/>
  <c r="AZ55" i="8"/>
  <c r="BS55" i="8" s="1"/>
  <c r="BU55" i="8" s="1"/>
  <c r="AO55" i="8"/>
  <c r="AP55" i="8" s="1"/>
  <c r="AM55" i="8"/>
  <c r="AN55" i="8" s="1"/>
  <c r="AJ55" i="8"/>
  <c r="AI55" i="8"/>
  <c r="AG55" i="8"/>
  <c r="U55" i="8"/>
  <c r="Q55" i="8"/>
  <c r="N55" i="8"/>
  <c r="BX54" i="8"/>
  <c r="BQ54" i="8"/>
  <c r="BP54" i="8"/>
  <c r="BO54" i="8"/>
  <c r="BM54" i="8"/>
  <c r="BL54" i="8"/>
  <c r="BK54" i="8"/>
  <c r="BI54" i="8"/>
  <c r="BH54" i="8"/>
  <c r="BG54" i="8"/>
  <c r="BF54" i="8"/>
  <c r="AZ54" i="8"/>
  <c r="BS54" i="8" s="1"/>
  <c r="BU54" i="8" s="1"/>
  <c r="AO54" i="8"/>
  <c r="AP54" i="8" s="1"/>
  <c r="AM54" i="8"/>
  <c r="AN54" i="8" s="1"/>
  <c r="AJ54" i="8"/>
  <c r="BW54" i="8" s="1"/>
  <c r="BZ54" i="8" s="1"/>
  <c r="BE54" i="8" s="1"/>
  <c r="AI54" i="8"/>
  <c r="AG54" i="8"/>
  <c r="U54" i="8"/>
  <c r="Q54" i="8"/>
  <c r="N54" i="8"/>
  <c r="BX53" i="8"/>
  <c r="BS53" i="8"/>
  <c r="BU53" i="8" s="1"/>
  <c r="BQ53" i="8"/>
  <c r="BP53" i="8"/>
  <c r="BO53" i="8"/>
  <c r="BM53" i="8"/>
  <c r="BL53" i="8"/>
  <c r="BI53" i="8"/>
  <c r="BH53" i="8"/>
  <c r="BG53" i="8"/>
  <c r="BF53" i="8"/>
  <c r="AZ53" i="8"/>
  <c r="AP53" i="8"/>
  <c r="AO53" i="8"/>
  <c r="AM53" i="8"/>
  <c r="AN53" i="8" s="1"/>
  <c r="AJ53" i="8"/>
  <c r="AI53" i="8"/>
  <c r="AG53" i="8"/>
  <c r="U53" i="8"/>
  <c r="Q53" i="8"/>
  <c r="N53" i="8"/>
  <c r="BX52" i="8"/>
  <c r="BQ52" i="8"/>
  <c r="BP52" i="8"/>
  <c r="BO52" i="8"/>
  <c r="BM52" i="8"/>
  <c r="BL52" i="8"/>
  <c r="BI52" i="8"/>
  <c r="BH52" i="8"/>
  <c r="BG52" i="8"/>
  <c r="BF52" i="8"/>
  <c r="AZ52" i="8"/>
  <c r="BS52" i="8" s="1"/>
  <c r="BU52" i="8" s="1"/>
  <c r="AO52" i="8"/>
  <c r="AP52" i="8" s="1"/>
  <c r="AM52" i="8"/>
  <c r="AN52" i="8" s="1"/>
  <c r="AJ52" i="8"/>
  <c r="BW52" i="8" s="1"/>
  <c r="BZ52" i="8" s="1"/>
  <c r="BE52" i="8" s="1"/>
  <c r="AI52" i="8"/>
  <c r="AK52" i="8" s="1"/>
  <c r="AG52" i="8"/>
  <c r="U52" i="8"/>
  <c r="Q52" i="8"/>
  <c r="N52" i="8"/>
  <c r="BX51" i="8"/>
  <c r="BW51" i="8"/>
  <c r="BZ51" i="8" s="1"/>
  <c r="BE51" i="8" s="1"/>
  <c r="BS51" i="8"/>
  <c r="BU51" i="8" s="1"/>
  <c r="BQ51" i="8"/>
  <c r="BP51" i="8"/>
  <c r="BO51" i="8"/>
  <c r="BM51" i="8"/>
  <c r="BL51" i="8"/>
  <c r="BI51" i="8"/>
  <c r="BH51" i="8"/>
  <c r="BG51" i="8"/>
  <c r="BF51" i="8"/>
  <c r="AZ51" i="8"/>
  <c r="AO51" i="8"/>
  <c r="AP51" i="8" s="1"/>
  <c r="AM51" i="8"/>
  <c r="AN51" i="8" s="1"/>
  <c r="AJ51" i="8"/>
  <c r="AI51" i="8"/>
  <c r="AG51" i="8"/>
  <c r="U51" i="8"/>
  <c r="Q51" i="8"/>
  <c r="N51" i="8"/>
  <c r="BX50" i="8"/>
  <c r="BQ50" i="8"/>
  <c r="BP50" i="8"/>
  <c r="BO50" i="8"/>
  <c r="BN50" i="8"/>
  <c r="BM50" i="8"/>
  <c r="BL50" i="8"/>
  <c r="BI50" i="8"/>
  <c r="BH50" i="8"/>
  <c r="BG50" i="8"/>
  <c r="BF50" i="8"/>
  <c r="AZ50" i="8"/>
  <c r="BS50" i="8" s="1"/>
  <c r="BU50" i="8" s="1"/>
  <c r="AO50" i="8"/>
  <c r="AP50" i="8" s="1"/>
  <c r="AM50" i="8"/>
  <c r="AN50" i="8" s="1"/>
  <c r="AJ50" i="8"/>
  <c r="AI50" i="8"/>
  <c r="AK50" i="8" s="1"/>
  <c r="AG50" i="8"/>
  <c r="U50" i="8"/>
  <c r="Q50" i="8"/>
  <c r="N50" i="8"/>
  <c r="BZ49" i="8"/>
  <c r="BE49" i="8" s="1"/>
  <c r="BX49" i="8"/>
  <c r="BQ49" i="8"/>
  <c r="BP49" i="8"/>
  <c r="BO49" i="8"/>
  <c r="BM49" i="8"/>
  <c r="BL49" i="8"/>
  <c r="BI49" i="8"/>
  <c r="BH49" i="8"/>
  <c r="BG49" i="8"/>
  <c r="BF49" i="8"/>
  <c r="AZ49" i="8"/>
  <c r="BS49" i="8" s="1"/>
  <c r="BU49" i="8" s="1"/>
  <c r="AO49" i="8"/>
  <c r="AP49" i="8" s="1"/>
  <c r="AM49" i="8"/>
  <c r="AN49" i="8" s="1"/>
  <c r="AJ49" i="8"/>
  <c r="AI49" i="8"/>
  <c r="AG49" i="8"/>
  <c r="U49" i="8"/>
  <c r="Q49" i="8"/>
  <c r="N49" i="8"/>
  <c r="BX48" i="8"/>
  <c r="BQ48" i="8"/>
  <c r="BP48" i="8"/>
  <c r="BO48" i="8"/>
  <c r="BM48" i="8"/>
  <c r="BL48" i="8"/>
  <c r="BK48" i="8"/>
  <c r="BI48" i="8"/>
  <c r="BH48" i="8"/>
  <c r="BG48" i="8"/>
  <c r="BF48" i="8"/>
  <c r="AZ48" i="8"/>
  <c r="BS48" i="8" s="1"/>
  <c r="BU48" i="8" s="1"/>
  <c r="AO48" i="8"/>
  <c r="AP48" i="8" s="1"/>
  <c r="AM48" i="8"/>
  <c r="AN48" i="8" s="1"/>
  <c r="AJ48" i="8"/>
  <c r="BW48" i="8" s="1"/>
  <c r="BZ48" i="8" s="1"/>
  <c r="BE48" i="8" s="1"/>
  <c r="AI48" i="8"/>
  <c r="AG48" i="8"/>
  <c r="U48" i="8"/>
  <c r="Q48" i="8"/>
  <c r="N48" i="8"/>
  <c r="BX47" i="8"/>
  <c r="BS47" i="8"/>
  <c r="BU47" i="8" s="1"/>
  <c r="BQ47" i="8"/>
  <c r="BP47" i="8"/>
  <c r="BO47" i="8"/>
  <c r="BM47" i="8"/>
  <c r="BL47" i="8"/>
  <c r="BJ47" i="8"/>
  <c r="BI47" i="8"/>
  <c r="BH47" i="8"/>
  <c r="BG47" i="8"/>
  <c r="BF47" i="8"/>
  <c r="AZ47" i="8"/>
  <c r="AP47" i="8"/>
  <c r="AO47" i="8"/>
  <c r="AM47" i="8"/>
  <c r="AN47" i="8" s="1"/>
  <c r="AJ47" i="8"/>
  <c r="AI47" i="8"/>
  <c r="AG47" i="8"/>
  <c r="U47" i="8"/>
  <c r="Q47" i="8"/>
  <c r="N47" i="8"/>
  <c r="BX46" i="8"/>
  <c r="BQ46" i="8"/>
  <c r="BP46" i="8"/>
  <c r="BO46" i="8"/>
  <c r="BM46" i="8"/>
  <c r="BL46" i="8"/>
  <c r="BK46" i="8"/>
  <c r="BJ46" i="8"/>
  <c r="BI46" i="8"/>
  <c r="BH46" i="8"/>
  <c r="BG46" i="8"/>
  <c r="BF46" i="8"/>
  <c r="AZ46" i="8"/>
  <c r="BS46" i="8" s="1"/>
  <c r="BU46" i="8" s="1"/>
  <c r="AO46" i="8"/>
  <c r="AP46" i="8" s="1"/>
  <c r="AM46" i="8"/>
  <c r="AN46" i="8" s="1"/>
  <c r="AJ46" i="8"/>
  <c r="BW46" i="8" s="1"/>
  <c r="BZ46" i="8" s="1"/>
  <c r="BE46" i="8" s="1"/>
  <c r="AI46" i="8"/>
  <c r="AK46" i="8" s="1"/>
  <c r="AG46" i="8"/>
  <c r="U46" i="8"/>
  <c r="Q46" i="8"/>
  <c r="N46" i="8"/>
  <c r="BX45" i="8"/>
  <c r="BS45" i="8"/>
  <c r="BU45" i="8" s="1"/>
  <c r="BQ45" i="8"/>
  <c r="BP45" i="8"/>
  <c r="BO45" i="8"/>
  <c r="BM45" i="8"/>
  <c r="BL45" i="8"/>
  <c r="BI45" i="8"/>
  <c r="BH45" i="8"/>
  <c r="BG45" i="8"/>
  <c r="BF45" i="8"/>
  <c r="AZ45" i="8"/>
  <c r="AP45" i="8"/>
  <c r="AO45" i="8"/>
  <c r="AM45" i="8"/>
  <c r="AN45" i="8" s="1"/>
  <c r="AJ45" i="8"/>
  <c r="BW45" i="8" s="1"/>
  <c r="BZ45" i="8" s="1"/>
  <c r="BE45" i="8" s="1"/>
  <c r="AI45" i="8"/>
  <c r="AG45" i="8"/>
  <c r="U45" i="8"/>
  <c r="Q45" i="8"/>
  <c r="N45" i="8"/>
  <c r="BX44" i="8"/>
  <c r="BQ44" i="8"/>
  <c r="BP44" i="8"/>
  <c r="BO44" i="8"/>
  <c r="BM44" i="8"/>
  <c r="BL44" i="8"/>
  <c r="BI44" i="8"/>
  <c r="BH44" i="8"/>
  <c r="BG44" i="8"/>
  <c r="BF44" i="8"/>
  <c r="AZ44" i="8"/>
  <c r="BS44" i="8" s="1"/>
  <c r="BU44" i="8" s="1"/>
  <c r="AY44" i="8"/>
  <c r="AO44" i="8"/>
  <c r="AP44" i="8" s="1"/>
  <c r="AN44" i="8"/>
  <c r="AM44" i="8"/>
  <c r="AJ44" i="8"/>
  <c r="AI44" i="8"/>
  <c r="BN44" i="8" s="1"/>
  <c r="AG44" i="8"/>
  <c r="U44" i="8"/>
  <c r="Q44" i="8"/>
  <c r="N44" i="8"/>
  <c r="BX43" i="8"/>
  <c r="BW43" i="8"/>
  <c r="BZ43" i="8" s="1"/>
  <c r="BE43" i="8" s="1"/>
  <c r="BQ43" i="8"/>
  <c r="BP43" i="8"/>
  <c r="BO43" i="8"/>
  <c r="BM43" i="8"/>
  <c r="BL43" i="8"/>
  <c r="BJ43" i="8"/>
  <c r="BI43" i="8"/>
  <c r="BH43" i="8"/>
  <c r="BG43" i="8"/>
  <c r="BF43" i="8"/>
  <c r="AZ43" i="8"/>
  <c r="BS43" i="8" s="1"/>
  <c r="BU43" i="8" s="1"/>
  <c r="AO43" i="8"/>
  <c r="AP43" i="8" s="1"/>
  <c r="AN43" i="8"/>
  <c r="AM43" i="8"/>
  <c r="AJ43" i="8"/>
  <c r="BK43" i="8" s="1"/>
  <c r="AI43" i="8"/>
  <c r="BN43" i="8" s="1"/>
  <c r="AG43" i="8"/>
  <c r="U43" i="8"/>
  <c r="Q43" i="8"/>
  <c r="N43" i="8"/>
  <c r="BX42" i="8"/>
  <c r="BQ42" i="8"/>
  <c r="BP42" i="8"/>
  <c r="BO42" i="8"/>
  <c r="BN42" i="8"/>
  <c r="BM42" i="8"/>
  <c r="BL42" i="8"/>
  <c r="BI42" i="8"/>
  <c r="BH42" i="8"/>
  <c r="BG42" i="8"/>
  <c r="BF42" i="8"/>
  <c r="AZ42" i="8"/>
  <c r="BS42" i="8" s="1"/>
  <c r="BU42" i="8" s="1"/>
  <c r="AO42" i="8"/>
  <c r="AP42" i="8" s="1"/>
  <c r="AM42" i="8"/>
  <c r="AN42" i="8" s="1"/>
  <c r="AK42" i="8"/>
  <c r="AJ42" i="8"/>
  <c r="BW42" i="8" s="1"/>
  <c r="BZ42" i="8" s="1"/>
  <c r="BE42" i="8" s="1"/>
  <c r="AI42" i="8"/>
  <c r="AG42" i="8"/>
  <c r="U42" i="8"/>
  <c r="Q42" i="8"/>
  <c r="N42" i="8"/>
  <c r="BX41" i="8"/>
  <c r="BQ41" i="8"/>
  <c r="BP41" i="8"/>
  <c r="BO41" i="8"/>
  <c r="BM41" i="8"/>
  <c r="BL41" i="8"/>
  <c r="BI41" i="8"/>
  <c r="BH41" i="8"/>
  <c r="BG41" i="8"/>
  <c r="BF41" i="8"/>
  <c r="AZ41" i="8"/>
  <c r="BS41" i="8" s="1"/>
  <c r="BU41" i="8" s="1"/>
  <c r="AO41" i="8"/>
  <c r="AP41" i="8" s="1"/>
  <c r="AM41" i="8"/>
  <c r="AN41" i="8" s="1"/>
  <c r="AJ41" i="8"/>
  <c r="AI41" i="8"/>
  <c r="BN41" i="8" s="1"/>
  <c r="AG41" i="8"/>
  <c r="U41" i="8"/>
  <c r="Q41" i="8"/>
  <c r="N41" i="8"/>
  <c r="BX40" i="8"/>
  <c r="BQ40" i="8"/>
  <c r="BP40" i="8"/>
  <c r="BO40" i="8"/>
  <c r="BM40" i="8"/>
  <c r="BL40" i="8"/>
  <c r="BI40" i="8"/>
  <c r="BH40" i="8"/>
  <c r="BG40" i="8"/>
  <c r="BF40" i="8"/>
  <c r="AZ40" i="8"/>
  <c r="BS40" i="8" s="1"/>
  <c r="BU40" i="8" s="1"/>
  <c r="AO40" i="8"/>
  <c r="AP40" i="8" s="1"/>
  <c r="AM40" i="8"/>
  <c r="AN40" i="8" s="1"/>
  <c r="AJ40" i="8"/>
  <c r="AI40" i="8"/>
  <c r="AG40" i="8"/>
  <c r="U40" i="8"/>
  <c r="Q40" i="8"/>
  <c r="N40" i="8"/>
  <c r="BX39" i="8"/>
  <c r="BQ39" i="8"/>
  <c r="BP39" i="8"/>
  <c r="BO39" i="8"/>
  <c r="BM39" i="8"/>
  <c r="BL39" i="8"/>
  <c r="BI39" i="8"/>
  <c r="BH39" i="8"/>
  <c r="BG39" i="8"/>
  <c r="BF39" i="8"/>
  <c r="AZ39" i="8"/>
  <c r="BS39" i="8" s="1"/>
  <c r="BU39" i="8" s="1"/>
  <c r="AO39" i="8"/>
  <c r="AP39" i="8" s="1"/>
  <c r="AM39" i="8"/>
  <c r="AN39" i="8" s="1"/>
  <c r="AJ39" i="8"/>
  <c r="AI39" i="8"/>
  <c r="AG39" i="8"/>
  <c r="U39" i="8"/>
  <c r="Q39" i="8"/>
  <c r="N39" i="8"/>
  <c r="BX38" i="8"/>
  <c r="BQ38" i="8"/>
  <c r="BP38" i="8"/>
  <c r="BO38" i="8"/>
  <c r="BM38" i="8"/>
  <c r="BL38" i="8"/>
  <c r="BI38" i="8"/>
  <c r="BH38" i="8"/>
  <c r="BG38" i="8"/>
  <c r="BF38" i="8"/>
  <c r="AZ38" i="8"/>
  <c r="BS38" i="8" s="1"/>
  <c r="BU38" i="8" s="1"/>
  <c r="AO38" i="8"/>
  <c r="AP38" i="8" s="1"/>
  <c r="AM38" i="8"/>
  <c r="AN38" i="8" s="1"/>
  <c r="AJ38" i="8"/>
  <c r="AI38" i="8"/>
  <c r="AK38" i="8" s="1"/>
  <c r="AG38" i="8"/>
  <c r="U38" i="8"/>
  <c r="Q38" i="8"/>
  <c r="N38" i="8"/>
  <c r="BX37" i="8"/>
  <c r="BQ37" i="8"/>
  <c r="BP37" i="8"/>
  <c r="BO37" i="8"/>
  <c r="BM37" i="8"/>
  <c r="BL37" i="8"/>
  <c r="BJ37" i="8"/>
  <c r="BI37" i="8"/>
  <c r="BH37" i="8"/>
  <c r="BG37" i="8"/>
  <c r="BF37" i="8"/>
  <c r="AZ37" i="8"/>
  <c r="BS37" i="8" s="1"/>
  <c r="BU37" i="8" s="1"/>
  <c r="AO37" i="8"/>
  <c r="AP37" i="8" s="1"/>
  <c r="AN37" i="8"/>
  <c r="AM37" i="8"/>
  <c r="AJ37" i="8"/>
  <c r="BW37" i="8" s="1"/>
  <c r="BZ37" i="8" s="1"/>
  <c r="BE37" i="8" s="1"/>
  <c r="AI37" i="8"/>
  <c r="BN37" i="8" s="1"/>
  <c r="AG37" i="8"/>
  <c r="U37" i="8"/>
  <c r="Q37" i="8"/>
  <c r="N37" i="8"/>
  <c r="BX36" i="8"/>
  <c r="BQ36" i="8"/>
  <c r="BP36" i="8"/>
  <c r="BO36" i="8"/>
  <c r="BM36" i="8"/>
  <c r="BL36" i="8"/>
  <c r="BI36" i="8"/>
  <c r="BH36" i="8"/>
  <c r="BG36" i="8"/>
  <c r="BF36" i="8"/>
  <c r="AZ36" i="8"/>
  <c r="BS36" i="8" s="1"/>
  <c r="BU36" i="8" s="1"/>
  <c r="AO36" i="8"/>
  <c r="AP36" i="8" s="1"/>
  <c r="AM36" i="8"/>
  <c r="AN36" i="8" s="1"/>
  <c r="AJ36" i="8"/>
  <c r="BW36" i="8" s="1"/>
  <c r="BZ36" i="8" s="1"/>
  <c r="BE36" i="8" s="1"/>
  <c r="AI36" i="8"/>
  <c r="AK36" i="8" s="1"/>
  <c r="AG36" i="8"/>
  <c r="U36" i="8"/>
  <c r="Q36" i="8"/>
  <c r="N36" i="8"/>
  <c r="BX35" i="8"/>
  <c r="BQ35" i="8"/>
  <c r="BP35" i="8"/>
  <c r="BO35" i="8"/>
  <c r="BM35" i="8"/>
  <c r="BL35" i="8"/>
  <c r="BJ35" i="8"/>
  <c r="BI35" i="8"/>
  <c r="BH35" i="8"/>
  <c r="BG35" i="8"/>
  <c r="BF35" i="8"/>
  <c r="AZ35" i="8"/>
  <c r="BS35" i="8" s="1"/>
  <c r="BU35" i="8" s="1"/>
  <c r="AP35" i="8"/>
  <c r="AO35" i="8"/>
  <c r="AM35" i="8"/>
  <c r="AN35" i="8" s="1"/>
  <c r="AJ35" i="8"/>
  <c r="BK35" i="8" s="1"/>
  <c r="AI35" i="8"/>
  <c r="BN35" i="8" s="1"/>
  <c r="AG35" i="8"/>
  <c r="U35" i="8"/>
  <c r="Q35" i="8"/>
  <c r="N35" i="8"/>
  <c r="BZ34" i="8"/>
  <c r="BX34" i="8"/>
  <c r="BQ34" i="8"/>
  <c r="BP34" i="8"/>
  <c r="BO34" i="8"/>
  <c r="BN34" i="8"/>
  <c r="BM34" i="8"/>
  <c r="BL34" i="8"/>
  <c r="BJ34" i="8"/>
  <c r="BI34" i="8"/>
  <c r="BH34" i="8"/>
  <c r="BG34" i="8"/>
  <c r="BF34" i="8"/>
  <c r="BE34" i="8"/>
  <c r="AZ34" i="8"/>
  <c r="BS34" i="8" s="1"/>
  <c r="BU34" i="8" s="1"/>
  <c r="AO34" i="8"/>
  <c r="AP34" i="8" s="1"/>
  <c r="AM34" i="8"/>
  <c r="AN34" i="8" s="1"/>
  <c r="AK34" i="8"/>
  <c r="AJ34" i="8"/>
  <c r="BW34" i="8" s="1"/>
  <c r="AI34" i="8"/>
  <c r="AG34" i="8"/>
  <c r="U34" i="8"/>
  <c r="Q34" i="8"/>
  <c r="N34" i="8"/>
  <c r="BX33" i="8"/>
  <c r="BW33" i="8"/>
  <c r="BZ33" i="8" s="1"/>
  <c r="BE33" i="8" s="1"/>
  <c r="BQ33" i="8"/>
  <c r="BP33" i="8"/>
  <c r="BO33" i="8"/>
  <c r="BM33" i="8"/>
  <c r="BL33" i="8"/>
  <c r="BI33" i="8"/>
  <c r="BH33" i="8"/>
  <c r="BG33" i="8"/>
  <c r="BF33" i="8"/>
  <c r="AZ33" i="8"/>
  <c r="BS33" i="8" s="1"/>
  <c r="BU33" i="8" s="1"/>
  <c r="AO33" i="8"/>
  <c r="AP33" i="8" s="1"/>
  <c r="AN33" i="8"/>
  <c r="AM33" i="8"/>
  <c r="AK33" i="8"/>
  <c r="AJ33" i="8"/>
  <c r="BK33" i="8" s="1"/>
  <c r="AI33" i="8"/>
  <c r="BN33" i="8" s="1"/>
  <c r="AG33" i="8"/>
  <c r="U33" i="8"/>
  <c r="Q33" i="8"/>
  <c r="N33" i="8"/>
  <c r="BX32" i="8"/>
  <c r="BQ32" i="8"/>
  <c r="BP32" i="8"/>
  <c r="BO32" i="8"/>
  <c r="BM32" i="8"/>
  <c r="BL32" i="8"/>
  <c r="BI32" i="8"/>
  <c r="BH32" i="8"/>
  <c r="BG32" i="8"/>
  <c r="BF32" i="8"/>
  <c r="AZ32" i="8"/>
  <c r="BS32" i="8" s="1"/>
  <c r="BU32" i="8" s="1"/>
  <c r="AO32" i="8"/>
  <c r="AP32" i="8" s="1"/>
  <c r="AN32" i="8"/>
  <c r="AM32" i="8"/>
  <c r="AJ32" i="8"/>
  <c r="AI32" i="8"/>
  <c r="AK32" i="8" s="1"/>
  <c r="AG32" i="8"/>
  <c r="U32" i="8"/>
  <c r="Q32" i="8"/>
  <c r="N32" i="8"/>
  <c r="BX31" i="8"/>
  <c r="BQ31" i="8"/>
  <c r="BP31" i="8"/>
  <c r="BO31" i="8"/>
  <c r="BM31" i="8"/>
  <c r="BL31" i="8"/>
  <c r="BI31" i="8"/>
  <c r="BH31" i="8"/>
  <c r="BG31" i="8"/>
  <c r="BF31" i="8"/>
  <c r="AZ31" i="8"/>
  <c r="BS31" i="8" s="1"/>
  <c r="BU31" i="8" s="1"/>
  <c r="AO31" i="8"/>
  <c r="AP31" i="8" s="1"/>
  <c r="AM31" i="8"/>
  <c r="AN31" i="8" s="1"/>
  <c r="AK31" i="8"/>
  <c r="AJ31" i="8"/>
  <c r="BJ31" i="8" s="1"/>
  <c r="AI31" i="8"/>
  <c r="BN31" i="8" s="1"/>
  <c r="AG31" i="8"/>
  <c r="U31" i="8"/>
  <c r="Q31" i="8"/>
  <c r="N31" i="8"/>
  <c r="BX30" i="8"/>
  <c r="BQ30" i="8"/>
  <c r="BP30" i="8"/>
  <c r="BO30" i="8"/>
  <c r="BM30" i="8"/>
  <c r="BL30" i="8"/>
  <c r="BI30" i="8"/>
  <c r="BH30" i="8"/>
  <c r="BG30" i="8"/>
  <c r="BF30" i="8"/>
  <c r="AZ30" i="8"/>
  <c r="BS30" i="8" s="1"/>
  <c r="BU30" i="8" s="1"/>
  <c r="AO30" i="8"/>
  <c r="AP30" i="8" s="1"/>
  <c r="AM30" i="8"/>
  <c r="AN30" i="8" s="1"/>
  <c r="AJ30" i="8"/>
  <c r="BW30" i="8" s="1"/>
  <c r="BZ30" i="8" s="1"/>
  <c r="BE30" i="8" s="1"/>
  <c r="AI30" i="8"/>
  <c r="AG30" i="8"/>
  <c r="U30" i="8"/>
  <c r="Q30" i="8"/>
  <c r="N30" i="8"/>
  <c r="BX29" i="8"/>
  <c r="BQ29" i="8"/>
  <c r="BP29" i="8"/>
  <c r="BO29" i="8"/>
  <c r="BM29" i="8"/>
  <c r="BL29" i="8"/>
  <c r="BJ29" i="8"/>
  <c r="BI29" i="8"/>
  <c r="BH29" i="8"/>
  <c r="BG29" i="8"/>
  <c r="BF29" i="8"/>
  <c r="AZ29" i="8"/>
  <c r="BS29" i="8" s="1"/>
  <c r="BU29" i="8" s="1"/>
  <c r="AO29" i="8"/>
  <c r="AP29" i="8" s="1"/>
  <c r="AM29" i="8"/>
  <c r="AN29" i="8" s="1"/>
  <c r="AJ29" i="8"/>
  <c r="BK29" i="8" s="1"/>
  <c r="AI29" i="8"/>
  <c r="BN29" i="8" s="1"/>
  <c r="AG29" i="8"/>
  <c r="U29" i="8"/>
  <c r="Q29" i="8"/>
  <c r="N29" i="8"/>
  <c r="BX28" i="8"/>
  <c r="BQ28" i="8"/>
  <c r="BP28" i="8"/>
  <c r="BO28" i="8"/>
  <c r="BM28" i="8"/>
  <c r="BL28" i="8"/>
  <c r="BJ28" i="8"/>
  <c r="BI28" i="8"/>
  <c r="BH28" i="8"/>
  <c r="BG28" i="8"/>
  <c r="BF28" i="8"/>
  <c r="AZ28" i="8"/>
  <c r="BS28" i="8" s="1"/>
  <c r="BU28" i="8" s="1"/>
  <c r="AO28" i="8"/>
  <c r="AP28" i="8" s="1"/>
  <c r="AM28" i="8"/>
  <c r="AN28" i="8" s="1"/>
  <c r="AJ28" i="8"/>
  <c r="BW28" i="8" s="1"/>
  <c r="BZ28" i="8" s="1"/>
  <c r="BE28" i="8" s="1"/>
  <c r="AI28" i="8"/>
  <c r="AK28" i="8" s="1"/>
  <c r="AG28" i="8"/>
  <c r="U28" i="8"/>
  <c r="Q28" i="8"/>
  <c r="N28" i="8"/>
  <c r="BX27" i="8"/>
  <c r="BQ27" i="8"/>
  <c r="BP27" i="8"/>
  <c r="BO27" i="8"/>
  <c r="BM27" i="8"/>
  <c r="BL27" i="8"/>
  <c r="BI27" i="8"/>
  <c r="BH27" i="8"/>
  <c r="BG27" i="8"/>
  <c r="BF27" i="8"/>
  <c r="AZ27" i="8"/>
  <c r="BS27" i="8" s="1"/>
  <c r="BU27" i="8" s="1"/>
  <c r="AO27" i="8"/>
  <c r="AP27" i="8" s="1"/>
  <c r="AN27" i="8"/>
  <c r="AM27" i="8"/>
  <c r="AJ27" i="8"/>
  <c r="BW27" i="8" s="1"/>
  <c r="BZ27" i="8" s="1"/>
  <c r="BE27" i="8" s="1"/>
  <c r="AI27" i="8"/>
  <c r="BN27" i="8" s="1"/>
  <c r="AG27" i="8"/>
  <c r="U27" i="8"/>
  <c r="Q27" i="8"/>
  <c r="N27" i="8"/>
  <c r="BX26" i="8"/>
  <c r="BQ26" i="8"/>
  <c r="BP26" i="8"/>
  <c r="BO26" i="8"/>
  <c r="BN26" i="8"/>
  <c r="BM26" i="8"/>
  <c r="BL26" i="8"/>
  <c r="BI26" i="8"/>
  <c r="BH26" i="8"/>
  <c r="BG26" i="8"/>
  <c r="BF26" i="8"/>
  <c r="AZ26" i="8"/>
  <c r="BS26" i="8" s="1"/>
  <c r="BU26" i="8" s="1"/>
  <c r="AO26" i="8"/>
  <c r="AP26" i="8" s="1"/>
  <c r="AM26" i="8"/>
  <c r="AN26" i="8" s="1"/>
  <c r="AK26" i="8"/>
  <c r="AJ26" i="8"/>
  <c r="AI26" i="8"/>
  <c r="AG26" i="8"/>
  <c r="U26" i="8"/>
  <c r="Q26" i="8"/>
  <c r="N26" i="8"/>
  <c r="BX25" i="8"/>
  <c r="BW25" i="8"/>
  <c r="BZ25" i="8" s="1"/>
  <c r="BE25" i="8" s="1"/>
  <c r="BQ25" i="8"/>
  <c r="BP25" i="8"/>
  <c r="BO25" i="8"/>
  <c r="BM25" i="8"/>
  <c r="BL25" i="8"/>
  <c r="BJ25" i="8"/>
  <c r="BI25" i="8"/>
  <c r="BH25" i="8"/>
  <c r="BG25" i="8"/>
  <c r="BF25" i="8"/>
  <c r="AZ25" i="8"/>
  <c r="BS25" i="8" s="1"/>
  <c r="BU25" i="8" s="1"/>
  <c r="AO25" i="8"/>
  <c r="AP25" i="8" s="1"/>
  <c r="AM25" i="8"/>
  <c r="AN25" i="8" s="1"/>
  <c r="AJ25" i="8"/>
  <c r="BK25" i="8" s="1"/>
  <c r="AI25" i="8"/>
  <c r="BN25" i="8" s="1"/>
  <c r="AG25" i="8"/>
  <c r="U25" i="8"/>
  <c r="Q25" i="8"/>
  <c r="N25" i="8"/>
  <c r="BX24" i="8"/>
  <c r="BQ24" i="8"/>
  <c r="BP24" i="8"/>
  <c r="BO24" i="8"/>
  <c r="BM24" i="8"/>
  <c r="BL24" i="8"/>
  <c r="BI24" i="8"/>
  <c r="BH24" i="8"/>
  <c r="BG24" i="8"/>
  <c r="BF24" i="8"/>
  <c r="AZ24" i="8"/>
  <c r="BS24" i="8" s="1"/>
  <c r="BU24" i="8" s="1"/>
  <c r="AO24" i="8"/>
  <c r="AP24" i="8" s="1"/>
  <c r="AM24" i="8"/>
  <c r="AN24" i="8" s="1"/>
  <c r="AJ24" i="8"/>
  <c r="AI24" i="8"/>
  <c r="AK24" i="8" s="1"/>
  <c r="AG24" i="8"/>
  <c r="U24" i="8"/>
  <c r="Q24" i="8"/>
  <c r="N24" i="8"/>
  <c r="BX23" i="8"/>
  <c r="BW23" i="8"/>
  <c r="BZ23" i="8" s="1"/>
  <c r="BE23" i="8" s="1"/>
  <c r="BU23" i="8"/>
  <c r="BS23" i="8"/>
  <c r="BQ23" i="8"/>
  <c r="BP23" i="8"/>
  <c r="BO23" i="8"/>
  <c r="BM23" i="8"/>
  <c r="BL23" i="8"/>
  <c r="BJ23" i="8"/>
  <c r="BI23" i="8"/>
  <c r="BH23" i="8"/>
  <c r="BG23" i="8"/>
  <c r="BF23" i="8"/>
  <c r="AZ23" i="8"/>
  <c r="AO23" i="8"/>
  <c r="AP23" i="8" s="1"/>
  <c r="AN23" i="8"/>
  <c r="AM23" i="8"/>
  <c r="AJ23" i="8"/>
  <c r="BK23" i="8" s="1"/>
  <c r="AI23" i="8"/>
  <c r="AG23" i="8"/>
  <c r="U23" i="8"/>
  <c r="Q23" i="8"/>
  <c r="N23" i="8"/>
  <c r="BZ22" i="8"/>
  <c r="BE22" i="8" s="1"/>
  <c r="BX22" i="8"/>
  <c r="BQ22" i="8"/>
  <c r="BP22" i="8"/>
  <c r="BO22" i="8"/>
  <c r="BM22" i="8"/>
  <c r="BL22" i="8"/>
  <c r="BJ22" i="8"/>
  <c r="BI22" i="8"/>
  <c r="BH22" i="8"/>
  <c r="BG22" i="8"/>
  <c r="BF22" i="8"/>
  <c r="AZ22" i="8"/>
  <c r="BS22" i="8" s="1"/>
  <c r="BU22" i="8" s="1"/>
  <c r="AO22" i="8"/>
  <c r="AP22" i="8" s="1"/>
  <c r="AM22" i="8"/>
  <c r="AN22" i="8" s="1"/>
  <c r="AJ22" i="8"/>
  <c r="BW22" i="8" s="1"/>
  <c r="AI22" i="8"/>
  <c r="BN22" i="8" s="1"/>
  <c r="AG22" i="8"/>
  <c r="U22" i="8"/>
  <c r="Q22" i="8"/>
  <c r="N22" i="8"/>
  <c r="BX21" i="8"/>
  <c r="BQ21" i="8"/>
  <c r="BP21" i="8"/>
  <c r="BO21" i="8"/>
  <c r="BM21" i="8"/>
  <c r="BL21" i="8"/>
  <c r="BI21" i="8"/>
  <c r="BH21" i="8"/>
  <c r="BG21" i="8"/>
  <c r="BF21" i="8"/>
  <c r="AZ21" i="8"/>
  <c r="BS21" i="8" s="1"/>
  <c r="BU21" i="8" s="1"/>
  <c r="AO21" i="8"/>
  <c r="AP21" i="8" s="1"/>
  <c r="AM21" i="8"/>
  <c r="AN21" i="8" s="1"/>
  <c r="AJ21" i="8"/>
  <c r="AI21" i="8"/>
  <c r="BN21" i="8" s="1"/>
  <c r="AG21" i="8"/>
  <c r="U21" i="8"/>
  <c r="Q21" i="8"/>
  <c r="N21" i="8"/>
  <c r="BX20" i="8"/>
  <c r="BQ20" i="8"/>
  <c r="BP20" i="8"/>
  <c r="BO20" i="8"/>
  <c r="BM20" i="8"/>
  <c r="BL20" i="8"/>
  <c r="BJ20" i="8"/>
  <c r="BI20" i="8"/>
  <c r="BH20" i="8"/>
  <c r="BG20" i="8"/>
  <c r="BF20" i="8"/>
  <c r="AZ20" i="8"/>
  <c r="BS20" i="8" s="1"/>
  <c r="BU20" i="8" s="1"/>
  <c r="AO20" i="8"/>
  <c r="AP20" i="8" s="1"/>
  <c r="AM20" i="8"/>
  <c r="AN20" i="8" s="1"/>
  <c r="AJ20" i="8"/>
  <c r="BW20" i="8" s="1"/>
  <c r="BZ20" i="8" s="1"/>
  <c r="BE20" i="8" s="1"/>
  <c r="AI20" i="8"/>
  <c r="AK20" i="8" s="1"/>
  <c r="AG20" i="8"/>
  <c r="U20" i="8"/>
  <c r="Q20" i="8"/>
  <c r="N20" i="8"/>
  <c r="BX19" i="8"/>
  <c r="BQ19" i="8"/>
  <c r="BP19" i="8"/>
  <c r="BO19" i="8"/>
  <c r="BM19" i="8"/>
  <c r="BL19" i="8"/>
  <c r="BJ19" i="8"/>
  <c r="BI19" i="8"/>
  <c r="BH19" i="8"/>
  <c r="BG19" i="8"/>
  <c r="BF19" i="8"/>
  <c r="AZ19" i="8"/>
  <c r="BS19" i="8" s="1"/>
  <c r="BU19" i="8" s="1"/>
  <c r="AO19" i="8"/>
  <c r="AP19" i="8" s="1"/>
  <c r="AN19" i="8"/>
  <c r="AM19" i="8"/>
  <c r="AJ19" i="8"/>
  <c r="BK19" i="8" s="1"/>
  <c r="AI19" i="8"/>
  <c r="BN19" i="8" s="1"/>
  <c r="AG19" i="8"/>
  <c r="U19" i="8"/>
  <c r="Q19" i="8"/>
  <c r="N19" i="8"/>
  <c r="BX18" i="8"/>
  <c r="BQ18" i="8"/>
  <c r="BP18" i="8"/>
  <c r="BO18" i="8"/>
  <c r="BM18" i="8"/>
  <c r="BL18" i="8"/>
  <c r="BJ18" i="8"/>
  <c r="BI18" i="8"/>
  <c r="BH18" i="8"/>
  <c r="BG18" i="8"/>
  <c r="BF18" i="8"/>
  <c r="AZ18" i="8"/>
  <c r="BS18" i="8" s="1"/>
  <c r="BU18" i="8" s="1"/>
  <c r="AO18" i="8"/>
  <c r="AP18" i="8" s="1"/>
  <c r="AM18" i="8"/>
  <c r="AN18" i="8" s="1"/>
  <c r="AJ18" i="8"/>
  <c r="BW18" i="8" s="1"/>
  <c r="BZ18" i="8" s="1"/>
  <c r="BE18" i="8" s="1"/>
  <c r="AI18" i="8"/>
  <c r="AK18" i="8" s="1"/>
  <c r="AG18" i="8"/>
  <c r="U18" i="8"/>
  <c r="Q18" i="8"/>
  <c r="N18" i="8"/>
  <c r="BX17" i="8"/>
  <c r="BS17" i="8"/>
  <c r="BU17" i="8" s="1"/>
  <c r="BQ17" i="8"/>
  <c r="BP17" i="8"/>
  <c r="BO17" i="8"/>
  <c r="BM17" i="8"/>
  <c r="BL17" i="8"/>
  <c r="BJ17" i="8"/>
  <c r="BI17" i="8"/>
  <c r="BH17" i="8"/>
  <c r="BG17" i="8"/>
  <c r="BF17" i="8"/>
  <c r="AZ17" i="8"/>
  <c r="AO17" i="8"/>
  <c r="AP17" i="8" s="1"/>
  <c r="AM17" i="8"/>
  <c r="AN17" i="8" s="1"/>
  <c r="AJ17" i="8"/>
  <c r="BK17" i="8" s="1"/>
  <c r="AI17" i="8"/>
  <c r="BN17" i="8" s="1"/>
  <c r="AG17" i="8"/>
  <c r="U17" i="8"/>
  <c r="Q17" i="8"/>
  <c r="N17" i="8"/>
  <c r="BX16" i="8"/>
  <c r="BQ16" i="8"/>
  <c r="BP16" i="8"/>
  <c r="BO16" i="8"/>
  <c r="BM16" i="8"/>
  <c r="BL16" i="8"/>
  <c r="BI16" i="8"/>
  <c r="BH16" i="8"/>
  <c r="BG16" i="8"/>
  <c r="BF16" i="8"/>
  <c r="AZ16" i="8"/>
  <c r="BS16" i="8" s="1"/>
  <c r="BU16" i="8" s="1"/>
  <c r="AO16" i="8"/>
  <c r="AP16" i="8" s="1"/>
  <c r="AM16" i="8"/>
  <c r="AN16" i="8" s="1"/>
  <c r="AJ16" i="8"/>
  <c r="BW16" i="8" s="1"/>
  <c r="BZ16" i="8" s="1"/>
  <c r="BE16" i="8" s="1"/>
  <c r="AI16" i="8"/>
  <c r="BN16" i="8" s="1"/>
  <c r="AG16" i="8"/>
  <c r="U16" i="8"/>
  <c r="Q16" i="8"/>
  <c r="N16" i="8"/>
  <c r="BX15" i="8"/>
  <c r="BS15" i="8"/>
  <c r="BU15" i="8" s="1"/>
  <c r="BQ15" i="8"/>
  <c r="BP15" i="8"/>
  <c r="BO15" i="8"/>
  <c r="BM15" i="8"/>
  <c r="BL15" i="8"/>
  <c r="BJ15" i="8"/>
  <c r="BI15" i="8"/>
  <c r="BH15" i="8"/>
  <c r="BG15" i="8"/>
  <c r="BF15" i="8"/>
  <c r="AZ15" i="8"/>
  <c r="AO15" i="8"/>
  <c r="AP15" i="8" s="1"/>
  <c r="AM15" i="8"/>
  <c r="AN15" i="8" s="1"/>
  <c r="AJ15" i="8"/>
  <c r="BW15" i="8" s="1"/>
  <c r="BZ15" i="8" s="1"/>
  <c r="BE15" i="8" s="1"/>
  <c r="AI15" i="8"/>
  <c r="BN15" i="8" s="1"/>
  <c r="AG15" i="8"/>
  <c r="U15" i="8"/>
  <c r="Q15" i="8"/>
  <c r="N15" i="8"/>
  <c r="BZ14" i="8"/>
  <c r="BE14" i="8" s="1"/>
  <c r="BX14" i="8"/>
  <c r="BQ14" i="8"/>
  <c r="BP14" i="8"/>
  <c r="BO14" i="8"/>
  <c r="BN14" i="8"/>
  <c r="BM14" i="8"/>
  <c r="BL14" i="8"/>
  <c r="BK14" i="8"/>
  <c r="BI14" i="8"/>
  <c r="BH14" i="8"/>
  <c r="BG14" i="8"/>
  <c r="BF14" i="8"/>
  <c r="AZ14" i="8"/>
  <c r="BS14" i="8" s="1"/>
  <c r="BU14" i="8" s="1"/>
  <c r="AO14" i="8"/>
  <c r="AP14" i="8" s="1"/>
  <c r="AM14" i="8"/>
  <c r="AN14" i="8" s="1"/>
  <c r="AK14" i="8"/>
  <c r="AJ14" i="8"/>
  <c r="BW14" i="8" s="1"/>
  <c r="AI14" i="8"/>
  <c r="AG14" i="8"/>
  <c r="U14" i="8"/>
  <c r="Q14" i="8"/>
  <c r="N14" i="8"/>
  <c r="BX13" i="8"/>
  <c r="BW13" i="8"/>
  <c r="BZ13" i="8" s="1"/>
  <c r="BE13" i="8" s="1"/>
  <c r="BQ13" i="8"/>
  <c r="BP13" i="8"/>
  <c r="BO13" i="8"/>
  <c r="BM13" i="8"/>
  <c r="BL13" i="8"/>
  <c r="BI13" i="8"/>
  <c r="BH13" i="8"/>
  <c r="BG13" i="8"/>
  <c r="BF13" i="8"/>
  <c r="AZ13" i="8"/>
  <c r="BS13" i="8" s="1"/>
  <c r="BU13" i="8" s="1"/>
  <c r="AO13" i="8"/>
  <c r="AP13" i="8" s="1"/>
  <c r="AN13" i="8"/>
  <c r="AM13" i="8"/>
  <c r="AJ13" i="8"/>
  <c r="BK13" i="8" s="1"/>
  <c r="AI13" i="8"/>
  <c r="BN13" i="8" s="1"/>
  <c r="AG13" i="8"/>
  <c r="U13" i="8"/>
  <c r="Q13" i="8"/>
  <c r="N13" i="8"/>
  <c r="BZ12" i="8"/>
  <c r="BE12" i="8" s="1"/>
  <c r="BX12" i="8"/>
  <c r="BQ12" i="8"/>
  <c r="BP12" i="8"/>
  <c r="BO12" i="8"/>
  <c r="BM12" i="8"/>
  <c r="BL12" i="8"/>
  <c r="BI12" i="8"/>
  <c r="BH12" i="8"/>
  <c r="BG12" i="8"/>
  <c r="BF12" i="8"/>
  <c r="AZ12" i="8"/>
  <c r="BS12" i="8" s="1"/>
  <c r="BU12" i="8" s="1"/>
  <c r="AO12" i="8"/>
  <c r="AP12" i="8" s="1"/>
  <c r="AM12" i="8"/>
  <c r="AN12" i="8" s="1"/>
  <c r="AJ12" i="8"/>
  <c r="BW12" i="8" s="1"/>
  <c r="AI12" i="8"/>
  <c r="BN12" i="8" s="1"/>
  <c r="AG12" i="8"/>
  <c r="U12" i="8"/>
  <c r="Q12" i="8"/>
  <c r="N12" i="8"/>
  <c r="BX11" i="8"/>
  <c r="BW11" i="8"/>
  <c r="BZ11" i="8" s="1"/>
  <c r="BE11" i="8" s="1"/>
  <c r="BQ11" i="8"/>
  <c r="BP11" i="8"/>
  <c r="BO11" i="8"/>
  <c r="BM11" i="8"/>
  <c r="BL11" i="8"/>
  <c r="BK11" i="8"/>
  <c r="BI11" i="8"/>
  <c r="BH11" i="8"/>
  <c r="BG11" i="8"/>
  <c r="BF11" i="8"/>
  <c r="AZ11" i="8"/>
  <c r="BS11" i="8" s="1"/>
  <c r="BU11" i="8" s="1"/>
  <c r="AO11" i="8"/>
  <c r="AP11" i="8" s="1"/>
  <c r="AM11" i="8"/>
  <c r="AN11" i="8" s="1"/>
  <c r="AJ11" i="8"/>
  <c r="BJ11" i="8" s="1"/>
  <c r="AI11" i="8"/>
  <c r="BN11" i="8" s="1"/>
  <c r="AG11" i="8"/>
  <c r="U11" i="8"/>
  <c r="Q11" i="8"/>
  <c r="N11" i="8"/>
  <c r="BX10" i="8"/>
  <c r="BQ10" i="8"/>
  <c r="BP10" i="8"/>
  <c r="BO10" i="8"/>
  <c r="BN10" i="8"/>
  <c r="BM10" i="8"/>
  <c r="BL10" i="8"/>
  <c r="BI10" i="8"/>
  <c r="BH10" i="8"/>
  <c r="BG10" i="8"/>
  <c r="BF10" i="8"/>
  <c r="BE10" i="8"/>
  <c r="AZ10" i="8"/>
  <c r="BS10" i="8" s="1"/>
  <c r="BU10" i="8" s="1"/>
  <c r="AO10" i="8"/>
  <c r="AP10" i="8" s="1"/>
  <c r="AM10" i="8"/>
  <c r="AN10" i="8" s="1"/>
  <c r="AJ10" i="8"/>
  <c r="BW10" i="8" s="1"/>
  <c r="BZ10" i="8" s="1"/>
  <c r="AI10" i="8"/>
  <c r="AK10" i="8" s="1"/>
  <c r="AG10" i="8"/>
  <c r="U10" i="8"/>
  <c r="Q10" i="8"/>
  <c r="N10" i="8"/>
  <c r="BX9" i="8"/>
  <c r="BQ9" i="8"/>
  <c r="BP9" i="8"/>
  <c r="BO9" i="8"/>
  <c r="BM9" i="8"/>
  <c r="BL9" i="8"/>
  <c r="BI9" i="8"/>
  <c r="BH9" i="8"/>
  <c r="BG9" i="8"/>
  <c r="BF9" i="8"/>
  <c r="AZ9" i="8"/>
  <c r="BS9" i="8" s="1"/>
  <c r="BU9" i="8" s="1"/>
  <c r="AO9" i="8"/>
  <c r="AP9" i="8" s="1"/>
  <c r="AM9" i="8"/>
  <c r="AN9" i="8" s="1"/>
  <c r="AJ9" i="8"/>
  <c r="AI9" i="8"/>
  <c r="AG9" i="8"/>
  <c r="U9" i="8"/>
  <c r="Q9" i="8"/>
  <c r="N9" i="8"/>
  <c r="BX8" i="8"/>
  <c r="BQ8" i="8"/>
  <c r="BP8" i="8"/>
  <c r="BO8" i="8"/>
  <c r="BM8" i="8"/>
  <c r="BL8" i="8"/>
  <c r="BI8" i="8"/>
  <c r="BH8" i="8"/>
  <c r="BG8" i="8"/>
  <c r="BF8" i="8"/>
  <c r="AZ8" i="8"/>
  <c r="BS8" i="8" s="1"/>
  <c r="BU8" i="8" s="1"/>
  <c r="AO8" i="8"/>
  <c r="AP8" i="8" s="1"/>
  <c r="AM8" i="8"/>
  <c r="AN8" i="8" s="1"/>
  <c r="AJ8" i="8"/>
  <c r="BW8" i="8" s="1"/>
  <c r="BZ8" i="8" s="1"/>
  <c r="BE8" i="8" s="1"/>
  <c r="AI8" i="8"/>
  <c r="AG8" i="8"/>
  <c r="U8" i="8"/>
  <c r="Q8" i="8"/>
  <c r="N8" i="8"/>
  <c r="BX7" i="8"/>
  <c r="BQ7" i="8"/>
  <c r="BP7" i="8"/>
  <c r="BO7" i="8"/>
  <c r="BM7" i="8"/>
  <c r="BL7" i="8"/>
  <c r="BK7" i="8"/>
  <c r="BJ7" i="8"/>
  <c r="BI7" i="8"/>
  <c r="BH7" i="8"/>
  <c r="BG7" i="8"/>
  <c r="BF7" i="8"/>
  <c r="AZ7" i="8"/>
  <c r="BS7" i="8" s="1"/>
  <c r="BU7" i="8" s="1"/>
  <c r="AO7" i="8"/>
  <c r="AP7" i="8" s="1"/>
  <c r="AM7" i="8"/>
  <c r="AN7" i="8" s="1"/>
  <c r="AJ7" i="8"/>
  <c r="BW7" i="8" s="1"/>
  <c r="BZ7" i="8" s="1"/>
  <c r="BE7" i="8" s="1"/>
  <c r="AI7" i="8"/>
  <c r="AG7" i="8"/>
  <c r="U7" i="8"/>
  <c r="Q7" i="8"/>
  <c r="N7" i="8"/>
  <c r="BX6" i="8"/>
  <c r="BP6" i="8"/>
  <c r="BO6" i="8"/>
  <c r="BM6" i="8"/>
  <c r="BL6" i="8"/>
  <c r="BK6" i="8"/>
  <c r="BI6" i="8"/>
  <c r="BH6" i="8"/>
  <c r="BG6" i="8"/>
  <c r="BF6" i="8"/>
  <c r="AZ6" i="8"/>
  <c r="BS6" i="8" s="1"/>
  <c r="BU6" i="8" s="1"/>
  <c r="AP6" i="8"/>
  <c r="AO6" i="8"/>
  <c r="AM6" i="8"/>
  <c r="AN6" i="8" s="1"/>
  <c r="AJ6" i="8"/>
  <c r="BW6" i="8" s="1"/>
  <c r="BZ6" i="8" s="1"/>
  <c r="BE6" i="8" s="1"/>
  <c r="AI6" i="8"/>
  <c r="AK6" i="8" s="1"/>
  <c r="AG6" i="8"/>
  <c r="U6" i="8"/>
  <c r="Q6" i="8"/>
  <c r="N6" i="8"/>
  <c r="H6" i="8"/>
  <c r="BQ6" i="8" s="1"/>
  <c r="BW50" i="8" l="1"/>
  <c r="BZ50" i="8" s="1"/>
  <c r="BE50" i="8" s="1"/>
  <c r="BJ50" i="8"/>
  <c r="BJ63" i="8"/>
  <c r="BW63" i="8"/>
  <c r="BZ63" i="8" s="1"/>
  <c r="BE63" i="8" s="1"/>
  <c r="BN62" i="8"/>
  <c r="AK62" i="8"/>
  <c r="BN48" i="8"/>
  <c r="AK48" i="8"/>
  <c r="AK8" i="8"/>
  <c r="BN8" i="8"/>
  <c r="BW40" i="8"/>
  <c r="BZ40" i="8" s="1"/>
  <c r="BE40" i="8" s="1"/>
  <c r="BJ40" i="8"/>
  <c r="BW21" i="8"/>
  <c r="BZ21" i="8" s="1"/>
  <c r="BE21" i="8" s="1"/>
  <c r="BJ21" i="8"/>
  <c r="BK39" i="8"/>
  <c r="BW39" i="8"/>
  <c r="BZ39" i="8" s="1"/>
  <c r="BE39" i="8" s="1"/>
  <c r="BK49" i="8"/>
  <c r="BJ49" i="8"/>
  <c r="BW49" i="8"/>
  <c r="BW9" i="8"/>
  <c r="BZ9" i="8" s="1"/>
  <c r="BE9" i="8" s="1"/>
  <c r="BK9" i="8"/>
  <c r="BJ9" i="8"/>
  <c r="BN30" i="8"/>
  <c r="AK30" i="8"/>
  <c r="BN54" i="8"/>
  <c r="AK54" i="8"/>
  <c r="BN40" i="8"/>
  <c r="AK40" i="8"/>
  <c r="BN39" i="8"/>
  <c r="AK39" i="8"/>
  <c r="BW41" i="8"/>
  <c r="BZ41" i="8" s="1"/>
  <c r="BE41" i="8" s="1"/>
  <c r="BJ41" i="8"/>
  <c r="BK55" i="8"/>
  <c r="BJ55" i="8"/>
  <c r="BW55" i="8"/>
  <c r="BZ55" i="8" s="1"/>
  <c r="BE55" i="8" s="1"/>
  <c r="BN28" i="8"/>
  <c r="BN38" i="8"/>
  <c r="BN6" i="8"/>
  <c r="BJ12" i="8"/>
  <c r="AK16" i="8"/>
  <c r="AK27" i="8"/>
  <c r="BW29" i="8"/>
  <c r="BZ29" i="8" s="1"/>
  <c r="BE29" i="8" s="1"/>
  <c r="BN36" i="8"/>
  <c r="BN46" i="8"/>
  <c r="BJ66" i="8"/>
  <c r="BN68" i="8"/>
  <c r="BJ78" i="8"/>
  <c r="BN20" i="8"/>
  <c r="BW71" i="8"/>
  <c r="BZ71" i="8" s="1"/>
  <c r="BE71" i="8" s="1"/>
  <c r="BK12" i="8"/>
  <c r="BJ13" i="8"/>
  <c r="BN52" i="8"/>
  <c r="BW61" i="8"/>
  <c r="BZ61" i="8" s="1"/>
  <c r="BE61" i="8" s="1"/>
  <c r="BN67" i="8"/>
  <c r="BW70" i="8"/>
  <c r="BZ70" i="8" s="1"/>
  <c r="BE70" i="8" s="1"/>
  <c r="BK77" i="8"/>
  <c r="BW17" i="8"/>
  <c r="BZ17" i="8" s="1"/>
  <c r="BE17" i="8" s="1"/>
  <c r="BN69" i="8"/>
  <c r="BN18" i="8"/>
  <c r="BN60" i="8"/>
  <c r="BW19" i="8"/>
  <c r="BZ19" i="8" s="1"/>
  <c r="BE19" i="8" s="1"/>
  <c r="BW69" i="8"/>
  <c r="BZ69" i="8" s="1"/>
  <c r="BE69" i="8" s="1"/>
  <c r="AK12" i="8"/>
  <c r="AK13" i="8"/>
  <c r="BN24" i="8"/>
  <c r="BN32" i="8"/>
  <c r="AK43" i="8"/>
  <c r="AK44" i="8"/>
  <c r="BN56" i="8"/>
  <c r="BK71" i="8"/>
  <c r="BN74" i="8"/>
  <c r="BN75" i="8"/>
  <c r="BN77" i="8"/>
  <c r="AK78" i="8"/>
  <c r="AK19" i="8"/>
  <c r="AK37" i="8"/>
  <c r="BW59" i="8"/>
  <c r="BZ59" i="8" s="1"/>
  <c r="BE59" i="8" s="1"/>
  <c r="BN76" i="8"/>
  <c r="BJ8" i="8"/>
  <c r="AK11" i="8"/>
  <c r="AK22" i="8"/>
  <c r="BW35" i="8"/>
  <c r="BZ35" i="8" s="1"/>
  <c r="BE35" i="8" s="1"/>
  <c r="BJ48" i="8"/>
  <c r="BJ54" i="8"/>
  <c r="BW67" i="8"/>
  <c r="BZ67" i="8" s="1"/>
  <c r="BE67" i="8" s="1"/>
  <c r="BN73" i="8"/>
  <c r="N3" i="6"/>
  <c r="BK31" i="8"/>
  <c r="BJ36" i="8"/>
  <c r="BN7" i="8"/>
  <c r="AK7" i="8"/>
  <c r="BK15" i="8"/>
  <c r="BK20" i="8"/>
  <c r="BJ42" i="8"/>
  <c r="BJ10" i="8"/>
  <c r="BW31" i="8"/>
  <c r="BZ31" i="8" s="1"/>
  <c r="BE31" i="8" s="1"/>
  <c r="BJ39" i="8"/>
  <c r="BN65" i="8"/>
  <c r="AK65" i="8"/>
  <c r="BK34" i="8"/>
  <c r="BK53" i="8"/>
  <c r="BW53" i="8"/>
  <c r="BZ53" i="8" s="1"/>
  <c r="BE53" i="8" s="1"/>
  <c r="BJ27" i="8"/>
  <c r="BK41" i="8"/>
  <c r="BK27" i="8"/>
  <c r="BW32" i="8"/>
  <c r="BZ32" i="8" s="1"/>
  <c r="BE32" i="8" s="1"/>
  <c r="BK32" i="8"/>
  <c r="BJ32" i="8"/>
  <c r="BK36" i="8"/>
  <c r="AK41" i="8"/>
  <c r="BK37" i="8"/>
  <c r="BJ33" i="8"/>
  <c r="BN9" i="8"/>
  <c r="AK9" i="8"/>
  <c r="BK28" i="8"/>
  <c r="BW38" i="8"/>
  <c r="BZ38" i="8" s="1"/>
  <c r="BE38" i="8" s="1"/>
  <c r="BK38" i="8"/>
  <c r="BJ38" i="8"/>
  <c r="BK42" i="8"/>
  <c r="BN23" i="8"/>
  <c r="AK23" i="8"/>
  <c r="AK17" i="8"/>
  <c r="BK10" i="8"/>
  <c r="BW44" i="8"/>
  <c r="BZ44" i="8" s="1"/>
  <c r="BE44" i="8" s="1"/>
  <c r="BK44" i="8"/>
  <c r="BK18" i="8"/>
  <c r="BW24" i="8"/>
  <c r="BZ24" i="8" s="1"/>
  <c r="BE24" i="8" s="1"/>
  <c r="BK24" i="8"/>
  <c r="BJ24" i="8"/>
  <c r="BN49" i="8"/>
  <c r="AK49" i="8"/>
  <c r="BN55" i="8"/>
  <c r="AK55" i="8"/>
  <c r="BN59" i="8"/>
  <c r="AK59" i="8"/>
  <c r="BN63" i="8"/>
  <c r="AK63" i="8"/>
  <c r="BW62" i="8"/>
  <c r="BZ62" i="8" s="1"/>
  <c r="BE62" i="8" s="1"/>
  <c r="BJ62" i="8"/>
  <c r="AK64" i="8"/>
  <c r="BN66" i="8"/>
  <c r="AK15" i="8"/>
  <c r="BK8" i="8"/>
  <c r="AK21" i="8"/>
  <c r="BK22" i="8"/>
  <c r="AK29" i="8"/>
  <c r="BJ44" i="8"/>
  <c r="BJ53" i="8"/>
  <c r="BJ30" i="8"/>
  <c r="BK45" i="8"/>
  <c r="BJ45" i="8"/>
  <c r="BJ52" i="8"/>
  <c r="BW58" i="8"/>
  <c r="BZ58" i="8" s="1"/>
  <c r="BE58" i="8" s="1"/>
  <c r="BJ58" i="8"/>
  <c r="AK25" i="8"/>
  <c r="BW26" i="8"/>
  <c r="BZ26" i="8" s="1"/>
  <c r="BE26" i="8" s="1"/>
  <c r="BK26" i="8"/>
  <c r="BJ26" i="8"/>
  <c r="BK30" i="8"/>
  <c r="AK35" i="8"/>
  <c r="BK40" i="8"/>
  <c r="BK47" i="8"/>
  <c r="BW47" i="8"/>
  <c r="BZ47" i="8" s="1"/>
  <c r="BE47" i="8" s="1"/>
  <c r="BK51" i="8"/>
  <c r="BJ51" i="8"/>
  <c r="BK52" i="8"/>
  <c r="BJ57" i="8"/>
  <c r="BK57" i="8"/>
  <c r="AK70" i="8"/>
  <c r="BK72" i="8"/>
  <c r="BJ72" i="8"/>
  <c r="BJ14" i="8"/>
  <c r="BK21" i="8"/>
  <c r="BN47" i="8"/>
  <c r="AK47" i="8"/>
  <c r="BN53" i="8"/>
  <c r="AK53" i="8"/>
  <c r="BN61" i="8"/>
  <c r="AK61" i="8"/>
  <c r="BJ16" i="8"/>
  <c r="BK50" i="8"/>
  <c r="BK56" i="8"/>
  <c r="BJ6" i="8"/>
  <c r="BK16" i="8"/>
  <c r="BN45" i="8"/>
  <c r="AK45" i="8"/>
  <c r="BN51" i="8"/>
  <c r="AK51" i="8"/>
  <c r="BN57" i="8"/>
  <c r="AK57" i="8"/>
  <c r="BK59" i="8"/>
  <c r="BK61" i="8"/>
  <c r="BK63" i="8"/>
  <c r="BK65" i="8"/>
  <c r="J69" i="6" l="1"/>
  <c r="M69" i="6" s="1"/>
  <c r="J68" i="6"/>
  <c r="M68" i="6" s="1"/>
  <c r="J67" i="6"/>
  <c r="M67" i="6" s="1"/>
  <c r="J66" i="6"/>
  <c r="M66" i="6" s="1"/>
  <c r="J65" i="6"/>
  <c r="J64" i="6"/>
  <c r="M64" i="6" s="1"/>
  <c r="J63" i="6"/>
  <c r="M63" i="6" s="1"/>
  <c r="J62" i="6"/>
  <c r="M62" i="6" s="1"/>
  <c r="J61" i="6"/>
  <c r="M61" i="6" s="1"/>
  <c r="J60" i="6"/>
  <c r="M60" i="6" s="1"/>
  <c r="J59" i="6"/>
  <c r="M59" i="6" s="1"/>
  <c r="J58" i="6"/>
  <c r="M58" i="6" s="1"/>
  <c r="J57" i="6"/>
  <c r="M57" i="6" s="1"/>
  <c r="J56" i="6"/>
  <c r="M56" i="6" s="1"/>
  <c r="J55" i="6"/>
  <c r="M55" i="6" s="1"/>
  <c r="J54" i="6"/>
  <c r="M54" i="6" s="1"/>
  <c r="J53" i="6"/>
  <c r="M53" i="6" s="1"/>
  <c r="J52" i="6"/>
  <c r="M52" i="6" s="1"/>
  <c r="J51" i="6"/>
  <c r="J50" i="6"/>
  <c r="M50" i="6" s="1"/>
  <c r="J49" i="6"/>
  <c r="M49" i="6" s="1"/>
  <c r="J48" i="6"/>
  <c r="M48" i="6" s="1"/>
  <c r="J47" i="6"/>
  <c r="J46" i="6"/>
  <c r="J45" i="6"/>
  <c r="M45" i="6" s="1"/>
  <c r="J44" i="6"/>
  <c r="M44" i="6" s="1"/>
  <c r="J43" i="6"/>
  <c r="M43" i="6" s="1"/>
  <c r="J42" i="6"/>
  <c r="M42" i="6" s="1"/>
  <c r="J41" i="6"/>
  <c r="M41" i="6" s="1"/>
  <c r="J40" i="6"/>
  <c r="M40" i="6" s="1"/>
  <c r="J39" i="6"/>
  <c r="M39" i="6" s="1"/>
  <c r="J38" i="6"/>
  <c r="M38" i="6" s="1"/>
  <c r="J37" i="6"/>
  <c r="M37" i="6" s="1"/>
  <c r="J36" i="6"/>
  <c r="M36" i="6" s="1"/>
  <c r="J35" i="6"/>
  <c r="M35" i="6" s="1"/>
  <c r="J34" i="6"/>
  <c r="M34" i="6" s="1"/>
  <c r="J33" i="6"/>
  <c r="M33" i="6" s="1"/>
  <c r="J32" i="6"/>
  <c r="M32" i="6" s="1"/>
  <c r="J31" i="6"/>
  <c r="M31" i="6" s="1"/>
  <c r="J30" i="6"/>
  <c r="M30" i="6" s="1"/>
  <c r="J29" i="6"/>
  <c r="M29" i="6" s="1"/>
  <c r="J28" i="6"/>
  <c r="M28" i="6" s="1"/>
  <c r="J27" i="6"/>
  <c r="M27" i="6" s="1"/>
  <c r="J26" i="6"/>
  <c r="M26" i="6" s="1"/>
  <c r="J25" i="6"/>
  <c r="M25" i="6" s="1"/>
  <c r="J24" i="6"/>
  <c r="M24" i="6" s="1"/>
  <c r="J23" i="6"/>
  <c r="M23" i="6" s="1"/>
  <c r="J22" i="6"/>
  <c r="M22" i="6" s="1"/>
  <c r="J21" i="6"/>
  <c r="M21" i="6" s="1"/>
  <c r="J20" i="6"/>
  <c r="M20" i="6" s="1"/>
  <c r="J19" i="6"/>
  <c r="M19" i="6" s="1"/>
  <c r="J18" i="6"/>
  <c r="M18" i="6" s="1"/>
  <c r="J17" i="6"/>
  <c r="M17" i="6" s="1"/>
  <c r="J16" i="6"/>
  <c r="M16" i="6" s="1"/>
  <c r="J15" i="6"/>
  <c r="M15" i="6" s="1"/>
  <c r="J14" i="6"/>
  <c r="M14" i="6" s="1"/>
  <c r="J13" i="6"/>
  <c r="M13" i="6" s="1"/>
  <c r="J12" i="6"/>
  <c r="M12" i="6" s="1"/>
  <c r="J11" i="6"/>
  <c r="M11" i="6" s="1"/>
  <c r="J10" i="6"/>
  <c r="M10" i="6" s="1"/>
  <c r="J9" i="6"/>
  <c r="M9" i="6" s="1"/>
  <c r="J8" i="6"/>
  <c r="M8" i="6" s="1"/>
  <c r="J7" i="6"/>
  <c r="M7" i="6" s="1"/>
  <c r="J6" i="6"/>
  <c r="M6" i="6" s="1"/>
  <c r="J5" i="6"/>
  <c r="M5" i="6" s="1"/>
  <c r="J4" i="6"/>
  <c r="F11" i="6" l="1"/>
  <c r="F23" i="6"/>
  <c r="F35" i="6"/>
  <c r="F47" i="6"/>
  <c r="F59" i="6"/>
  <c r="F71" i="6"/>
  <c r="F25" i="6"/>
  <c r="F37" i="6"/>
  <c r="F61" i="6"/>
  <c r="F14" i="6"/>
  <c r="F26" i="6"/>
  <c r="F50" i="6"/>
  <c r="F74" i="6"/>
  <c r="F18" i="6"/>
  <c r="F42" i="6"/>
  <c r="F66" i="6"/>
  <c r="F31" i="6"/>
  <c r="F8" i="6"/>
  <c r="F44" i="6"/>
  <c r="F68" i="6"/>
  <c r="F12" i="6"/>
  <c r="F24" i="6"/>
  <c r="F36" i="6"/>
  <c r="F48" i="6"/>
  <c r="F60" i="6"/>
  <c r="F72" i="6"/>
  <c r="F13" i="6"/>
  <c r="F49" i="6"/>
  <c r="F73" i="6"/>
  <c r="F38" i="6"/>
  <c r="F62" i="6"/>
  <c r="F6" i="6"/>
  <c r="F54" i="6"/>
  <c r="M4" i="6"/>
  <c r="M3" i="6" s="1"/>
  <c r="L2" i="6" s="1"/>
  <c r="F19" i="6"/>
  <c r="F55" i="6"/>
  <c r="F20" i="6"/>
  <c r="F56" i="6"/>
  <c r="F30" i="6"/>
  <c r="F7" i="6"/>
  <c r="F43" i="6"/>
  <c r="F67" i="6"/>
  <c r="F32" i="6"/>
  <c r="F15" i="6"/>
  <c r="F27" i="6"/>
  <c r="F39" i="6"/>
  <c r="F51" i="6"/>
  <c r="F63" i="6"/>
  <c r="F75" i="6"/>
  <c r="F17" i="6"/>
  <c r="F16" i="6"/>
  <c r="F28" i="6"/>
  <c r="F40" i="6"/>
  <c r="F52" i="6"/>
  <c r="F64" i="6"/>
  <c r="F76" i="6"/>
  <c r="F5" i="6"/>
  <c r="F29" i="6"/>
  <c r="F41" i="6"/>
  <c r="F53" i="6"/>
  <c r="F65" i="6"/>
  <c r="F4" i="6"/>
  <c r="F9" i="6"/>
  <c r="F45" i="6"/>
  <c r="F57" i="6"/>
  <c r="F10" i="6"/>
  <c r="F22" i="6"/>
  <c r="F46" i="6"/>
  <c r="F58" i="6"/>
  <c r="F69" i="6"/>
  <c r="F70" i="6"/>
  <c r="F21" i="6"/>
  <c r="F33" i="6"/>
  <c r="F3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Jasen YANG</author>
    <author>Matthew Foreman</author>
    <author>Leonardo Marques</author>
  </authors>
  <commentList>
    <comment ref="K5" authorId="0" shapeId="0" xr:uid="{9106E066-E17B-4DE4-B8B6-140FA43FAD97}">
      <text>
        <r>
          <rPr>
            <sz val="9"/>
            <color indexed="81"/>
            <rFont val="Tahoma"/>
            <family val="2"/>
          </rPr>
          <t xml:space="preserve">
describe underlying structure, do not apply "deemed FL" logic in RCSA</t>
        </r>
      </text>
    </comment>
    <comment ref="BD8" authorId="1" shapeId="0" xr:uid="{7784E034-1576-4818-9A3E-73822808530D}">
      <text>
        <r>
          <rPr>
            <sz val="9"/>
            <color indexed="81"/>
            <rFont val="Tahoma"/>
            <family val="2"/>
          </rPr>
          <t>Per BNP 11/19/24</t>
        </r>
      </text>
    </comment>
    <comment ref="BD34" authorId="1" shapeId="0" xr:uid="{2971F585-6230-49F7-B443-F8A81522C3DC}">
      <text>
        <r>
          <rPr>
            <sz val="9"/>
            <color indexed="81"/>
            <rFont val="Tahoma"/>
            <family val="2"/>
          </rPr>
          <t>As determined by LM team</t>
        </r>
      </text>
    </comment>
    <comment ref="AY43" authorId="1" shapeId="0" xr:uid="{E6410826-519C-4B98-9351-69FE955DD694}">
      <text>
        <r>
          <rPr>
            <sz val="9"/>
            <color indexed="81"/>
            <rFont val="Tahoma"/>
            <family val="2"/>
          </rPr>
          <t>Source: WSO</t>
        </r>
      </text>
    </comment>
    <comment ref="BD44" authorId="1" shapeId="0" xr:uid="{B8CB35FC-B12C-493E-9164-AA341507EB42}">
      <text>
        <r>
          <rPr>
            <sz val="9"/>
            <color indexed="81"/>
            <rFont val="Tahoma"/>
            <family val="2"/>
          </rPr>
          <t xml:space="preserve">
Per BNP notice 9.13.24</t>
        </r>
      </text>
    </comment>
    <comment ref="BD49" authorId="1" shapeId="0" xr:uid="{AC5E4ACF-CBBC-4298-B2E4-5900F2A37BBF}">
      <text>
        <r>
          <rPr>
            <sz val="9"/>
            <color indexed="81"/>
            <rFont val="Tahoma"/>
            <family val="2"/>
          </rPr>
          <t>10/31 quote WSO</t>
        </r>
      </text>
    </comment>
    <comment ref="AY56" authorId="1" shapeId="0" xr:uid="{E4BA497C-4F82-4A80-85F0-6AA24974DEA2}">
      <text>
        <r>
          <rPr>
            <sz val="9"/>
            <color indexed="81"/>
            <rFont val="Tahoma"/>
            <family val="2"/>
          </rPr>
          <t>Source: WSO</t>
        </r>
      </text>
    </comment>
    <comment ref="X62" authorId="1" shapeId="0" xr:uid="{71CEF013-BFC2-4B84-8B13-DA4A1C6B7BBA}">
      <text>
        <r>
          <rPr>
            <b/>
            <sz val="9"/>
            <color indexed="81"/>
            <rFont val="Tahoma"/>
            <family val="2"/>
          </rPr>
          <t>Matthew Foreman:</t>
        </r>
        <r>
          <rPr>
            <sz val="9"/>
            <color indexed="81"/>
            <rFont val="Tahoma"/>
            <family val="2"/>
          </rPr>
          <t xml:space="preserve">
From funding memo 10.25.24</t>
        </r>
      </text>
    </comment>
    <comment ref="BD66" authorId="1" shapeId="0" xr:uid="{2B61BC1E-C132-4764-AB2B-34D907E5E8FF}">
      <text>
        <r>
          <rPr>
            <b/>
            <sz val="9"/>
            <color indexed="81"/>
            <rFont val="Tahoma"/>
            <family val="2"/>
          </rPr>
          <t>Matthew Foreman:</t>
        </r>
        <r>
          <rPr>
            <sz val="9"/>
            <color indexed="81"/>
            <rFont val="Tahoma"/>
            <family val="2"/>
          </rPr>
          <t xml:space="preserve">
From BNP 7.12.24</t>
        </r>
      </text>
    </comment>
    <comment ref="X85" authorId="2" shapeId="0" xr:uid="{BDE5CB33-7F31-4561-92A8-E4D33E845954}">
      <text>
        <r>
          <rPr>
            <sz val="9"/>
            <color indexed="81"/>
            <rFont val="Tahoma"/>
            <family val="2"/>
          </rPr>
          <t xml:space="preserve">
Secondary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D39915-C33B-475F-BD16-3392F37388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EE698DB-FF93-472F-8FD0-461C62124881}" name="WorksheetConnection_Holdings!$B$7:$O$11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oldingsB7O113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Asset Type].&amp;[Facilit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<sst xmlns="http://schemas.openxmlformats.org/spreadsheetml/2006/main" count="8012" uniqueCount="955">
  <si>
    <t/>
  </si>
  <si>
    <t>PennantPark Investment Funding I, LLC</t>
  </si>
  <si>
    <t>Reconciliation Date</t>
  </si>
  <si>
    <t>Account Balances</t>
  </si>
  <si>
    <t>Account</t>
  </si>
  <si>
    <t>Currency</t>
  </si>
  <si>
    <t>FX Rate</t>
  </si>
  <si>
    <t>Account Number</t>
  </si>
  <si>
    <r>
      <rPr>
        <b/>
        <sz val="12"/>
        <color rgb="FF000000"/>
        <rFont val="Calibri"/>
        <family val="2"/>
      </rPr>
      <t xml:space="preserve">Cash Date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</si>
  <si>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Pending Trades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</si>
  <si>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Trade Date
</t>
    </r>
    <r>
      <rPr>
        <b/>
        <sz val="12"/>
        <color rgb="FF000000"/>
        <rFont val="Calibri"/>
        <family val="2"/>
      </rPr>
      <t>(Currency)</t>
    </r>
  </si>
  <si>
    <t>Trust Account</t>
  </si>
  <si>
    <t>USD</t>
  </si>
  <si>
    <t>Interest Collection Subaccount</t>
  </si>
  <si>
    <t>Principal Collection Subaccount</t>
  </si>
  <si>
    <t>Payment Account</t>
  </si>
  <si>
    <t>Outstanding Payments</t>
  </si>
  <si>
    <t>Number of Items</t>
  </si>
  <si>
    <t>Unapplied Transactions</t>
  </si>
  <si>
    <t>Past Due Receivables</t>
  </si>
  <si>
    <t>Holdings</t>
  </si>
  <si>
    <t>Positions</t>
  </si>
  <si>
    <r>
      <rPr>
        <b/>
        <sz val="12"/>
        <color rgb="FF000000"/>
        <rFont val="Calibri"/>
        <family val="2"/>
      </rPr>
      <t xml:space="preserve">Settle Date
</t>
    </r>
    <r>
      <rPr>
        <b/>
        <sz val="12"/>
        <color rgb="FF000000"/>
        <rFont val="Calibri"/>
        <family val="2"/>
      </rPr>
      <t>(Currency)</t>
    </r>
  </si>
  <si>
    <r>
      <rPr>
        <b/>
        <u/>
        <sz val="12"/>
        <color rgb="FF0563C1"/>
        <rFont val="Calibri"/>
        <family val="2"/>
      </rPr>
      <t xml:space="preserve">Pending Trades
</t>
    </r>
    <r>
      <rPr>
        <b/>
        <u/>
        <sz val="12"/>
        <color rgb="FF0563C1"/>
        <rFont val="Calibri"/>
        <family val="2"/>
      </rPr>
      <t>(Currency)</t>
    </r>
  </si>
  <si>
    <t>Funded</t>
  </si>
  <si>
    <t>Unfunded</t>
  </si>
  <si>
    <t>Committed</t>
  </si>
  <si>
    <r>
      <rPr>
        <b/>
        <sz val="14"/>
        <color rgb="FF05233D"/>
        <rFont val="Calibri"/>
        <family val="2"/>
      </rPr>
      <t xml:space="preserve">Transactions as of </t>
    </r>
    <r>
      <rPr>
        <b/>
        <sz val="14"/>
        <color rgb="FF05233D"/>
        <rFont val="Calibri"/>
        <family val="2"/>
      </rPr>
      <t>04/30/2025</t>
    </r>
  </si>
  <si>
    <t>Transaction Data</t>
  </si>
  <si>
    <t>Collateral Balance</t>
  </si>
  <si>
    <t>Applied Date</t>
  </si>
  <si>
    <t>Settle Date</t>
  </si>
  <si>
    <t>Trade Date</t>
  </si>
  <si>
    <t>Issuer/Borrower</t>
  </si>
  <si>
    <t>Facility/Security</t>
  </si>
  <si>
    <t>Identifier</t>
  </si>
  <si>
    <t>Transaction Type</t>
  </si>
  <si>
    <t>Transaction Amount</t>
  </si>
  <si>
    <t>Price</t>
  </si>
  <si>
    <t>Funded par</t>
  </si>
  <si>
    <t>Unfunded par</t>
  </si>
  <si>
    <t>Funded Collateral</t>
  </si>
  <si>
    <t>Unfunded Collateral</t>
  </si>
  <si>
    <t>Committed Collateral</t>
  </si>
  <si>
    <t>Beginning Balance</t>
  </si>
  <si>
    <t>PennantPark Investment Funding I LLC</t>
  </si>
  <si>
    <t>Facility - Sale</t>
  </si>
  <si>
    <t>Historic Borrowing Offset</t>
  </si>
  <si>
    <t>Cash Adjustment (R)</t>
  </si>
  <si>
    <t>Facility - Borrowing (R)</t>
  </si>
  <si>
    <t>Michael Baker International LLC</t>
  </si>
  <si>
    <t>New Term B Loan</t>
  </si>
  <si>
    <t>LX234003</t>
  </si>
  <si>
    <t>Facility - Payoff</t>
  </si>
  <si>
    <t>STG Distribution LLC</t>
  </si>
  <si>
    <t>First Out New Money Term Loan</t>
  </si>
  <si>
    <t>LX249176</t>
  </si>
  <si>
    <t>Facility - Commitment Increase</t>
  </si>
  <si>
    <t>48Forty Intermediate Holdings Inc</t>
  </si>
  <si>
    <t>48forty Common Equity</t>
  </si>
  <si>
    <t>Shares/Units - Purchase</t>
  </si>
  <si>
    <t>Alpine Acquisition Corp II</t>
  </si>
  <si>
    <t>Amend 4 TLA-2</t>
  </si>
  <si>
    <t>LX207291</t>
  </si>
  <si>
    <t>Carnegie Dartlet LLC</t>
  </si>
  <si>
    <t>Initial Term Loan</t>
  </si>
  <si>
    <t>Loan - Interest Payment (R)</t>
  </si>
  <si>
    <t>Eval Home Health Solutions Intermediate LLC</t>
  </si>
  <si>
    <t>LX233420</t>
  </si>
  <si>
    <t>Transgo LLC</t>
  </si>
  <si>
    <t>LX225916</t>
  </si>
  <si>
    <t>Facility - Paydown (R)</t>
  </si>
  <si>
    <t>Facility - Upfront Fee (R)</t>
  </si>
  <si>
    <t>Arcfield Acquisition Corp</t>
  </si>
  <si>
    <t>REFI Term Loan</t>
  </si>
  <si>
    <t>LX251125</t>
  </si>
  <si>
    <t>Facility - Purchase (D)</t>
  </si>
  <si>
    <t>12.31.24 Trades/Position Offset</t>
  </si>
  <si>
    <t>CF512 Inc</t>
  </si>
  <si>
    <t>LX205355</t>
  </si>
  <si>
    <t>Dr. Squatch LLC</t>
  </si>
  <si>
    <t>2022-1 Incremental Term Loan</t>
  </si>
  <si>
    <t>LX203689</t>
  </si>
  <si>
    <t>Delayed Draw Term Loan</t>
  </si>
  <si>
    <t>LX203614</t>
  </si>
  <si>
    <t>AFC-Dell Holding Corp</t>
  </si>
  <si>
    <t>Term Loan</t>
  </si>
  <si>
    <t>Watchtower Buyer LLC</t>
  </si>
  <si>
    <t>LX221597</t>
  </si>
  <si>
    <t>5th AMD Delayed Draw Term Loan</t>
  </si>
  <si>
    <t>LX194355</t>
  </si>
  <si>
    <t>BlackHawk Industrial Distribution Inc</t>
  </si>
  <si>
    <t>LX176035</t>
  </si>
  <si>
    <t>Bluebird Group LLC, The</t>
  </si>
  <si>
    <t>LX206792</t>
  </si>
  <si>
    <t>BlueHalo Global Holdings LLC</t>
  </si>
  <si>
    <t>LX189087</t>
  </si>
  <si>
    <t>TCG 3.0 Jogger Acquisitionco Inc</t>
  </si>
  <si>
    <t>LX226175</t>
  </si>
  <si>
    <t>Carisk Buyer Inc</t>
  </si>
  <si>
    <t>LX221535</t>
  </si>
  <si>
    <t>Sigma Defense Systems LLC</t>
  </si>
  <si>
    <t>LX193132</t>
  </si>
  <si>
    <t>LX197743</t>
  </si>
  <si>
    <t>Seaway Buyer LLC</t>
  </si>
  <si>
    <t>LX206101</t>
  </si>
  <si>
    <t>HW Holdco LLC</t>
  </si>
  <si>
    <t>Third Amendment Incremental Term Loan</t>
  </si>
  <si>
    <t>LX205427</t>
  </si>
  <si>
    <t>Infolinks Media Buyco LLC</t>
  </si>
  <si>
    <t>LX200854</t>
  </si>
  <si>
    <t>LX200853</t>
  </si>
  <si>
    <t>Inventus Power Inc</t>
  </si>
  <si>
    <t>LX213612</t>
  </si>
  <si>
    <t>S101 Acquisition Inc</t>
  </si>
  <si>
    <t>Delayed Draw Term Loan B</t>
  </si>
  <si>
    <t>Rancho Health MSO Inc</t>
  </si>
  <si>
    <t>LX191986</t>
  </si>
  <si>
    <t>Omnia Exterior Solutions LLC</t>
  </si>
  <si>
    <t>2023-1 DDTL (OES TopCo)</t>
  </si>
  <si>
    <t>LX224334</t>
  </si>
  <si>
    <t>Nora Acquisition LLC</t>
  </si>
  <si>
    <t>Term Loan A</t>
  </si>
  <si>
    <t>LX216658</t>
  </si>
  <si>
    <t>MOREgroup Holdings Inc</t>
  </si>
  <si>
    <t>LX225324</t>
  </si>
  <si>
    <t>Megawatt Acquisitionco Inc</t>
  </si>
  <si>
    <t>LX228852</t>
  </si>
  <si>
    <t>Medina Health LLC</t>
  </si>
  <si>
    <t>LX218963</t>
  </si>
  <si>
    <t>Second Amendment Funded Delayed Draw Term Loan</t>
  </si>
  <si>
    <t>Zips Car Wash LLC</t>
  </si>
  <si>
    <t>13th Amendment Term Loan</t>
  </si>
  <si>
    <t>LX201147</t>
  </si>
  <si>
    <t>RTIC Subsidiary Holdings LLC</t>
  </si>
  <si>
    <t>LX233174</t>
  </si>
  <si>
    <t>Burgess Point Purchaser Corporation</t>
  </si>
  <si>
    <t>LX205817</t>
  </si>
  <si>
    <t>HEC Purchaser Corp.</t>
  </si>
  <si>
    <t>LX237049</t>
  </si>
  <si>
    <t>2023-2 DDTL (OES TopCo)</t>
  </si>
  <si>
    <t>LX224335</t>
  </si>
  <si>
    <t>US Fertility Enterprises LLC</t>
  </si>
  <si>
    <t>LX245293</t>
  </si>
  <si>
    <t>Case Works LLC</t>
  </si>
  <si>
    <t>LX248336</t>
  </si>
  <si>
    <t>Second Amendment Term Loan</t>
  </si>
  <si>
    <t>LX248961</t>
  </si>
  <si>
    <t>Archer Lewis LLC</t>
  </si>
  <si>
    <t>LX245453</t>
  </si>
  <si>
    <t>Argano LLC</t>
  </si>
  <si>
    <t>LX246656</t>
  </si>
  <si>
    <t>Par Excellence Holdings Inc.</t>
  </si>
  <si>
    <t>LX246053</t>
  </si>
  <si>
    <t>Beacon Behavioral Support Services LLC</t>
  </si>
  <si>
    <t>LX237494</t>
  </si>
  <si>
    <t>C5MI Acquisition LLC</t>
  </si>
  <si>
    <t>LX239961</t>
  </si>
  <si>
    <t>Cartessa Aesthetics LLC</t>
  </si>
  <si>
    <t>LX206028</t>
  </si>
  <si>
    <t>GGG Midco LLC</t>
  </si>
  <si>
    <t>LX249162</t>
  </si>
  <si>
    <t>SV-Aero Holdings LLC</t>
  </si>
  <si>
    <t>LX252213</t>
  </si>
  <si>
    <t>Urology Management Holdings Inc</t>
  </si>
  <si>
    <t>6th Amen DDTL 50MM</t>
  </si>
  <si>
    <t>LX210841</t>
  </si>
  <si>
    <t>2023-2 Incremental Term Loan</t>
  </si>
  <si>
    <t>LX222933</t>
  </si>
  <si>
    <t>EDS Buyer LLC</t>
  </si>
  <si>
    <t>LX246993</t>
  </si>
  <si>
    <t>LX246994</t>
  </si>
  <si>
    <t>TMII Enterprises LLC</t>
  </si>
  <si>
    <t>DDTL</t>
  </si>
  <si>
    <t>LX210294</t>
  </si>
  <si>
    <t>Harris &amp; Co. LLC</t>
  </si>
  <si>
    <t>Delayed Draw Term Loan A</t>
  </si>
  <si>
    <t>LX245516</t>
  </si>
  <si>
    <t>Team Services Group LLC</t>
  </si>
  <si>
    <t>Incremental Term Loan</t>
  </si>
  <si>
    <t>LX236336</t>
  </si>
  <si>
    <t>HV Watterson Holdings LLC</t>
  </si>
  <si>
    <t>LX206030</t>
  </si>
  <si>
    <t>Smartronix LLC</t>
  </si>
  <si>
    <t>2nd Amendment Incremental TL</t>
  </si>
  <si>
    <t>LX220573</t>
  </si>
  <si>
    <t>3rd Amendment Incremental TL</t>
  </si>
  <si>
    <t>LX220574</t>
  </si>
  <si>
    <t>Restatement Date Term Loan</t>
  </si>
  <si>
    <t>LX227878</t>
  </si>
  <si>
    <t>LX201283</t>
  </si>
  <si>
    <t>Infinity Home Services Holdco Inc</t>
  </si>
  <si>
    <t>Closing Date Delayed Draw Term Loan</t>
  </si>
  <si>
    <t>LX210066</t>
  </si>
  <si>
    <t>Closing Date Term Loan</t>
  </si>
  <si>
    <t>LX210065</t>
  </si>
  <si>
    <t>Research Now Group LLC</t>
  </si>
  <si>
    <t>Second Out Term Loan</t>
  </si>
  <si>
    <t>LX238592</t>
  </si>
  <si>
    <t>New Money First Out Term Loan</t>
  </si>
  <si>
    <t>LX238591</t>
  </si>
  <si>
    <t>Radius Aerospace Inc</t>
  </si>
  <si>
    <t>LX179630</t>
  </si>
  <si>
    <t>Lash OpCo LLC</t>
  </si>
  <si>
    <t>Restatement Term Loan</t>
  </si>
  <si>
    <t>LX201224</t>
  </si>
  <si>
    <t>LJ Avalon Holdings LLC</t>
  </si>
  <si>
    <t>LX210727</t>
  </si>
  <si>
    <t>LX210725</t>
  </si>
  <si>
    <t>Sixth Amendment Delayed Draw Term Loan</t>
  </si>
  <si>
    <t>Lightspeed Buyer Inc</t>
  </si>
  <si>
    <t>Restatement Date TL</t>
  </si>
  <si>
    <t>LX255973</t>
  </si>
  <si>
    <t>NFS - CFP Holdings LLC</t>
  </si>
  <si>
    <t>2022-2 Incr TL 10MM</t>
  </si>
  <si>
    <t>LX208588</t>
  </si>
  <si>
    <t>LX245455</t>
  </si>
  <si>
    <t>2024 Incremental Term Loan</t>
  </si>
  <si>
    <t>LX239453</t>
  </si>
  <si>
    <t>LX248337</t>
  </si>
  <si>
    <t>Vertex Companies Inc, The</t>
  </si>
  <si>
    <t>Term Loan D</t>
  </si>
  <si>
    <t>LX256513</t>
  </si>
  <si>
    <t>Initial Delayed Draw Term Loan</t>
  </si>
  <si>
    <t>LX221598</t>
  </si>
  <si>
    <t>LX237495</t>
  </si>
  <si>
    <t>2024-1 Incremental Term Loan</t>
  </si>
  <si>
    <t>LX239333</t>
  </si>
  <si>
    <t>LX205356</t>
  </si>
  <si>
    <t>Facility Purchase - Net Economic Benefit (R)</t>
  </si>
  <si>
    <t>2022 DDTL</t>
  </si>
  <si>
    <t>LX206562</t>
  </si>
  <si>
    <t>2022 Term</t>
  </si>
  <si>
    <t>MDI Buyer Inc</t>
  </si>
  <si>
    <t>First Amendment Delayed Draw Term Loan</t>
  </si>
  <si>
    <t>LX209153</t>
  </si>
  <si>
    <t>LX206515</t>
  </si>
  <si>
    <t>LX206514</t>
  </si>
  <si>
    <t>Pink Lily Holdings LLC</t>
  </si>
  <si>
    <t>Term Loan (PL Acquisitionco)</t>
  </si>
  <si>
    <t>LX201339</t>
  </si>
  <si>
    <t>New Insight Holdings Inc</t>
  </si>
  <si>
    <t>New Insight Common</t>
  </si>
  <si>
    <t>Equity - Purchase (D)</t>
  </si>
  <si>
    <t>By Light Professional IT Services LLC</t>
  </si>
  <si>
    <t>Seventh Additional Term Loan</t>
  </si>
  <si>
    <t>Term B-1 Loan</t>
  </si>
  <si>
    <t>LX258116</t>
  </si>
  <si>
    <t>Facility Exchange - New Position</t>
  </si>
  <si>
    <t>Facility - Sale (R)</t>
  </si>
  <si>
    <t>Bulk Trade Offset-(Trade Settlement from 12.31 to 2.4)</t>
  </si>
  <si>
    <t>Delayed Draw Term Loan C</t>
  </si>
  <si>
    <t>Municipal Emergency Services Inc</t>
  </si>
  <si>
    <t>Second Amendment DDTL B</t>
  </si>
  <si>
    <t>LX210224</t>
  </si>
  <si>
    <t>2024-1 Delayed Draw Term Loan</t>
  </si>
  <si>
    <t>LX248962</t>
  </si>
  <si>
    <t>Sabel Systems Technology Solutions</t>
  </si>
  <si>
    <t>LX251613</t>
  </si>
  <si>
    <t>OSP Embedded Purchaser LLC</t>
  </si>
  <si>
    <t>First Amendment Term Loan</t>
  </si>
  <si>
    <t>LX254673</t>
  </si>
  <si>
    <t>Best Practice Associates LLC</t>
  </si>
  <si>
    <t>Systems Planning and Analysis Inc</t>
  </si>
  <si>
    <t>Incremental DDTL</t>
  </si>
  <si>
    <t>Quantic Electronics LLC</t>
  </si>
  <si>
    <t>Third Amendment Incremental DDTL</t>
  </si>
  <si>
    <t>LX197680</t>
  </si>
  <si>
    <t>BLC Holding Company Inc</t>
  </si>
  <si>
    <t>Money Market Interest</t>
  </si>
  <si>
    <t>Cash Equivalent - Interest Payment Received (R)</t>
  </si>
  <si>
    <t>Smartronix Cash True up</t>
  </si>
  <si>
    <t>AFC Dell- Reimbursement</t>
  </si>
  <si>
    <t>Greenberg Traurig - Invoice: 1000881148/FIle #222729.012700</t>
  </si>
  <si>
    <t>Expense - Fees (D)</t>
  </si>
  <si>
    <t>lx253833</t>
  </si>
  <si>
    <t>Par Excellence</t>
  </si>
  <si>
    <t>Opening Balance for Feb month
Jan month Entries included in Jan Month</t>
  </si>
  <si>
    <t>Interest Transfer From BNY</t>
  </si>
  <si>
    <t>2/14 Transfer Adjustment</t>
  </si>
  <si>
    <t>Facility - Prepayment Fee (R)</t>
  </si>
  <si>
    <t>Facility - Miscellaneous Fee (R)</t>
  </si>
  <si>
    <t>Facility - Interest Payment (R)</t>
  </si>
  <si>
    <t>PSLF Capital Call</t>
  </si>
  <si>
    <t>Capital Stock - Sale (R)</t>
  </si>
  <si>
    <t>Participation Interest Transfer to PPX</t>
  </si>
  <si>
    <t>Crane 1 Trade Cash Offset</t>
  </si>
  <si>
    <t>Crane 1 Acquisition Holdings Inc</t>
  </si>
  <si>
    <t>Fourth Amendment Term Loan</t>
  </si>
  <si>
    <t>LX258414</t>
  </si>
  <si>
    <t>Facility - Amendment Fee (R)</t>
  </si>
  <si>
    <t>Second Out Term Loan (Dynata)</t>
  </si>
  <si>
    <t>New Money First Out Term Loan (Dynata)</t>
  </si>
  <si>
    <t>Emergency Care Partners LLC</t>
  </si>
  <si>
    <t>Ninth Amendment Term Loan (Varsity Borrower)</t>
  </si>
  <si>
    <t>LX252534</t>
  </si>
  <si>
    <t>LX205431</t>
  </si>
  <si>
    <t>LX257658</t>
  </si>
  <si>
    <t>Delayed Draw TL</t>
  </si>
  <si>
    <t>Fifteenth Amendment Term Loan</t>
  </si>
  <si>
    <t>LJ Avalon Trade Cash Offset</t>
  </si>
  <si>
    <t>Omnis Exterior Solution Trade Cash Offset</t>
  </si>
  <si>
    <t>2024 Delayed Draw Term Loan</t>
  </si>
  <si>
    <t>LX244856</t>
  </si>
  <si>
    <t>VRS Buyer Inc</t>
  </si>
  <si>
    <t>Initial Term Loan (Commercial Fire)</t>
  </si>
  <si>
    <t>NFS-CFP Holdings LLC Trade Cash Offset</t>
  </si>
  <si>
    <t>Incremental Term Loan (Commercial Fire)</t>
  </si>
  <si>
    <t>Seacoast Service Partners NA LLC</t>
  </si>
  <si>
    <t>Participation Interest Transferred to PP 10</t>
  </si>
  <si>
    <t>Carisk Buyer -Transferred to PP 10</t>
  </si>
  <si>
    <t>Participation Paydown Transfer to PP 10</t>
  </si>
  <si>
    <t>Inovex Information Systems Incorporated</t>
  </si>
  <si>
    <t>LX256715</t>
  </si>
  <si>
    <t>Money Market Interest #2</t>
  </si>
  <si>
    <t>Money Market Interest #1</t>
  </si>
  <si>
    <t>Marketplace Events LLC</t>
  </si>
  <si>
    <t>Transfer from Principal Collection Subaccount to Interest Collection Subaccount</t>
  </si>
  <si>
    <t>Par Excellence Holdings Inc. - Initial Term Loan</t>
  </si>
  <si>
    <t>AFC-Dell Holding Corp - 5th AMD Delayed Draw Term Loan</t>
  </si>
  <si>
    <t>Pink Lily Holdings LLC - Term Loan (PL Acquisitionco)</t>
  </si>
  <si>
    <t>BlueHalo Global Holdings LLC - Initial Term Loan</t>
  </si>
  <si>
    <t>Compex Legal Services-  T/L</t>
  </si>
  <si>
    <t>SpendMend Holdings DDTL</t>
  </si>
  <si>
    <t>DRS Holdings III, Inc. Incremental T/L</t>
  </si>
  <si>
    <t>DRI Holding, Inc.- Closing Date Term Loans (First Lien)</t>
  </si>
  <si>
    <t>MBS Holdings 2023 Incremental T/L</t>
  </si>
  <si>
    <t>Confluent Health, LLC-AMENDMENT NO.1 TERM LOAN</t>
  </si>
  <si>
    <t>ETE Intermediate II T/L</t>
  </si>
  <si>
    <t>MBS Holdings 2023 2nd Incremental T/L</t>
  </si>
  <si>
    <t>DRS Holdings III, Inc TL</t>
  </si>
  <si>
    <t>Participation Interest Transfer to PP X</t>
  </si>
  <si>
    <t>Radius Aerospace trade cash adjustment</t>
  </si>
  <si>
    <t>UK Term Loan</t>
  </si>
  <si>
    <t>LX183974</t>
  </si>
  <si>
    <t>LAV Gear Holdings Inc</t>
  </si>
  <si>
    <t>Twelfth Amendment Term Loan</t>
  </si>
  <si>
    <t>LX258942</t>
  </si>
  <si>
    <t>Term Loan (Varsity Borrower)</t>
  </si>
  <si>
    <t>Amendment 11 DDTL</t>
  </si>
  <si>
    <t>LX253833</t>
  </si>
  <si>
    <t>Bluehalo Trade Cash Offset</t>
  </si>
  <si>
    <t>LAV Gear -12th Amendment Term Loan Trade Cash Offset</t>
  </si>
  <si>
    <t>Term Loan B</t>
  </si>
  <si>
    <t>LX250966</t>
  </si>
  <si>
    <t>PIK - TERM</t>
  </si>
  <si>
    <t>Facility - Purchase</t>
  </si>
  <si>
    <t>Facility PIK - New Position</t>
  </si>
  <si>
    <t>Fourteenth Amendment Priority Term Loan</t>
  </si>
  <si>
    <t>HW Holdco- Third Amendment Incremental TL Accrued Interest 12.26 to 12.31</t>
  </si>
  <si>
    <t>HW Trade Cash Adjustment</t>
  </si>
  <si>
    <t>Amsive Holdings Principal</t>
  </si>
  <si>
    <t>Amsive Interest</t>
  </si>
  <si>
    <t>Municipal Emergency Services Inc Second Amendment Delayed Draw A TL</t>
  </si>
  <si>
    <t>ACP Falcon Buyer Inc Initial Term Loan</t>
  </si>
  <si>
    <t>Rural Sourcing Holdings Inc-Amendment No 1 Incremental TL</t>
  </si>
  <si>
    <t>Rural Sourcing Holdings Inc- Delayed Draw Term Loan</t>
  </si>
  <si>
    <t>BetaNXT Inc- Initial Term Loan</t>
  </si>
  <si>
    <t>PCS Midco Inc- Closing Date Term Loan</t>
  </si>
  <si>
    <t>DRS Holdings III Inc Incremental Term Loan</t>
  </si>
  <si>
    <t>DRS Holdings III Inc-Initial Term Loan</t>
  </si>
  <si>
    <t>Confluent Health LLC-Amendment No. 1 Term Loan</t>
  </si>
  <si>
    <t>Graffiti Buyer Inc-DDTL 60MM</t>
  </si>
  <si>
    <t>Amsive</t>
  </si>
  <si>
    <t>2023 Delayed Draw Term Loan</t>
  </si>
  <si>
    <t>Facility - Paydown</t>
  </si>
  <si>
    <t>Roll Up Term Loan</t>
  </si>
  <si>
    <t>LX259434</t>
  </si>
  <si>
    <t>Argano LLC  Term Loan -12.31 Paydown</t>
  </si>
  <si>
    <t>Ro Health LLC</t>
  </si>
  <si>
    <t>SpendMend Holdings LLC- Term B Loan</t>
  </si>
  <si>
    <t>SpendMend Holdings LLC- Delayed Draw Term Loan</t>
  </si>
  <si>
    <t>Municipal Emergency Services 2nd Amendment DDTL A</t>
  </si>
  <si>
    <t>Bulk 6 -Participation Interest Due to PPX</t>
  </si>
  <si>
    <t>Amsive Holdings Corporation</t>
  </si>
  <si>
    <t>Incremental TL 75MM PIK Fee</t>
  </si>
  <si>
    <t>TPC Parent</t>
  </si>
  <si>
    <t>Applied Technical</t>
  </si>
  <si>
    <t>ACP Avenue</t>
  </si>
  <si>
    <t>Compex Legal</t>
  </si>
  <si>
    <t>Tyto Athene</t>
  </si>
  <si>
    <t>2023-2 INCR TL 22MM</t>
  </si>
  <si>
    <t>2024 TERM 15mm</t>
  </si>
  <si>
    <t>Boss Industries LLC</t>
  </si>
  <si>
    <t>Payment Transfer</t>
  </si>
  <si>
    <t>Transfer from Principal Collection Subaccount to Payment Account</t>
  </si>
  <si>
    <t>Transfer from Interest Collection Subaccount to Payment Account</t>
  </si>
  <si>
    <t>Invoice No 2522631539</t>
  </si>
  <si>
    <t>9.01(a)(i) Residual Interest to PSLF Parent</t>
  </si>
  <si>
    <t>9.01(a)(ii)(F) from principal to PSCF Parent</t>
  </si>
  <si>
    <t>Loan - Interest Payment (D)</t>
  </si>
  <si>
    <t>Facility - Miscellaneous Fee (D)</t>
  </si>
  <si>
    <t>Dr.Squatch</t>
  </si>
  <si>
    <t>Project Granite Buyer Inc</t>
  </si>
  <si>
    <t>LX257381</t>
  </si>
  <si>
    <t>LJ Avalon Trade Cash Offset.</t>
  </si>
  <si>
    <t>Ending Balance</t>
  </si>
  <si>
    <r>
      <rPr>
        <b/>
        <sz val="14"/>
        <color rgb="FF05233D"/>
        <rFont val="Calibri"/>
        <family val="2"/>
      </rPr>
      <t xml:space="preserve">Outstanding Payments as of </t>
    </r>
    <r>
      <rPr>
        <b/>
        <sz val="14"/>
        <color rgb="FF05233D"/>
        <rFont val="Calibri"/>
        <family val="2"/>
      </rPr>
      <t>04/30/2025</t>
    </r>
  </si>
  <si>
    <t>Unapplied Cash Transactions</t>
  </si>
  <si>
    <t>Date</t>
  </si>
  <si>
    <t>Amount</t>
  </si>
  <si>
    <t>Wire Details</t>
  </si>
  <si>
    <t>Notes</t>
  </si>
  <si>
    <t>TWS Acquisition Corporation (dba Stratatch Education Group)</t>
  </si>
  <si>
    <t>FFC:10107500 PENNANTPARK INVESTMENTFUNDING I, LLC: TRUST ACCOUNTTWS ACQUISITION9070000001WATC CLEARINGPENNANTPARK LOAN AGENCY SERVICING,18899</t>
  </si>
  <si>
    <t>10107500 - PENNANTPARK INVESTMENT FHW HOLDCO, LLCPENNANTPARK INVESTMENT FUNDING I, LLOAN - INTEREST PAYMENT9070000001WATC CLEARING590 MADISON AVENUE  NEW YORK NY 100HW HOLDCO, LLC250326B01XF3</t>
  </si>
  <si>
    <t>FFC:10107500 PENNANTPARK INVESTMENTFUNDING I, LLC: TRUST ACCOUNTEDS BUYER, LLC9070000001WATC CLEARINGPENNANTPARK LOAN AGENCY SERVICING,19114</t>
  </si>
  <si>
    <t>FFC 10107500 PENNANTPARK INVESTMENTFUNDING I LLC TRUST ACCOUNT REF MDIBUYER9070000001WATC CLEARING590 MADISON AVENUE 15TH FLOORCHURCHILL AGENCY SERVICES, LLC5031699</t>
  </si>
  <si>
    <t>FFC 10107500 PENNANTPARK INVESTMENTFUNDING I LLC TRUST ACCOUNT REF MDIBUYER9070000001WATC CLEARING590 MADISON AVENUE 15TH FLOORCHURCHILL AGENCY SERVICES, LLC5031690</t>
  </si>
  <si>
    <t>CJX Borrower LLC</t>
  </si>
  <si>
    <t>AC  WATC CLEARING FFC  10107500 - PENNANTPARK INV FUNDING I, LLC  TRUST AC REF  CONNATIX9070000001PENNANTPARK INVESTMT FD I LLCCJX BORROWER, LLC</t>
  </si>
  <si>
    <t>10107500 - PENNANTPARK INVESTMENT FHW HOLDCO, LLCPENNANTPARK INVESTMENT FUNDING I, LLOAN - INTEREST PAYMENT9070000001WATC CLEARING590 MADISON AVENUE  NEW YORK NY 100HW HOLDCO, LLC250415B01GKN</t>
  </si>
  <si>
    <t>10107500 - PENNANTPARK INVESTMENT FHW HOLDCO, LLCPENNANTPARK INVESTMENT FUNDING I, LLOAN - INTEREST PAYMENT9070000001WATC CLEARING590 MADISON AVENUE  NEW YORK NY 100HW HOLDCO, LLC250415B01GNX</t>
  </si>
  <si>
    <t>FFC 10107500 PENNANTPARK INVESTMENT FUNDING I LLC TRUST ACCOUNT REF EDS BUYER, LLC9070000001WATC CLEARINGPENNANTPARK CLO IV, LLC</t>
  </si>
  <si>
    <t>Transaction ID</t>
  </si>
  <si>
    <t>Asset ID</t>
  </si>
  <si>
    <t>Participation Counterparty</t>
  </si>
  <si>
    <t>Cash Not Applied</t>
  </si>
  <si>
    <t>Research</t>
  </si>
  <si>
    <t xml:space="preserve">USD </t>
  </si>
  <si>
    <t>Facility - Paydown - Unscheduled Optional</t>
  </si>
  <si>
    <t>Facility - Paydown - Scheduled</t>
  </si>
  <si>
    <t>Loan - Interest Payment</t>
  </si>
  <si>
    <t>Facility Trade - Miscellaneous Fee</t>
  </si>
  <si>
    <t>Asset Type</t>
  </si>
  <si>
    <t>Facility</t>
  </si>
  <si>
    <t>WA</t>
  </si>
  <si>
    <t>BB</t>
  </si>
  <si>
    <t>SOI</t>
  </si>
  <si>
    <t>Coupon</t>
  </si>
  <si>
    <t>Spread</t>
  </si>
  <si>
    <t>Date of Latest Financial Reporting</t>
  </si>
  <si>
    <t>Net Senior Lev Ratio</t>
  </si>
  <si>
    <t>EBITDA ($m)</t>
  </si>
  <si>
    <t>Total Leverage Ratio
(current)</t>
  </si>
  <si>
    <t>Cash Interest Coverage Ratio (current)</t>
  </si>
  <si>
    <t>Row Labels</t>
  </si>
  <si>
    <t>Sum of Settled Funded</t>
  </si>
  <si>
    <t>Western Alliance</t>
  </si>
  <si>
    <t>Borrowing Base</t>
  </si>
  <si>
    <t>Master Comps</t>
  </si>
  <si>
    <t>A1 Garage Merger Sub, LLC</t>
  </si>
  <si>
    <t>AFC - Dell Holding Corp.</t>
  </si>
  <si>
    <t>Archer Lewis, LLC</t>
  </si>
  <si>
    <t>Archer Lewis</t>
  </si>
  <si>
    <t>Argano, LLC</t>
  </si>
  <si>
    <t>BBB Industries</t>
  </si>
  <si>
    <t>Beacon Behavioral Support Services, LLC</t>
  </si>
  <si>
    <t>Beacon Behavioral Support  Services, LLC</t>
  </si>
  <si>
    <t>Beacon Behavioral</t>
  </si>
  <si>
    <t>Blackhawk Industrial Distribution, Inc.</t>
  </si>
  <si>
    <t>BlackHawk Industrial</t>
  </si>
  <si>
    <t>BlueHalo Global Holdings, LLC</t>
  </si>
  <si>
    <t xml:space="preserve">BlueHalo Financing Holdings, LLC </t>
  </si>
  <si>
    <t>C5MI Acquisition, LLC</t>
  </si>
  <si>
    <t>C5MI</t>
  </si>
  <si>
    <t>CF512, Inc.</t>
  </si>
  <si>
    <t>Gen3 Marketing</t>
  </si>
  <si>
    <t>Carnegie Dartlet, LLC</t>
  </si>
  <si>
    <t>Carisk Buyer, Inc.</t>
  </si>
  <si>
    <t>Cartessa Aesthetics, LLC</t>
  </si>
  <si>
    <t>Cartessa</t>
  </si>
  <si>
    <t>Case Works, LLC</t>
  </si>
  <si>
    <t>Case Works</t>
  </si>
  <si>
    <t xml:space="preserve">Lightspeed Buyer Inc. </t>
  </si>
  <si>
    <t>Centauri</t>
  </si>
  <si>
    <t>Medina Health, LLC</t>
  </si>
  <si>
    <t>Comprehensive Rehab Consultants</t>
  </si>
  <si>
    <t>Crane 1 Services, Inc.</t>
  </si>
  <si>
    <t>Dr. Squatch, LLC</t>
  </si>
  <si>
    <t xml:space="preserve">Dr. Squatch, LLC </t>
  </si>
  <si>
    <t>EDS Buyer, LLC</t>
  </si>
  <si>
    <t>EDS Buyers, LLC</t>
  </si>
  <si>
    <t>Eval Home Health Solutions Intermediate, LLC</t>
  </si>
  <si>
    <t>Eval</t>
  </si>
  <si>
    <t>GGG Midco, LLC</t>
  </si>
  <si>
    <t>Health-E Commerce</t>
  </si>
  <si>
    <t>Harris &amp; Co.</t>
  </si>
  <si>
    <t>HW Holdco, LLC</t>
  </si>
  <si>
    <t>Infinity Home Services Holdco, Inc.</t>
  </si>
  <si>
    <t>Infolinks Media Buyco, LLC</t>
  </si>
  <si>
    <t>Infolinks</t>
  </si>
  <si>
    <t>Inventus Power, Inc.</t>
  </si>
  <si>
    <t xml:space="preserve">Inventus Power Inc.  </t>
  </si>
  <si>
    <t>Lash OpCo, LLC</t>
  </si>
  <si>
    <t>MDI Buyer Inc.</t>
  </si>
  <si>
    <t>Molded Devices</t>
  </si>
  <si>
    <t>Megawatt Acquisitionco, Inc.</t>
  </si>
  <si>
    <t>Michael Baker International, LLC</t>
  </si>
  <si>
    <t>Michael Baker</t>
  </si>
  <si>
    <t>Municipal Emergency Services, Inc.</t>
  </si>
  <si>
    <t>MES</t>
  </si>
  <si>
    <t>MOREgroup Holdings, LLC</t>
  </si>
  <si>
    <t>Commercial Fire Protection Holdings, LLC</t>
  </si>
  <si>
    <t>NFS - CFP Holdings, LLC</t>
  </si>
  <si>
    <t>Commercial Fire Protection</t>
  </si>
  <si>
    <t>NORA Acquisition, LLC</t>
  </si>
  <si>
    <t>NORA ACQUISITION, LLC</t>
  </si>
  <si>
    <t>Omnia Exterior Solutions, LLC</t>
  </si>
  <si>
    <t>PAR Excellence Holdings, Inc.</t>
  </si>
  <si>
    <t>PAR Excellence</t>
  </si>
  <si>
    <t>PL Acquisitionco, LLC</t>
  </si>
  <si>
    <t>Radius Aerospace, Inc.</t>
  </si>
  <si>
    <t>Radius Aerospace</t>
  </si>
  <si>
    <t>Rancho Health MSO, Inc.</t>
  </si>
  <si>
    <t>Rancho Medical</t>
  </si>
  <si>
    <t>STG Distribution, LLC (fka Reception Purchaser) - First Out New Money Term Loans</t>
  </si>
  <si>
    <t>Reception Purchaser, LLC -First Out Term loan</t>
  </si>
  <si>
    <t>Reception Purchaser, LLC</t>
  </si>
  <si>
    <t>Dynata, LLC - First Out Term Loan</t>
  </si>
  <si>
    <t>Research Now Group, LLC and Dynata, LLC - First Out Term Loan</t>
  </si>
  <si>
    <t>Research Now / SSI</t>
  </si>
  <si>
    <t>Dynata, LLC - Last Out Term Loan</t>
  </si>
  <si>
    <t>Research Now Group, LLC and Dynata, LLC-Last Out Term loan</t>
  </si>
  <si>
    <t>RTIC subsidiary Holdings, LLC</t>
  </si>
  <si>
    <t>RTIC</t>
  </si>
  <si>
    <t>SV- Aero Holdings, LLC (Aeronix)</t>
  </si>
  <si>
    <t xml:space="preserve">Aeronix, Inc. </t>
  </si>
  <si>
    <t>Sabel Systems Technology Solutions, LLC</t>
  </si>
  <si>
    <t>Sabel Systems</t>
  </si>
  <si>
    <t>S101 Holdings Inc.</t>
  </si>
  <si>
    <t>Security 101</t>
  </si>
  <si>
    <t>Seaway Buyer, LLC</t>
  </si>
  <si>
    <t>Seaway Plastics</t>
  </si>
  <si>
    <t>Sigma Defense Systems, LLC</t>
  </si>
  <si>
    <t>Sigma Defense</t>
  </si>
  <si>
    <t>System Planning and Analysis, Inc. (f/k/a Management Consulting &amp; Research, LLC)</t>
  </si>
  <si>
    <t xml:space="preserve">System Planning and Analysis, Inc. </t>
  </si>
  <si>
    <t>Team Services Group, LLC</t>
  </si>
  <si>
    <t>TEAM Services Group</t>
  </si>
  <si>
    <t>TCG 3.0 Jogger Acquisitionco, Inc.</t>
  </si>
  <si>
    <t>TCD 3.0 Jogger Acquisitionco, Inc. Term Loan</t>
  </si>
  <si>
    <t>The Bluebird Group LLC</t>
  </si>
  <si>
    <t>The Vertex Companies, LLC</t>
  </si>
  <si>
    <t>Vertex</t>
  </si>
  <si>
    <t>Transgo, LLC</t>
  </si>
  <si>
    <t>Transgo</t>
  </si>
  <si>
    <t>Urology Management Holdings, Inc.</t>
  </si>
  <si>
    <t>UROLOGY MANAGEMENT HOLDINGS, INC.</t>
  </si>
  <si>
    <t>US Fertility Enterprises, LLC</t>
  </si>
  <si>
    <t>US Fertility</t>
  </si>
  <si>
    <t>Watchtower Buyer, LLC</t>
  </si>
  <si>
    <t>HV Watterson Holdings, LLC</t>
  </si>
  <si>
    <t>Watterson</t>
  </si>
  <si>
    <t>Zips Car Wash, LLC</t>
  </si>
  <si>
    <t>Zips</t>
  </si>
  <si>
    <t>By Light professional IT Services, LLC</t>
  </si>
  <si>
    <t>By Light</t>
  </si>
  <si>
    <t>Best Practice Associates, LLC</t>
  </si>
  <si>
    <t>Federal Advisory Partners</t>
  </si>
  <si>
    <t>Arcfield Acquisition Corp.</t>
  </si>
  <si>
    <t>Arcfield</t>
  </si>
  <si>
    <t>BLC Holding Company, INC.</t>
  </si>
  <si>
    <t>Bland Landscaping</t>
  </si>
  <si>
    <t>OSP Embedded Purchaser, LLC</t>
  </si>
  <si>
    <t xml:space="preserve">Lynx Technologies </t>
  </si>
  <si>
    <t>VRS Buyer, Inc.</t>
  </si>
  <si>
    <t>VRS Buyer</t>
  </si>
  <si>
    <t>Velocity Rail Solutions</t>
  </si>
  <si>
    <t>RealmOne</t>
  </si>
  <si>
    <t>Seacoast Service Partners, LLC</t>
  </si>
  <si>
    <t>Seacoast</t>
  </si>
  <si>
    <t>Seacoast Service Partners</t>
  </si>
  <si>
    <t>Marketplace Events Acquisition, LLC</t>
  </si>
  <si>
    <t>Marketplace</t>
  </si>
  <si>
    <t>Marketplace Events</t>
  </si>
  <si>
    <t>Emergency Care Partners, LLC</t>
  </si>
  <si>
    <t>Emergency Care Partners</t>
  </si>
  <si>
    <t>Amsive Holding Corporation (f/k/a Vision Purchaser Corporation)</t>
  </si>
  <si>
    <t>Amsive Holding Corporation</t>
  </si>
  <si>
    <t>Vision Purchaser Corporation</t>
  </si>
  <si>
    <t>LAV Gear Holdings, Inc. - Incremental TL</t>
  </si>
  <si>
    <t>LAV Gear Holdings, Inc.</t>
  </si>
  <si>
    <t>Grand Total</t>
  </si>
  <si>
    <t>Boss Industries, LLC</t>
  </si>
  <si>
    <t>Boss Industries</t>
  </si>
  <si>
    <t>Project Granite Buyer, Inc.</t>
  </si>
  <si>
    <t>Tranzact</t>
  </si>
  <si>
    <t>Ro Health, LLC</t>
  </si>
  <si>
    <t xml:space="preserve">Ro Health </t>
  </si>
  <si>
    <t>DESCRIPTION</t>
  </si>
  <si>
    <t>Investment Family</t>
  </si>
  <si>
    <t xml:space="preserve">Concatenate </t>
  </si>
  <si>
    <t>UNITS (IN USD UNLESS OTHERWISE NOTED)</t>
  </si>
  <si>
    <t>47109A1 Garage Merger Sub, LLC</t>
  </si>
  <si>
    <t>46486AFC - Dell Holding Corp.</t>
  </si>
  <si>
    <t>46356Alpine Acquisition Corp II</t>
  </si>
  <si>
    <t>45818Amsive Holding Corporation (f/k/a Vision Purchaser Corporation)</t>
  </si>
  <si>
    <t>48149Arcfield Acquisition Corp.</t>
  </si>
  <si>
    <t>47358Archer Lewis, LLC</t>
  </si>
  <si>
    <t>47374Argano, LLC</t>
  </si>
  <si>
    <t>47807BLC Holding Company, INC.</t>
  </si>
  <si>
    <t>47290Beacon Behavioral Support Services, LLC</t>
  </si>
  <si>
    <t>47430Best Practice Associates, LLC</t>
  </si>
  <si>
    <t>46282Blackhawk Industrial Distribution, Inc.</t>
  </si>
  <si>
    <t>45961BlueHalo Global Holdings, LLC</t>
  </si>
  <si>
    <t>47844Boss Industries, LLC</t>
  </si>
  <si>
    <t>47324Burgess Point Purchaser Corporation</t>
  </si>
  <si>
    <t>46342By Light professional IT Services, LLC</t>
  </si>
  <si>
    <t>47330C5MI Acquisition, LLC</t>
  </si>
  <si>
    <t>46254CF512, Inc.</t>
  </si>
  <si>
    <t>47453Carisk Buyer, Inc.</t>
  </si>
  <si>
    <t>47521Carnegie Dartlet, LLC</t>
  </si>
  <si>
    <t>46918Cartessa Aesthetics, LLC</t>
  </si>
  <si>
    <t>47392Case Works, LLC</t>
  </si>
  <si>
    <t>47749Commercial Fire Protection Holdings, LLC</t>
  </si>
  <si>
    <t>46615Crane 1 Services, Inc.</t>
  </si>
  <si>
    <t>46630Dr. Squatch, LLC</t>
  </si>
  <si>
    <t>Dynata, LLC</t>
  </si>
  <si>
    <t>46951Dynata, LLC - First Out Term Loan</t>
  </si>
  <si>
    <t>47042Dynata, LLC - Last Out Term Loan</t>
  </si>
  <si>
    <t>47128EDS Buyer, LLC</t>
  </si>
  <si>
    <t>46678Emergency Care Partners, LLC</t>
  </si>
  <si>
    <t>47613Eval Home Health Solutions Intermediate, LLC</t>
  </si>
  <si>
    <t>47753GGG Midco, LLC</t>
  </si>
  <si>
    <t>47286HEC Purchaser Corp.</t>
  </si>
  <si>
    <t>47704Harris &amp; Co. LLC</t>
  </si>
  <si>
    <t>46373HV Watterson Holdings, LLC</t>
  </si>
  <si>
    <t>46152HW Holdco, LLC</t>
  </si>
  <si>
    <t>47115Infinity Home Services Holdco, Inc.</t>
  </si>
  <si>
    <t>46327Infolinks Media Buyco, LLC</t>
  </si>
  <si>
    <t>47834Inovex Information Systems Incorporated</t>
  </si>
  <si>
    <t>45838Inventus Power, Inc.</t>
  </si>
  <si>
    <t>45961LAV Gear Holdings, Inc. - Incremental TL</t>
  </si>
  <si>
    <t>Lilly Lashes</t>
  </si>
  <si>
    <t>46436Lash OpCo, LLC</t>
  </si>
  <si>
    <t>46421Lightspeed Buyer Inc.</t>
  </si>
  <si>
    <t>46959MDI Buyer Inc.</t>
  </si>
  <si>
    <t>47836Marketplace Events Acquisition, LLC</t>
  </si>
  <si>
    <t>47046Medina Health, LLC</t>
  </si>
  <si>
    <t>47543Megawatt Acquisitionco, Inc.</t>
  </si>
  <si>
    <t>47105Michael Baker International, LLC</t>
  </si>
  <si>
    <t>47499MOREgroup Holdings, LLC</t>
  </si>
  <si>
    <t>46661Municipal Emergency Services, Inc.</t>
  </si>
  <si>
    <t>47361NORA Acquisition, LLC</t>
  </si>
  <si>
    <t>47481Omnia Exterior Solutions, LLC</t>
  </si>
  <si>
    <t>47469OSP Embedded Purchaser, LLC</t>
  </si>
  <si>
    <t>46700PL Acquisitionco, LLC</t>
  </si>
  <si>
    <t>47729PAR Excellence Holdings, Inc.</t>
  </si>
  <si>
    <t>47848Project Granite Buyer, Inc.</t>
  </si>
  <si>
    <t>47241RTIC subsidiary Holdings, LLC</t>
  </si>
  <si>
    <t>46475Radius Aerospace, Inc.</t>
  </si>
  <si>
    <t>47289Rancho Health MSO, Inc.</t>
  </si>
  <si>
    <t>47865Ro Health, LLC</t>
  </si>
  <si>
    <t>47787Sabel Systems Technology Solutions, LLC</t>
  </si>
  <si>
    <t>47282Seaway Buyer, LLC</t>
  </si>
  <si>
    <t>47472Seacoast Service Partners, LLC</t>
  </si>
  <si>
    <t>46741Sigma Defense Systems, LLC</t>
  </si>
  <si>
    <t>STG Distribution, LLC (fka Reception Purchaser, LLC)</t>
  </si>
  <si>
    <t>47395STG Distribution, LLC (fka Reception Purchaser) - First Out New Money Term Loans</t>
  </si>
  <si>
    <t>47788SV- Aero Holdings, LLC (Aeronix)</t>
  </si>
  <si>
    <t>46615System Planning and Analysis, Inc. (f/k/a Management Consulting &amp; Research, LLC)</t>
  </si>
  <si>
    <t>47141TCG 3.0 Jogger Acquisitionco, Inc.</t>
  </si>
  <si>
    <t>46741Team Services Group, LLC</t>
  </si>
  <si>
    <t>46230The Bluebird Group LLC</t>
  </si>
  <si>
    <t>46996The Vertex Companies, LLC</t>
  </si>
  <si>
    <t>47116Transgo, LLC</t>
  </si>
  <si>
    <t>46553Urology Management Holdings, Inc.</t>
  </si>
  <si>
    <t>48128US Fertility Enterprises, LLC</t>
  </si>
  <si>
    <t>47808VRS Buyer, Inc.</t>
  </si>
  <si>
    <t>47453Watchtower Buyer, LLC</t>
  </si>
  <si>
    <t>46843Zips Car Wash, LLC</t>
  </si>
  <si>
    <t>New Insight Holdings, Inc. - Common Equity</t>
  </si>
  <si>
    <t>48Forty Intermediate Holdings, Inc.- Common Equity</t>
  </si>
  <si>
    <t>Issuer Name</t>
  </si>
  <si>
    <t xml:space="preserve">Admin Agent </t>
  </si>
  <si>
    <t>As of Date</t>
  </si>
  <si>
    <t>Portfolio Name</t>
  </si>
  <si>
    <t>Security Name</t>
  </si>
  <si>
    <t>Loan number</t>
  </si>
  <si>
    <t>Facility Name</t>
  </si>
  <si>
    <t>OutstandingAmount</t>
  </si>
  <si>
    <t>LoanX Id / CUSIP</t>
  </si>
  <si>
    <t>Loan Type (Underlying Structure)</t>
  </si>
  <si>
    <t xml:space="preserve">S&amp;P Industry </t>
  </si>
  <si>
    <t>Fixed/Float</t>
  </si>
  <si>
    <t>SOFR/LIBOR Index</t>
  </si>
  <si>
    <t>LIBOR/SOFR Floor</t>
  </si>
  <si>
    <t>Payment Freq (1=monthly, 3=quarterly)</t>
  </si>
  <si>
    <t>Default Date</t>
  </si>
  <si>
    <t>Seniority</t>
  </si>
  <si>
    <t>Average Life</t>
  </si>
  <si>
    <t>Maturity Date</t>
  </si>
  <si>
    <t>Obligor Domicile</t>
  </si>
  <si>
    <t>Purchase Price</t>
  </si>
  <si>
    <t>Market Price</t>
  </si>
  <si>
    <t>Sale Price</t>
  </si>
  <si>
    <t xml:space="preserve">Tranche Size (at acquisition) </t>
  </si>
  <si>
    <t>EBITDA
(at acquisition)</t>
  </si>
  <si>
    <t>Cash Interest Coverage Ratio (at acquisition)</t>
  </si>
  <si>
    <t>Senior Net Leverage Ratio (at acquisition)</t>
  </si>
  <si>
    <t xml:space="preserve">Revenue (at acquisition) </t>
  </si>
  <si>
    <t>Total Leverage Ratio
(at acquisition)</t>
  </si>
  <si>
    <t>ABL / FO Lev Ratio</t>
  </si>
  <si>
    <t>Change in Net Senior Lev Ratio Since Acquisition</t>
  </si>
  <si>
    <t xml:space="preserve">Revenue (current) </t>
  </si>
  <si>
    <t>Change in Total Lev Ratio Since Acquisition</t>
  </si>
  <si>
    <t>Change in Cash Interest Coverage Ratio Since Acquisition</t>
  </si>
  <si>
    <t>Global Original Facility</t>
  </si>
  <si>
    <t>Global Bank Deal</t>
  </si>
  <si>
    <t>Covenant Type</t>
  </si>
  <si>
    <t>Covenant Lite</t>
  </si>
  <si>
    <t>Recurring Revenue</t>
  </si>
  <si>
    <t>Firm Asset ID/ ISIN</t>
  </si>
  <si>
    <t>Status</t>
  </si>
  <si>
    <t>Par Balance (Unadjusted for PIK)</t>
  </si>
  <si>
    <t>PIK Amount</t>
  </si>
  <si>
    <t>Principal Balance (Adjusted for PIK)</t>
  </si>
  <si>
    <t>Partial PIK</t>
  </si>
  <si>
    <t>Eligible Collateral Loan</t>
  </si>
  <si>
    <t>Revaluation Event</t>
  </si>
  <si>
    <t>Assigned MV</t>
  </si>
  <si>
    <t>Not First Lien</t>
  </si>
  <si>
    <t>FLLO or 2L</t>
  </si>
  <si>
    <t>Second Lien</t>
  </si>
  <si>
    <t>Non-USD</t>
  </si>
  <si>
    <t>Non-US Domiciled</t>
  </si>
  <si>
    <t>EBITDA &lt; 15mm</t>
  </si>
  <si>
    <t>EBITDA &lt; $10mm</t>
  </si>
  <si>
    <t>Senior Net Lev &gt; 5.5x</t>
  </si>
  <si>
    <t>Fixed Rate</t>
  </si>
  <si>
    <t>Purchase Market Value</t>
  </si>
  <si>
    <t>Adjusted Collateral Value</t>
  </si>
  <si>
    <t>Adjusted Principal Balance</t>
  </si>
  <si>
    <t>Excess Concentrations</t>
  </si>
  <si>
    <t>Net Principal Balance</t>
  </si>
  <si>
    <t>Sale Proceeds</t>
  </si>
  <si>
    <t>EBITDA Bucket</t>
  </si>
  <si>
    <t>ABL / FO Bucket</t>
  </si>
  <si>
    <t>Designated FL</t>
  </si>
  <si>
    <t>AR Category</t>
  </si>
  <si>
    <t>PennantPark Investment Funding I</t>
  </si>
  <si>
    <t>A1 Garage (Term Loan)</t>
  </si>
  <si>
    <t>PNNT 1</t>
  </si>
  <si>
    <t>First Lien</t>
  </si>
  <si>
    <t>FL</t>
  </si>
  <si>
    <t>Energy Equipment &amp; Services</t>
  </si>
  <si>
    <t>Float</t>
  </si>
  <si>
    <t>SOFR</t>
  </si>
  <si>
    <t>Senior Secured</t>
  </si>
  <si>
    <t>USA</t>
  </si>
  <si>
    <t>Maintenance Covenants</t>
  </si>
  <si>
    <t>No</t>
  </si>
  <si>
    <t>SETTLED</t>
  </si>
  <si>
    <t>Y</t>
  </si>
  <si>
    <t>N</t>
  </si>
  <si>
    <t>AFC Industries (TL)</t>
  </si>
  <si>
    <t>PNNT 4</t>
  </si>
  <si>
    <t>Distributors</t>
  </si>
  <si>
    <t>Cov-Lite</t>
  </si>
  <si>
    <t>Yes</t>
  </si>
  <si>
    <t>48Forty (Term Loan)</t>
  </si>
  <si>
    <t>PNNT 7</t>
  </si>
  <si>
    <t>Containers and Packaging</t>
  </si>
  <si>
    <t>Archer Lewis (Term Loan)</t>
  </si>
  <si>
    <t>PNNT 87</t>
  </si>
  <si>
    <t>Diversified Financial Services</t>
  </si>
  <si>
    <t>Argano (Term Loan)</t>
  </si>
  <si>
    <t>PNNT 93</t>
  </si>
  <si>
    <t>IT Services</t>
  </si>
  <si>
    <t>BBB Industries (First Lien Term Loan)</t>
  </si>
  <si>
    <t>PNNT 10</t>
  </si>
  <si>
    <t>Automobiles</t>
  </si>
  <si>
    <t>Beacon Behavioral (Term Loan)</t>
  </si>
  <si>
    <t>PNNT 75</t>
  </si>
  <si>
    <t>Health Care Providers &amp; Services</t>
  </si>
  <si>
    <t>BlackHawk Industrial (TL)</t>
  </si>
  <si>
    <t>PNNT 14</t>
  </si>
  <si>
    <t>BlueHalo (Term Loan)</t>
  </si>
  <si>
    <t>PNNT 15</t>
  </si>
  <si>
    <t>Aerospace &amp; Defense</t>
  </si>
  <si>
    <t>C5MI Acquisition LLC  First Lien  Term Loan  T - CF</t>
  </si>
  <si>
    <t>PNNT 81</t>
  </si>
  <si>
    <t>Gen3 Marketing (Term Loan)</t>
  </si>
  <si>
    <t>PNNT 97</t>
  </si>
  <si>
    <t>Media</t>
  </si>
  <si>
    <t>Carnegie Dartlet (Term Loan)</t>
  </si>
  <si>
    <t>PNNT 76</t>
  </si>
  <si>
    <t>Carisk Partners (TL)</t>
  </si>
  <si>
    <t>PNNT 16</t>
  </si>
  <si>
    <t>Cartessa (TL)</t>
  </si>
  <si>
    <t>PNNT 17</t>
  </si>
  <si>
    <t xml:space="preserve">Case Works Group (Term Loan) </t>
  </si>
  <si>
    <t>PNNT 88</t>
  </si>
  <si>
    <t>Professional Services</t>
  </si>
  <si>
    <t>Centauri Health (TL)</t>
  </si>
  <si>
    <t>PNNT 18</t>
  </si>
  <si>
    <t>Comprehensive Rehab Consultants (Term Loan)</t>
  </si>
  <si>
    <t>PNNT 19</t>
  </si>
  <si>
    <t>Crane 1 (Term Loan)</t>
  </si>
  <si>
    <t>PNNT 77</t>
  </si>
  <si>
    <t>Commercial Services &amp; Supplies</t>
  </si>
  <si>
    <t>Dr. Squatch (Term Loan)</t>
  </si>
  <si>
    <t>PNNT 22</t>
  </si>
  <si>
    <t>Leisure Products</t>
  </si>
  <si>
    <t>Epiq (TL)</t>
  </si>
  <si>
    <t>PNNT 24</t>
  </si>
  <si>
    <t>EvAl (Term Loan)</t>
  </si>
  <si>
    <t>PNNT 26</t>
  </si>
  <si>
    <t>Guild Garage Group (Term Loan)</t>
  </si>
  <si>
    <t>PNNT 95</t>
  </si>
  <si>
    <t>Health-E Commerce (Term Loan)</t>
  </si>
  <si>
    <t>PNNT 74</t>
  </si>
  <si>
    <t>Harris (DDTL A)</t>
  </si>
  <si>
    <t>PNNT 89</t>
  </si>
  <si>
    <t>Hanley Wood (TL)</t>
  </si>
  <si>
    <t>PNNT 30</t>
  </si>
  <si>
    <t xml:space="preserve"> </t>
  </si>
  <si>
    <t>Infinity Home Services (Term Loan)</t>
  </si>
  <si>
    <t>PNNT 31</t>
  </si>
  <si>
    <t>Infolinks (TL)</t>
  </si>
  <si>
    <t>PNNT 32</t>
  </si>
  <si>
    <t>Inventus (TL)</t>
  </si>
  <si>
    <t>PNNT 33</t>
  </si>
  <si>
    <t>Electronic Equipment, Instruments &amp; Components</t>
  </si>
  <si>
    <t>Lilly Lashes (TL)</t>
  </si>
  <si>
    <t>PNNT 35</t>
  </si>
  <si>
    <t>Personal Products</t>
  </si>
  <si>
    <t>MDI (TL)</t>
  </si>
  <si>
    <t>PNNT 98</t>
  </si>
  <si>
    <t>Chemicals</t>
  </si>
  <si>
    <t>Mission Microwave (Term Loan)</t>
  </si>
  <si>
    <t>PNNT 39</t>
  </si>
  <si>
    <t>Michael Baker (Term Loan)</t>
  </si>
  <si>
    <t>PNNT 99</t>
  </si>
  <si>
    <t>Construction &amp; Engineering</t>
  </si>
  <si>
    <t>MES (Term Loan)</t>
  </si>
  <si>
    <t>PNNT 79</t>
  </si>
  <si>
    <t>MOREgroup (Term Loan)</t>
  </si>
  <si>
    <t>PNNT 41</t>
  </si>
  <si>
    <t>Commercial Fire Protection (Term Loan)</t>
  </si>
  <si>
    <t>PNNT 100</t>
  </si>
  <si>
    <t>NORA (Term Loan)</t>
  </si>
  <si>
    <t>PNNT 42</t>
  </si>
  <si>
    <t>Air Freight &amp; Logistics</t>
  </si>
  <si>
    <t>Omnia (TL)</t>
  </si>
  <si>
    <t>PNNT 43</t>
  </si>
  <si>
    <t>Diversified Consumer Services</t>
  </si>
  <si>
    <t>PAR Excellence (Term Loan)</t>
  </si>
  <si>
    <t>PNNT 90</t>
  </si>
  <si>
    <t>Health Care Technology</t>
  </si>
  <si>
    <t>Pink Lily (Term Loan)</t>
  </si>
  <si>
    <t>PNNT 48</t>
  </si>
  <si>
    <t>Specialty Retail</t>
  </si>
  <si>
    <t>Radius Aerospace (Term Loan)</t>
  </si>
  <si>
    <t>PNNT 51</t>
  </si>
  <si>
    <t>Rancho (TL)</t>
  </si>
  <si>
    <t>PNNT 96</t>
  </si>
  <si>
    <t>STG (TL)</t>
  </si>
  <si>
    <t>PNNT 84</t>
  </si>
  <si>
    <t>Research Now / SSI (1st)</t>
  </si>
  <si>
    <t>PNNT 53</t>
  </si>
  <si>
    <t>PNNT 54</t>
  </si>
  <si>
    <t xml:space="preserve">FLLO </t>
  </si>
  <si>
    <t>RTIC (TL)</t>
  </si>
  <si>
    <t>PNNT 55</t>
  </si>
  <si>
    <t>Aeronix (TL)</t>
  </si>
  <si>
    <t>PNNT 5</t>
  </si>
  <si>
    <t>Sabel Systems (Term Loan)</t>
  </si>
  <si>
    <t>PNNT 102</t>
  </si>
  <si>
    <t>Security 101 (TL)</t>
  </si>
  <si>
    <t>PNNT 57</t>
  </si>
  <si>
    <t>Seaway (TL)</t>
  </si>
  <si>
    <t>PNNT 58</t>
  </si>
  <si>
    <t>Sigma Defense (Term Loan)</t>
  </si>
  <si>
    <t>PNNT 59</t>
  </si>
  <si>
    <t>MCR (Term Loan)</t>
  </si>
  <si>
    <t>PNNT 61</t>
  </si>
  <si>
    <t>TEAM Services Group (First Lien Term Loan)</t>
  </si>
  <si>
    <t>PNNT 62</t>
  </si>
  <si>
    <t>BiggerPockets (TL)</t>
  </si>
  <si>
    <t>PNNT 63</t>
  </si>
  <si>
    <t>Bluebird (Term Loan)</t>
  </si>
  <si>
    <t>PNNT 64</t>
  </si>
  <si>
    <t>Vertex (Term Loan)</t>
  </si>
  <si>
    <t>PNNT 92</t>
  </si>
  <si>
    <t>TransGo (TL)</t>
  </si>
  <si>
    <t>PNNT 66</t>
  </si>
  <si>
    <t>Solaris Health (Term Loan)</t>
  </si>
  <si>
    <t>PNNT 68</t>
  </si>
  <si>
    <t>US Fertility (Term Loan)</t>
  </si>
  <si>
    <t>PNNT 86</t>
  </si>
  <si>
    <t>Watchtower (TL)</t>
  </si>
  <si>
    <t>PNNT 70</t>
  </si>
  <si>
    <t>Watterson (TL)</t>
  </si>
  <si>
    <t>PNNT 71</t>
  </si>
  <si>
    <t>Fixed</t>
  </si>
  <si>
    <t>Zips (DDTL)</t>
  </si>
  <si>
    <t>PNNT 73</t>
  </si>
  <si>
    <t>By Light (Term Loan)</t>
  </si>
  <si>
    <t>PNNT 103</t>
  </si>
  <si>
    <t>Federal Advisory Partners (First Lien Term Loan)</t>
  </si>
  <si>
    <t>PNNT 104</t>
  </si>
  <si>
    <t>Arcfield (Term Loan)</t>
  </si>
  <si>
    <t>PNNT 105</t>
  </si>
  <si>
    <t>Bland Landscaping (Term Loan)</t>
  </si>
  <si>
    <t>PNNT 106</t>
  </si>
  <si>
    <t>Lynx Technologies (TL)</t>
  </si>
  <si>
    <t>PNNT 107</t>
  </si>
  <si>
    <t>Velocity Rail Solutions (Term Loan)</t>
  </si>
  <si>
    <t>PNNT 108</t>
  </si>
  <si>
    <t>Road &amp; Rail</t>
  </si>
  <si>
    <t>RealmOne (Term Loan)</t>
  </si>
  <si>
    <t>PNNT 109</t>
  </si>
  <si>
    <t>Seacoast Service Partners (Term Loan)</t>
  </si>
  <si>
    <t>PNNT 110</t>
  </si>
  <si>
    <t>Marketplace Events (USD Term Loan)</t>
  </si>
  <si>
    <t>PNNT 111</t>
  </si>
  <si>
    <t>Emergency Care Partners (Term Loan)</t>
  </si>
  <si>
    <t>PNNT 112</t>
  </si>
  <si>
    <t>Vision Integrated (TL)</t>
  </si>
  <si>
    <t>PNNT 113</t>
  </si>
  <si>
    <t>4Wall Entertainment (Term Loan)</t>
  </si>
  <si>
    <t>PNNT 114</t>
  </si>
  <si>
    <t>Boss Industries (Term Loan)</t>
  </si>
  <si>
    <t>PNNT 115</t>
  </si>
  <si>
    <t>Tranzact (Term Loan)</t>
  </si>
  <si>
    <t>PNNT 116</t>
  </si>
  <si>
    <t>Ro Health (Term Loan)</t>
  </si>
  <si>
    <t>PNNT 117</t>
  </si>
  <si>
    <t>Traded Commitment</t>
  </si>
  <si>
    <t>Traded Funded</t>
  </si>
  <si>
    <t>Traded Unfunded</t>
  </si>
  <si>
    <t>Traded PIK</t>
  </si>
  <si>
    <t>Settled Commitment</t>
  </si>
  <si>
    <t>Settled Funded</t>
  </si>
  <si>
    <t>Settled Unfunded</t>
  </si>
  <si>
    <t>Settled PIK</t>
  </si>
  <si>
    <r>
      <rPr>
        <b/>
        <sz val="14"/>
        <color rgb="FF05233D"/>
        <rFont val="Calibri"/>
        <family val="2"/>
      </rPr>
      <t xml:space="preserve">Holdings as of </t>
    </r>
    <r>
      <rPr>
        <b/>
        <sz val="14"/>
        <color rgb="FF05233D"/>
        <rFont val="Calibri"/>
        <family val="2"/>
      </rPr>
      <t>04/30/2025</t>
    </r>
  </si>
  <si>
    <t>Facility ID</t>
  </si>
  <si>
    <t>Equity</t>
  </si>
  <si>
    <t>LX249163</t>
  </si>
  <si>
    <t>Proceeds Allocation</t>
  </si>
  <si>
    <r>
      <rPr>
        <b/>
        <sz val="14"/>
        <color rgb="FF05233D"/>
        <rFont val="Calibri"/>
        <family val="2"/>
      </rPr>
      <t xml:space="preserve">Pending Trades as of </t>
    </r>
    <r>
      <rPr>
        <b/>
        <sz val="14"/>
        <color rgb="FF05233D"/>
        <rFont val="Calibri"/>
        <family val="2"/>
      </rPr>
      <t>04/30/2025</t>
    </r>
  </si>
  <si>
    <t>Trade ID</t>
  </si>
  <si>
    <t>Expected Settlement Date</t>
  </si>
  <si>
    <t>Trade Type</t>
  </si>
  <si>
    <t>Form Of Trade</t>
  </si>
  <si>
    <t>Trade Reason</t>
  </si>
  <si>
    <t>Market Trade Type</t>
  </si>
  <si>
    <t>Trade Counterparty</t>
  </si>
  <si>
    <t>Effective Trade Price</t>
  </si>
  <si>
    <t>Orginal Trade Amount</t>
  </si>
  <si>
    <t>Original Funded Amount</t>
  </si>
  <si>
    <t>Original Unfunded Amount</t>
  </si>
  <si>
    <t>Current Trade Amount</t>
  </si>
  <si>
    <t>Current Funded Amount</t>
  </si>
  <si>
    <t>Curent Unfunded Amount</t>
  </si>
  <si>
    <t>Principal Amount and Principal Fees</t>
  </si>
  <si>
    <t>Accrued interests and Interest Fees</t>
  </si>
  <si>
    <t>Sale</t>
  </si>
  <si>
    <t>Assignment</t>
  </si>
  <si>
    <t>Secondary</t>
  </si>
  <si>
    <t>PennantPark CLO VII LLC</t>
  </si>
  <si>
    <t>PennantPark CLO X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</si>
</sst>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[$-10409]mm/dd/yyyy"/>
    <numFmt numFmtId="165" formatCode="[$-10409]#,##0.0000;\(#,##0.0000\);&quot;-&quot;"/>
    <numFmt numFmtId="166" formatCode="[$-10409]####"/>
    <numFmt numFmtId="167" formatCode="[$-10409]#,##0.00;\(#,##0.00\);&quot;-&quot;"/>
    <numFmt numFmtId="168" formatCode="[$-10409]#,##0;\(#,##0\);&quot;-&quot;"/>
    <numFmt numFmtId="169" formatCode="[$-10409]0.000%;\(0.000%\)"/>
    <numFmt numFmtId="170" formatCode="[$-10409]#,##0.00;\(#,##0.00\)"/>
    <numFmt numFmtId="171" formatCode="[$-10409]#,##0.00;\(#,##0.00\);\-"/>
    <numFmt numFmtId="172" formatCode="0.000%"/>
    <numFmt numFmtId="173" formatCode="mm/dd/yyyy"/>
    <numFmt numFmtId="174" formatCode="_(* #,##0_);_(* \(#,##0\);_(* &quot;-&quot;??_);_(@_)"/>
    <numFmt numFmtId="175" formatCode="0.000000%"/>
    <numFmt numFmtId="176" formatCode="0.0"/>
    <numFmt numFmtId="177" formatCode="0.00\x;\ \(0.00\x\);&quot;-- &quot;"/>
    <numFmt numFmtId="178" formatCode="#,##0.00;\(#,##0.00\);\-"/>
    <numFmt numFmtId="179" formatCode="#,##0;\(#,##0\);\-"/>
  </numFmts>
  <fonts count="44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  <family val="2"/>
    </font>
    <font>
      <b/>
      <sz val="12"/>
      <color rgb="FFFFFFFF"/>
      <name val="Calibri"/>
      <family val="2"/>
    </font>
    <font>
      <sz val="10"/>
      <color rgb="FF000000"/>
      <name val="Arial"/>
      <family val="2"/>
    </font>
    <font>
      <b/>
      <sz val="20"/>
      <color rgb="FFFFFFFF"/>
      <name val="Calibri"/>
      <family val="2"/>
    </font>
    <font>
      <b/>
      <sz val="14"/>
      <color rgb="FF05233D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u/>
      <sz val="12"/>
      <color rgb="FF0563C1"/>
      <name val="Calibri"/>
      <family val="2"/>
    </font>
    <font>
      <b/>
      <sz val="11"/>
      <color rgb="FF000000"/>
      <name val="Calibri"/>
      <family val="2"/>
    </font>
    <font>
      <b/>
      <sz val="12"/>
      <color rgb="FF05233D"/>
      <name val="Calibri"/>
      <family val="2"/>
    </font>
    <font>
      <sz val="11"/>
      <color rgb="FF05233D"/>
      <name val="Calibri"/>
      <family val="2"/>
    </font>
    <font>
      <sz val="12"/>
      <color rgb="FF05233D"/>
      <name val="Calibri"/>
      <family val="2"/>
    </font>
    <font>
      <b/>
      <sz val="11"/>
      <color rgb="FF05233D"/>
      <name val="Calibri"/>
      <family val="2"/>
    </font>
    <font>
      <b/>
      <sz val="10"/>
      <color rgb="FFFFFFFF"/>
      <name val="Segoe UI"/>
      <family val="2"/>
    </font>
    <font>
      <b/>
      <sz val="10"/>
      <color rgb="FF05233D"/>
      <name val="Calibri"/>
      <family val="2"/>
    </font>
    <font>
      <sz val="10"/>
      <color rgb="FF05233D"/>
      <name val="Calibri"/>
      <family val="2"/>
    </font>
    <font>
      <sz val="14"/>
      <color rgb="FF000000"/>
      <name val="Calibri"/>
      <family val="2"/>
    </font>
    <font>
      <b/>
      <sz val="11"/>
      <color rgb="FF666666"/>
      <name val="Arial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0"/>
      <color rgb="FF00B050"/>
      <name val="Calibri"/>
      <family val="2"/>
    </font>
    <font>
      <b/>
      <sz val="10"/>
      <color rgb="FFB4C6E7"/>
      <name val="Calibri"/>
      <family val="2"/>
    </font>
    <font>
      <sz val="10"/>
      <color rgb="FF1400E1"/>
      <name val="Calibri"/>
      <family val="2"/>
      <scheme val="minor"/>
    </font>
    <font>
      <sz val="10"/>
      <color rgb="FF1400E1"/>
      <name val="Calibri"/>
      <family val="2"/>
    </font>
    <font>
      <sz val="10"/>
      <name val="Calibri"/>
      <family val="2"/>
      <scheme val="minor"/>
    </font>
    <font>
      <sz val="10"/>
      <color rgb="FF1600F5"/>
      <name val="Calibri"/>
      <family val="2"/>
    </font>
    <font>
      <sz val="10"/>
      <color rgb="FF1600F5"/>
      <name val="Calibri"/>
      <family val="2"/>
      <scheme val="minor"/>
    </font>
    <font>
      <sz val="9"/>
      <color rgb="FF1600F5"/>
      <name val="Calibri"/>
      <family val="2"/>
      <scheme val="minor"/>
    </font>
    <font>
      <sz val="10"/>
      <name val="Calibri"/>
      <family val="2"/>
    </font>
    <font>
      <sz val="10"/>
      <color theme="3"/>
      <name val="Calibri"/>
      <family val="2"/>
      <scheme val="minor"/>
    </font>
    <font>
      <sz val="10"/>
      <color rgb="FF44546A"/>
      <name val="Calibri"/>
      <family val="2"/>
    </font>
    <font>
      <sz val="10"/>
      <color rgb="FF806000"/>
      <name val="Calibri"/>
      <family val="2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5288"/>
        <bgColor rgb="FF00528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696969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D3D3D3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D1D3D4"/>
      </top>
      <bottom style="thin">
        <color rgb="FF000000"/>
      </bottom>
      <diagonal/>
    </border>
    <border>
      <left/>
      <right/>
      <top style="thin">
        <color rgb="FFD1D3D4"/>
      </top>
      <bottom style="thin">
        <color rgb="FF000000"/>
      </bottom>
      <diagonal/>
    </border>
    <border>
      <left/>
      <right style="medium">
        <color rgb="FF000000"/>
      </right>
      <top style="thin">
        <color rgb="FFD1D3D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5233D"/>
      </left>
      <right/>
      <top style="medium">
        <color rgb="FF05233D"/>
      </top>
      <bottom style="thin">
        <color rgb="FF05233D"/>
      </bottom>
      <diagonal/>
    </border>
    <border>
      <left/>
      <right/>
      <top style="medium">
        <color rgb="FF05233D"/>
      </top>
      <bottom style="thin">
        <color rgb="FF05233D"/>
      </bottom>
      <diagonal/>
    </border>
    <border>
      <left/>
      <right style="medium">
        <color rgb="FF05233D"/>
      </right>
      <top style="medium">
        <color rgb="FF05233D"/>
      </top>
      <bottom style="thin">
        <color rgb="FF05233D"/>
      </bottom>
      <diagonal/>
    </border>
    <border>
      <left style="medium">
        <color rgb="FF05233D"/>
      </left>
      <right/>
      <top style="thin">
        <color rgb="FF05233D"/>
      </top>
      <bottom style="thin">
        <color rgb="FF05233D"/>
      </bottom>
      <diagonal/>
    </border>
    <border>
      <left/>
      <right/>
      <top style="thin">
        <color rgb="FF05233D"/>
      </top>
      <bottom style="thin">
        <color rgb="FF05233D"/>
      </bottom>
      <diagonal/>
    </border>
    <border>
      <left/>
      <right style="medium">
        <color rgb="FF05233D"/>
      </right>
      <top style="thin">
        <color rgb="FF05233D"/>
      </top>
      <bottom style="thin">
        <color rgb="FF05233D"/>
      </bottom>
      <diagonal/>
    </border>
    <border>
      <left style="medium">
        <color rgb="FF05233D"/>
      </left>
      <right/>
      <top/>
      <bottom/>
      <diagonal/>
    </border>
    <border>
      <left/>
      <right style="medium">
        <color rgb="FF05233D"/>
      </right>
      <top/>
      <bottom/>
      <diagonal/>
    </border>
    <border>
      <left style="medium">
        <color rgb="FF05233D"/>
      </left>
      <right/>
      <top style="thin">
        <color rgb="FF05233D"/>
      </top>
      <bottom style="medium">
        <color rgb="FF05233D"/>
      </bottom>
      <diagonal/>
    </border>
    <border>
      <left/>
      <right/>
      <top style="thin">
        <color rgb="FF05233D"/>
      </top>
      <bottom style="medium">
        <color rgb="FF05233D"/>
      </bottom>
      <diagonal/>
    </border>
    <border>
      <left/>
      <right style="medium">
        <color rgb="FF05233D"/>
      </right>
      <top style="thin">
        <color rgb="FF05233D"/>
      </top>
      <bottom style="medium">
        <color rgb="FF05233D"/>
      </bottom>
      <diagonal/>
    </border>
    <border>
      <left/>
      <right/>
      <top style="thick">
        <color rgb="FF05233D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D3D3D3"/>
      </bottom>
      <diagonal/>
    </border>
    <border>
      <left/>
      <right style="medium">
        <color rgb="FF000000"/>
      </right>
      <top/>
      <bottom style="thin">
        <color rgb="FFD3D3D3"/>
      </bottom>
      <diagonal/>
    </border>
    <border>
      <left/>
      <right/>
      <top style="medium">
        <color rgb="FF05233D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  <border>
      <left style="thin">
        <color rgb="FFDCDCDC"/>
      </left>
      <right/>
      <top/>
      <bottom/>
      <diagonal/>
    </border>
  </borders>
  <cellStyleXfs count="6">
    <xf numFmtId="0" fontId="0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0">
    <xf numFmtId="0" fontId="2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7" fillId="0" borderId="0" xfId="0" applyFont="1" applyAlignment="1">
      <alignment horizontal="left" vertical="center" wrapText="1" readingOrder="1"/>
    </xf>
    <xf numFmtId="0" fontId="8" fillId="2" borderId="9" xfId="0" applyFont="1" applyFill="1" applyBorder="1" applyAlignment="1">
      <alignment horizontal="left" vertical="center" wrapText="1" readingOrder="1"/>
    </xf>
    <xf numFmtId="164" fontId="8" fillId="2" borderId="10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vertical="top" wrapText="1" readingOrder="1"/>
    </xf>
    <xf numFmtId="0" fontId="4" fillId="2" borderId="9" xfId="0" applyFont="1" applyFill="1" applyBorder="1" applyAlignment="1">
      <alignment horizontal="left" vertical="top" wrapText="1" readingOrder="1"/>
    </xf>
    <xf numFmtId="0" fontId="10" fillId="2" borderId="11" xfId="0" applyFont="1" applyFill="1" applyBorder="1" applyAlignment="1">
      <alignment horizontal="center" vertical="top" wrapText="1" readingOrder="1"/>
    </xf>
    <xf numFmtId="0" fontId="10" fillId="2" borderId="10" xfId="0" applyFont="1" applyFill="1" applyBorder="1" applyAlignment="1">
      <alignment horizontal="center" vertical="top" wrapText="1" readingOrder="1"/>
    </xf>
    <xf numFmtId="0" fontId="10" fillId="0" borderId="4" xfId="0" applyFont="1" applyBorder="1" applyAlignment="1">
      <alignment horizontal="center" vertical="top" wrapText="1" readingOrder="1"/>
    </xf>
    <xf numFmtId="0" fontId="10" fillId="3" borderId="12" xfId="0" applyFont="1" applyFill="1" applyBorder="1" applyAlignment="1">
      <alignment horizontal="center" vertical="top" wrapText="1" readingOrder="1"/>
    </xf>
    <xf numFmtId="0" fontId="10" fillId="3" borderId="13" xfId="0" applyFont="1" applyFill="1" applyBorder="1" applyAlignment="1">
      <alignment horizontal="center"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4" xfId="0" applyFont="1" applyBorder="1" applyAlignment="1">
      <alignment vertical="top" wrapText="1" readingOrder="1"/>
    </xf>
    <xf numFmtId="0" fontId="11" fillId="0" borderId="0" xfId="0" applyFont="1" applyAlignment="1">
      <alignment horizontal="center" vertical="top" wrapText="1" readingOrder="1"/>
    </xf>
    <xf numFmtId="165" fontId="11" fillId="0" borderId="0" xfId="0" applyNumberFormat="1" applyFont="1" applyAlignment="1">
      <alignment horizontal="center" vertical="top" wrapText="1" readingOrder="1"/>
    </xf>
    <xf numFmtId="166" fontId="11" fillId="0" borderId="0" xfId="0" applyNumberFormat="1" applyFont="1" applyAlignment="1">
      <alignment horizontal="right" vertical="top" wrapText="1" readingOrder="1"/>
    </xf>
    <xf numFmtId="167" fontId="11" fillId="0" borderId="0" xfId="0" applyNumberFormat="1" applyFont="1" applyAlignment="1">
      <alignment vertical="top" wrapText="1" readingOrder="1"/>
    </xf>
    <xf numFmtId="167" fontId="11" fillId="0" borderId="14" xfId="0" applyNumberFormat="1" applyFont="1" applyBorder="1" applyAlignment="1">
      <alignment vertical="top" wrapText="1" readingOrder="1"/>
    </xf>
    <xf numFmtId="0" fontId="9" fillId="0" borderId="4" xfId="0" applyFont="1" applyBorder="1" applyAlignment="1">
      <alignment vertical="top" wrapText="1" readingOrder="1"/>
    </xf>
    <xf numFmtId="0" fontId="11" fillId="0" borderId="2" xfId="0" applyFont="1" applyBorder="1" applyAlignment="1">
      <alignment vertical="top" wrapText="1" readingOrder="1"/>
    </xf>
    <xf numFmtId="0" fontId="4" fillId="2" borderId="9" xfId="0" applyFont="1" applyFill="1" applyBorder="1" applyAlignment="1">
      <alignment vertical="top" wrapText="1" readingOrder="1"/>
    </xf>
    <xf numFmtId="0" fontId="4" fillId="2" borderId="11" xfId="0" applyFont="1" applyFill="1" applyBorder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0" fontId="9" fillId="3" borderId="4" xfId="0" applyFont="1" applyFill="1" applyBorder="1" applyAlignment="1">
      <alignment vertical="top" wrapText="1" readingOrder="1"/>
    </xf>
    <xf numFmtId="0" fontId="10" fillId="3" borderId="0" xfId="0" applyFont="1" applyFill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12" fillId="0" borderId="15" xfId="0" applyFont="1" applyBorder="1" applyAlignment="1">
      <alignment vertical="top" wrapText="1" readingOrder="1"/>
    </xf>
    <xf numFmtId="168" fontId="11" fillId="0" borderId="16" xfId="0" applyNumberFormat="1" applyFont="1" applyBorder="1" applyAlignment="1">
      <alignment horizontal="center" vertical="top" wrapText="1" readingOrder="1"/>
    </xf>
    <xf numFmtId="0" fontId="11" fillId="0" borderId="4" xfId="0" applyFont="1" applyBorder="1" applyAlignment="1">
      <alignment horizontal="left" vertical="top" wrapText="1" readingOrder="1"/>
    </xf>
    <xf numFmtId="168" fontId="11" fillId="0" borderId="0" xfId="0" applyNumberFormat="1" applyFont="1" applyAlignment="1">
      <alignment horizontal="center" vertical="top" wrapText="1" readingOrder="1"/>
    </xf>
    <xf numFmtId="0" fontId="11" fillId="0" borderId="2" xfId="0" applyFont="1" applyBorder="1" applyAlignment="1">
      <alignment horizontal="center" vertical="top" wrapText="1" readingOrder="1"/>
    </xf>
    <xf numFmtId="0" fontId="11" fillId="0" borderId="0" xfId="0" applyFont="1" applyAlignment="1">
      <alignment horizontal="left" vertical="top" wrapText="1" readingOrder="1"/>
    </xf>
    <xf numFmtId="0" fontId="4" fillId="2" borderId="10" xfId="0" applyFont="1" applyFill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13" fillId="0" borderId="12" xfId="0" applyFont="1" applyBorder="1" applyAlignment="1">
      <alignment horizontal="center" vertical="top" wrapText="1" readingOrder="1"/>
    </xf>
    <xf numFmtId="0" fontId="10" fillId="0" borderId="13" xfId="0" applyFont="1" applyBorder="1" applyAlignment="1">
      <alignment horizontal="center" vertical="top" wrapText="1" readingOrder="1"/>
    </xf>
    <xf numFmtId="0" fontId="13" fillId="0" borderId="13" xfId="0" applyFont="1" applyBorder="1" applyAlignment="1">
      <alignment horizontal="center" vertical="top" wrapText="1" readingOrder="1"/>
    </xf>
    <xf numFmtId="0" fontId="10" fillId="0" borderId="17" xfId="0" applyFont="1" applyBorder="1" applyAlignment="1">
      <alignment horizontal="center" vertical="top" wrapText="1" readingOrder="1"/>
    </xf>
    <xf numFmtId="0" fontId="14" fillId="0" borderId="0" xfId="0" applyFont="1" applyAlignment="1">
      <alignment horizontal="center" vertical="top" wrapText="1" readingOrder="1"/>
    </xf>
    <xf numFmtId="0" fontId="11" fillId="0" borderId="4" xfId="0" applyFont="1" applyBorder="1" applyAlignment="1">
      <alignment vertical="top" wrapText="1" readingOrder="1"/>
    </xf>
    <xf numFmtId="167" fontId="11" fillId="0" borderId="5" xfId="0" applyNumberFormat="1" applyFont="1" applyBorder="1" applyAlignment="1">
      <alignment vertical="top" wrapText="1" readingOrder="1"/>
    </xf>
    <xf numFmtId="0" fontId="11" fillId="0" borderId="18" xfId="0" applyFont="1" applyBorder="1" applyAlignment="1">
      <alignment vertical="top" wrapText="1" readingOrder="1"/>
    </xf>
    <xf numFmtId="0" fontId="11" fillId="0" borderId="19" xfId="0" applyFont="1" applyBorder="1" applyAlignment="1">
      <alignment horizontal="center" vertical="top" wrapText="1" readingOrder="1"/>
    </xf>
    <xf numFmtId="165" fontId="11" fillId="0" borderId="19" xfId="0" applyNumberFormat="1" applyFont="1" applyBorder="1" applyAlignment="1">
      <alignment horizontal="center" vertical="top" wrapText="1" readingOrder="1"/>
    </xf>
    <xf numFmtId="167" fontId="11" fillId="0" borderId="19" xfId="0" applyNumberFormat="1" applyFont="1" applyBorder="1" applyAlignment="1">
      <alignment vertical="top" wrapText="1" readingOrder="1"/>
    </xf>
    <xf numFmtId="167" fontId="11" fillId="0" borderId="20" xfId="0" applyNumberFormat="1" applyFont="1" applyBorder="1" applyAlignment="1">
      <alignment vertical="top" wrapText="1" readingOrder="1"/>
    </xf>
    <xf numFmtId="0" fontId="15" fillId="0" borderId="0" xfId="0" applyFont="1" applyAlignment="1">
      <alignment horizontal="center" vertical="center" wrapText="1" readingOrder="1"/>
    </xf>
    <xf numFmtId="0" fontId="15" fillId="0" borderId="4" xfId="0" applyFont="1" applyBorder="1" applyAlignment="1">
      <alignment horizontal="center" vertical="center" wrapText="1" readingOrder="1"/>
    </xf>
    <xf numFmtId="0" fontId="15" fillId="3" borderId="13" xfId="0" applyFont="1" applyFill="1" applyBorder="1" applyAlignment="1">
      <alignment horizontal="center" vertical="top" wrapText="1" readingOrder="1"/>
    </xf>
    <xf numFmtId="0" fontId="15" fillId="3" borderId="23" xfId="0" applyFont="1" applyFill="1" applyBorder="1" applyAlignment="1">
      <alignment horizontal="center" vertical="top" wrapText="1" readingOrder="1"/>
    </xf>
    <xf numFmtId="0" fontId="15" fillId="3" borderId="13" xfId="0" applyFont="1" applyFill="1" applyBorder="1" applyAlignment="1">
      <alignment horizontal="center" vertical="center" wrapText="1" readingOrder="1"/>
    </xf>
    <xf numFmtId="0" fontId="15" fillId="3" borderId="24" xfId="0" applyFont="1" applyFill="1" applyBorder="1" applyAlignment="1">
      <alignment horizontal="center" vertical="center" wrapText="1" readingOrder="1"/>
    </xf>
    <xf numFmtId="0" fontId="15" fillId="3" borderId="25" xfId="0" applyFont="1" applyFill="1" applyBorder="1" applyAlignment="1">
      <alignment horizontal="right" vertical="top" wrapText="1" readingOrder="1"/>
    </xf>
    <xf numFmtId="0" fontId="15" fillId="3" borderId="26" xfId="0" applyFont="1" applyFill="1" applyBorder="1" applyAlignment="1">
      <alignment horizontal="right" vertical="top" wrapText="1" readingOrder="1"/>
    </xf>
    <xf numFmtId="0" fontId="15" fillId="3" borderId="25" xfId="0" applyFont="1" applyFill="1" applyBorder="1" applyAlignment="1">
      <alignment horizontal="center" vertical="center" wrapText="1" readingOrder="1"/>
    </xf>
    <xf numFmtId="0" fontId="15" fillId="3" borderId="27" xfId="0" applyFont="1" applyFill="1" applyBorder="1" applyAlignment="1">
      <alignment horizontal="center" vertical="center" wrapText="1" readingOrder="1"/>
    </xf>
    <xf numFmtId="0" fontId="15" fillId="0" borderId="25" xfId="0" applyFont="1" applyBorder="1" applyAlignment="1">
      <alignment horizontal="right" vertical="top" wrapText="1" readingOrder="1"/>
    </xf>
    <xf numFmtId="0" fontId="15" fillId="4" borderId="25" xfId="0" applyFont="1" applyFill="1" applyBorder="1" applyAlignment="1">
      <alignment vertical="top" wrapText="1" readingOrder="1"/>
    </xf>
    <xf numFmtId="0" fontId="15" fillId="0" borderId="26" xfId="0" applyFont="1" applyBorder="1" applyAlignment="1">
      <alignment horizontal="right" vertical="top" wrapText="1" readingOrder="1"/>
    </xf>
    <xf numFmtId="167" fontId="15" fillId="0" borderId="25" xfId="0" applyNumberFormat="1" applyFont="1" applyBorder="1" applyAlignment="1">
      <alignment vertical="center" wrapText="1" readingOrder="1"/>
    </xf>
    <xf numFmtId="167" fontId="15" fillId="0" borderId="27" xfId="0" applyNumberFormat="1" applyFont="1" applyBorder="1" applyAlignment="1">
      <alignment vertical="center" wrapText="1" readingOrder="1"/>
    </xf>
    <xf numFmtId="164" fontId="16" fillId="4" borderId="0" xfId="0" applyNumberFormat="1" applyFont="1" applyFill="1" applyAlignment="1">
      <alignment vertical="top" wrapText="1" readingOrder="1"/>
    </xf>
    <xf numFmtId="0" fontId="16" fillId="4" borderId="0" xfId="0" applyFont="1" applyFill="1" applyAlignment="1">
      <alignment vertical="top" wrapText="1" readingOrder="1"/>
    </xf>
    <xf numFmtId="0" fontId="16" fillId="4" borderId="0" xfId="0" applyFont="1" applyFill="1" applyAlignment="1">
      <alignment horizontal="center" vertical="top" wrapText="1" readingOrder="1"/>
    </xf>
    <xf numFmtId="167" fontId="16" fillId="4" borderId="0" xfId="0" applyNumberFormat="1" applyFont="1" applyFill="1" applyAlignment="1">
      <alignment vertical="top" wrapText="1" readingOrder="1"/>
    </xf>
    <xf numFmtId="169" fontId="16" fillId="4" borderId="0" xfId="0" applyNumberFormat="1" applyFont="1" applyFill="1" applyAlignment="1">
      <alignment vertical="top" wrapText="1" readingOrder="1"/>
    </xf>
    <xf numFmtId="167" fontId="16" fillId="4" borderId="28" xfId="0" applyNumberFormat="1" applyFont="1" applyFill="1" applyBorder="1" applyAlignment="1">
      <alignment vertical="top" wrapText="1" readingOrder="1"/>
    </xf>
    <xf numFmtId="167" fontId="16" fillId="4" borderId="0" xfId="0" applyNumberFormat="1" applyFont="1" applyFill="1" applyAlignment="1">
      <alignment vertical="center" wrapText="1" readingOrder="1"/>
    </xf>
    <xf numFmtId="167" fontId="16" fillId="4" borderId="29" xfId="0" applyNumberFormat="1" applyFont="1" applyFill="1" applyBorder="1" applyAlignment="1">
      <alignment vertical="center" wrapText="1" readingOrder="1"/>
    </xf>
    <xf numFmtId="0" fontId="16" fillId="4" borderId="4" xfId="0" applyFont="1" applyFill="1" applyBorder="1" applyAlignment="1">
      <alignment vertical="top" wrapText="1" readingOrder="1"/>
    </xf>
    <xf numFmtId="0" fontId="16" fillId="4" borderId="28" xfId="0" applyFont="1" applyFill="1" applyBorder="1" applyAlignment="1">
      <alignment vertical="top" wrapText="1" readingOrder="1"/>
    </xf>
    <xf numFmtId="0" fontId="17" fillId="4" borderId="11" xfId="0" applyFont="1" applyFill="1" applyBorder="1" applyAlignment="1">
      <alignment vertical="top" wrapText="1" readingOrder="1"/>
    </xf>
    <xf numFmtId="0" fontId="15" fillId="4" borderId="11" xfId="0" applyFont="1" applyFill="1" applyBorder="1" applyAlignment="1">
      <alignment vertical="top" wrapText="1" readingOrder="1"/>
    </xf>
    <xf numFmtId="0" fontId="17" fillId="4" borderId="21" xfId="0" applyFont="1" applyFill="1" applyBorder="1" applyAlignment="1">
      <alignment vertical="top" wrapText="1" readingOrder="1"/>
    </xf>
    <xf numFmtId="167" fontId="15" fillId="4" borderId="11" xfId="0" applyNumberFormat="1" applyFont="1" applyFill="1" applyBorder="1" applyAlignment="1">
      <alignment vertical="center" wrapText="1" readingOrder="1"/>
    </xf>
    <xf numFmtId="167" fontId="15" fillId="4" borderId="22" xfId="0" applyNumberFormat="1" applyFont="1" applyFill="1" applyBorder="1" applyAlignment="1">
      <alignment vertical="center" wrapText="1" readingOrder="1"/>
    </xf>
    <xf numFmtId="0" fontId="17" fillId="4" borderId="4" xfId="0" applyFont="1" applyFill="1" applyBorder="1" applyAlignment="1">
      <alignment vertical="top" wrapText="1" readingOrder="1"/>
    </xf>
    <xf numFmtId="0" fontId="18" fillId="0" borderId="0" xfId="0" applyFont="1" applyAlignment="1">
      <alignment horizontal="left" vertical="center" wrapText="1" readingOrder="1"/>
    </xf>
    <xf numFmtId="0" fontId="4" fillId="2" borderId="31" xfId="0" applyFont="1" applyFill="1" applyBorder="1" applyAlignment="1">
      <alignment horizontal="center" vertical="top" wrapText="1" readingOrder="1"/>
    </xf>
    <xf numFmtId="0" fontId="4" fillId="2" borderId="32" xfId="0" applyFont="1" applyFill="1" applyBorder="1" applyAlignment="1">
      <alignment horizontal="center" vertical="top" wrapText="1" readingOrder="1"/>
    </xf>
    <xf numFmtId="0" fontId="15" fillId="3" borderId="33" xfId="0" applyFont="1" applyFill="1" applyBorder="1" applyAlignment="1">
      <alignment horizontal="center" vertical="top" wrapText="1" readingOrder="1"/>
    </xf>
    <xf numFmtId="0" fontId="15" fillId="3" borderId="34" xfId="0" applyFont="1" applyFill="1" applyBorder="1" applyAlignment="1">
      <alignment horizontal="center" vertical="top" wrapText="1" readingOrder="1"/>
    </xf>
    <xf numFmtId="0" fontId="15" fillId="3" borderId="35" xfId="0" applyFont="1" applyFill="1" applyBorder="1" applyAlignment="1">
      <alignment horizontal="center" vertical="top" wrapText="1" readingOrder="1"/>
    </xf>
    <xf numFmtId="164" fontId="11" fillId="0" borderId="36" xfId="0" applyNumberFormat="1" applyFont="1" applyBorder="1" applyAlignment="1">
      <alignment vertical="top" wrapText="1" readingOrder="1"/>
    </xf>
    <xf numFmtId="170" fontId="11" fillId="0" borderId="0" xfId="0" applyNumberFormat="1" applyFont="1" applyAlignment="1">
      <alignment vertical="top" wrapText="1" readingOrder="1"/>
    </xf>
    <xf numFmtId="0" fontId="11" fillId="0" borderId="37" xfId="0" applyFont="1" applyBorder="1" applyAlignment="1">
      <alignment vertical="top" wrapText="1" readingOrder="1"/>
    </xf>
    <xf numFmtId="0" fontId="9" fillId="3" borderId="38" xfId="0" applyFont="1" applyFill="1" applyBorder="1" applyAlignment="1">
      <alignment vertical="top" wrapText="1" readingOrder="1"/>
    </xf>
    <xf numFmtId="0" fontId="9" fillId="3" borderId="39" xfId="0" applyFont="1" applyFill="1" applyBorder="1" applyAlignment="1">
      <alignment vertical="top" wrapText="1" readingOrder="1"/>
    </xf>
    <xf numFmtId="171" fontId="15" fillId="3" borderId="39" xfId="0" applyNumberFormat="1" applyFont="1" applyFill="1" applyBorder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15" fillId="3" borderId="30" xfId="0" applyFont="1" applyFill="1" applyBorder="1" applyAlignment="1">
      <alignment horizontal="center" vertical="top" wrapText="1" readingOrder="1"/>
    </xf>
    <xf numFmtId="0" fontId="15" fillId="3" borderId="31" xfId="0" applyFont="1" applyFill="1" applyBorder="1" applyAlignment="1">
      <alignment horizontal="center" vertical="top" wrapText="1" readingOrder="1"/>
    </xf>
    <xf numFmtId="0" fontId="15" fillId="3" borderId="32" xfId="0" applyFont="1" applyFill="1" applyBorder="1" applyAlignment="1">
      <alignment horizontal="center" vertical="top" wrapText="1" readingOrder="1"/>
    </xf>
    <xf numFmtId="171" fontId="4" fillId="2" borderId="34" xfId="0" applyNumberFormat="1" applyFont="1" applyFill="1" applyBorder="1" applyAlignment="1">
      <alignment vertical="top" wrapText="1" readingOrder="1"/>
    </xf>
    <xf numFmtId="0" fontId="18" fillId="3" borderId="34" xfId="0" applyFont="1" applyFill="1" applyBorder="1" applyAlignment="1">
      <alignment horizontal="center" vertical="top" wrapText="1" readingOrder="1"/>
    </xf>
    <xf numFmtId="0" fontId="11" fillId="0" borderId="36" xfId="0" applyFont="1" applyBorder="1" applyAlignment="1">
      <alignment horizontal="center" vertical="top" wrapText="1" readingOrder="1"/>
    </xf>
    <xf numFmtId="164" fontId="11" fillId="0" borderId="0" xfId="0" applyNumberFormat="1" applyFont="1" applyAlignment="1">
      <alignment horizontal="center" vertical="top" wrapText="1" readingOrder="1"/>
    </xf>
    <xf numFmtId="0" fontId="9" fillId="0" borderId="41" xfId="0" applyFont="1" applyBorder="1" applyAlignment="1">
      <alignment vertical="top" wrapText="1" readingOrder="1"/>
    </xf>
    <xf numFmtId="0" fontId="9" fillId="0" borderId="41" xfId="0" applyFont="1" applyBorder="1" applyAlignment="1">
      <alignment horizontal="center" vertical="top" wrapText="1" readingOrder="1"/>
    </xf>
    <xf numFmtId="0" fontId="19" fillId="0" borderId="7" xfId="0" applyFont="1" applyBorder="1" applyAlignment="1">
      <alignment horizontal="center" vertical="top" wrapText="1" readingOrder="1"/>
    </xf>
    <xf numFmtId="0" fontId="4" fillId="2" borderId="12" xfId="0" applyFont="1" applyFill="1" applyBorder="1" applyAlignment="1">
      <alignment horizontal="center" vertical="top" wrapText="1" readingOrder="1"/>
    </xf>
    <xf numFmtId="0" fontId="4" fillId="2" borderId="13" xfId="0" applyFont="1" applyFill="1" applyBorder="1" applyAlignment="1">
      <alignment horizontal="center" vertical="top" wrapText="1" readingOrder="1"/>
    </xf>
    <xf numFmtId="0" fontId="4" fillId="2" borderId="17" xfId="0" applyFont="1" applyFill="1" applyBorder="1" applyAlignment="1">
      <alignment horizontal="center" vertical="top" wrapText="1" readingOrder="1"/>
    </xf>
    <xf numFmtId="0" fontId="15" fillId="3" borderId="42" xfId="0" applyFont="1" applyFill="1" applyBorder="1" applyAlignment="1">
      <alignment horizontal="center" wrapText="1" readingOrder="1"/>
    </xf>
    <xf numFmtId="167" fontId="16" fillId="0" borderId="43" xfId="0" applyNumberFormat="1" applyFont="1" applyBorder="1" applyAlignment="1">
      <alignment vertical="top" wrapText="1" readingOrder="1"/>
    </xf>
    <xf numFmtId="167" fontId="16" fillId="0" borderId="44" xfId="0" applyNumberFormat="1" applyFont="1" applyBorder="1" applyAlignment="1">
      <alignment vertical="top" wrapText="1" readingOrder="1"/>
    </xf>
    <xf numFmtId="0" fontId="16" fillId="0" borderId="0" xfId="0" applyFont="1" applyAlignment="1">
      <alignment vertical="top" wrapText="1" readingOrder="1"/>
    </xf>
    <xf numFmtId="0" fontId="20" fillId="0" borderId="2" xfId="0" applyFont="1" applyBorder="1" applyAlignment="1">
      <alignment horizontal="center" wrapText="1" readingOrder="1"/>
    </xf>
    <xf numFmtId="0" fontId="21" fillId="0" borderId="2" xfId="0" applyFont="1" applyBorder="1" applyAlignment="1">
      <alignment vertical="top" wrapText="1" readingOrder="1"/>
    </xf>
    <xf numFmtId="0" fontId="21" fillId="0" borderId="0" xfId="0" applyFont="1" applyAlignment="1">
      <alignment vertical="top" wrapText="1" readingOrder="1"/>
    </xf>
    <xf numFmtId="0" fontId="20" fillId="0" borderId="0" xfId="0" applyFont="1" applyAlignment="1">
      <alignment horizontal="center" wrapText="1" readingOrder="1"/>
    </xf>
    <xf numFmtId="0" fontId="22" fillId="0" borderId="0" xfId="0" applyFont="1" applyAlignment="1">
      <alignment vertical="top" wrapText="1" readingOrder="1"/>
    </xf>
    <xf numFmtId="0" fontId="15" fillId="0" borderId="0" xfId="0" applyFont="1" applyAlignment="1">
      <alignment horizontal="center" vertical="top" wrapText="1" readingOrder="1"/>
    </xf>
    <xf numFmtId="0" fontId="11" fillId="0" borderId="36" xfId="0" applyFont="1" applyBorder="1" applyAlignment="1">
      <alignment vertical="top" wrapText="1" readingOrder="1"/>
    </xf>
    <xf numFmtId="167" fontId="11" fillId="0" borderId="37" xfId="0" applyNumberFormat="1" applyFont="1" applyBorder="1" applyAlignment="1">
      <alignment vertical="top" wrapText="1" readingOrder="1"/>
    </xf>
    <xf numFmtId="164" fontId="11" fillId="0" borderId="0" xfId="0" applyNumberFormat="1" applyFont="1" applyAlignment="1">
      <alignment vertical="top" wrapText="1" readingOrder="1"/>
    </xf>
    <xf numFmtId="0" fontId="9" fillId="0" borderId="45" xfId="0" applyFont="1" applyBorder="1" applyAlignment="1">
      <alignment vertical="top" wrapText="1" readingOrder="1"/>
    </xf>
    <xf numFmtId="0" fontId="9" fillId="0" borderId="45" xfId="0" applyFont="1" applyBorder="1" applyAlignment="1">
      <alignment horizontal="center" vertical="top" wrapText="1" readingOrder="1"/>
    </xf>
    <xf numFmtId="0" fontId="23" fillId="4" borderId="0" xfId="0" applyFont="1" applyFill="1" applyAlignment="1">
      <alignment horizontal="right" vertical="top" wrapText="1" readingOrder="1"/>
    </xf>
    <xf numFmtId="0" fontId="23" fillId="0" borderId="0" xfId="0" applyFont="1" applyAlignment="1">
      <alignment horizontal="right" vertical="top" wrapText="1" readingOrder="1"/>
    </xf>
    <xf numFmtId="0" fontId="19" fillId="4" borderId="0" xfId="0" applyFont="1" applyFill="1" applyAlignment="1">
      <alignment horizontal="center" vertical="top" wrapText="1" readingOrder="1"/>
    </xf>
    <xf numFmtId="0" fontId="23" fillId="4" borderId="7" xfId="0" applyFont="1" applyFill="1" applyBorder="1" applyAlignment="1">
      <alignment horizontal="right" vertical="top" wrapText="1" readingOrder="1"/>
    </xf>
    <xf numFmtId="0" fontId="19" fillId="4" borderId="4" xfId="0" applyFont="1" applyFill="1" applyBorder="1" applyAlignment="1">
      <alignment horizontal="center" vertical="top" wrapText="1" readingOrder="1"/>
    </xf>
    <xf numFmtId="0" fontId="24" fillId="4" borderId="0" xfId="0" applyFont="1" applyFill="1" applyAlignment="1">
      <alignment vertical="top" wrapText="1" readingOrder="1"/>
    </xf>
    <xf numFmtId="0" fontId="14" fillId="3" borderId="46" xfId="0" applyFont="1" applyFill="1" applyBorder="1" applyAlignment="1">
      <alignment horizontal="center" vertical="top" wrapText="1" readingOrder="1"/>
    </xf>
    <xf numFmtId="0" fontId="24" fillId="0" borderId="0" xfId="0" applyFont="1" applyAlignment="1">
      <alignment vertical="top" wrapText="1" readingOrder="1"/>
    </xf>
    <xf numFmtId="167" fontId="14" fillId="3" borderId="47" xfId="0" applyNumberFormat="1" applyFont="1" applyFill="1" applyBorder="1" applyAlignment="1">
      <alignment vertical="top" wrapText="1" readingOrder="1"/>
    </xf>
    <xf numFmtId="167" fontId="25" fillId="3" borderId="48" xfId="0" applyNumberFormat="1" applyFont="1" applyFill="1" applyBorder="1" applyAlignment="1">
      <alignment vertical="top" wrapText="1" readingOrder="1"/>
    </xf>
    <xf numFmtId="167" fontId="25" fillId="3" borderId="49" xfId="0" applyNumberFormat="1" applyFont="1" applyFill="1" applyBorder="1" applyAlignment="1">
      <alignment vertical="top" wrapText="1" readingOrder="1"/>
    </xf>
    <xf numFmtId="171" fontId="25" fillId="3" borderId="27" xfId="0" applyNumberFormat="1" applyFont="1" applyFill="1" applyBorder="1" applyAlignment="1">
      <alignment vertical="top" wrapText="1" readingOrder="1"/>
    </xf>
    <xf numFmtId="171" fontId="25" fillId="3" borderId="50" xfId="0" applyNumberFormat="1" applyFont="1" applyFill="1" applyBorder="1" applyAlignment="1">
      <alignment vertical="top" wrapText="1" readingOrder="1"/>
    </xf>
    <xf numFmtId="0" fontId="24" fillId="4" borderId="4" xfId="0" applyFont="1" applyFill="1" applyBorder="1" applyAlignment="1">
      <alignment vertical="top" wrapText="1" readingOrder="1"/>
    </xf>
    <xf numFmtId="0" fontId="15" fillId="3" borderId="51" xfId="0" applyFont="1" applyFill="1" applyBorder="1" applyAlignment="1">
      <alignment horizontal="center" vertical="top" wrapText="1" readingOrder="1"/>
    </xf>
    <xf numFmtId="0" fontId="15" fillId="3" borderId="52" xfId="0" applyFont="1" applyFill="1" applyBorder="1" applyAlignment="1">
      <alignment horizontal="center" vertical="top" wrapText="1" readingOrder="1"/>
    </xf>
    <xf numFmtId="0" fontId="15" fillId="4" borderId="4" xfId="0" applyFont="1" applyFill="1" applyBorder="1" applyAlignment="1">
      <alignment horizontal="center" vertical="top" wrapText="1" readingOrder="1"/>
    </xf>
    <xf numFmtId="165" fontId="11" fillId="0" borderId="0" xfId="0" applyNumberFormat="1" applyFont="1" applyAlignment="1">
      <alignment vertical="top" wrapText="1" readingOrder="1"/>
    </xf>
    <xf numFmtId="0" fontId="24" fillId="4" borderId="2" xfId="0" applyFont="1" applyFill="1" applyBorder="1" applyAlignment="1">
      <alignment vertical="top" wrapText="1" readingOrder="1"/>
    </xf>
    <xf numFmtId="0" fontId="2" fillId="0" borderId="0" xfId="0" pivotButton="1" applyFont="1"/>
    <xf numFmtId="0" fontId="2" fillId="0" borderId="0" xfId="0" applyFont="1" applyAlignment="1">
      <alignment horizontal="left"/>
    </xf>
    <xf numFmtId="43" fontId="2" fillId="0" borderId="0" xfId="1" applyFont="1"/>
    <xf numFmtId="0" fontId="27" fillId="0" borderId="0" xfId="0" applyFont="1"/>
    <xf numFmtId="0" fontId="1" fillId="0" borderId="0" xfId="3"/>
    <xf numFmtId="0" fontId="28" fillId="5" borderId="53" xfId="3" applyFont="1" applyFill="1" applyBorder="1" applyAlignment="1">
      <alignment horizontal="center" vertical="center" wrapText="1"/>
    </xf>
    <xf numFmtId="43" fontId="28" fillId="5" borderId="53" xfId="4" applyFont="1" applyFill="1" applyBorder="1" applyAlignment="1">
      <alignment horizontal="center" vertical="center" wrapText="1"/>
    </xf>
    <xf numFmtId="0" fontId="28" fillId="6" borderId="53" xfId="3" applyFont="1" applyFill="1" applyBorder="1" applyAlignment="1">
      <alignment horizontal="center" vertical="center" wrapText="1"/>
    </xf>
    <xf numFmtId="172" fontId="28" fillId="6" borderId="53" xfId="3" applyNumberFormat="1" applyFont="1" applyFill="1" applyBorder="1" applyAlignment="1">
      <alignment horizontal="center" vertical="center" wrapText="1"/>
    </xf>
    <xf numFmtId="0" fontId="28" fillId="5" borderId="54" xfId="3" applyFont="1" applyFill="1" applyBorder="1" applyAlignment="1">
      <alignment horizontal="center" vertical="center" wrapText="1"/>
    </xf>
    <xf numFmtId="0" fontId="28" fillId="6" borderId="54" xfId="3" applyFont="1" applyFill="1" applyBorder="1" applyAlignment="1">
      <alignment horizontal="center" vertical="center" wrapText="1"/>
    </xf>
    <xf numFmtId="0" fontId="29" fillId="5" borderId="53" xfId="3" applyFont="1" applyFill="1" applyBorder="1" applyAlignment="1">
      <alignment horizontal="center" vertical="center" wrapText="1"/>
    </xf>
    <xf numFmtId="0" fontId="28" fillId="7" borderId="55" xfId="3" applyFont="1" applyFill="1" applyBorder="1" applyAlignment="1">
      <alignment horizontal="center" vertical="center" wrapText="1"/>
    </xf>
    <xf numFmtId="0" fontId="28" fillId="5" borderId="55" xfId="3" applyFont="1" applyFill="1" applyBorder="1" applyAlignment="1">
      <alignment horizontal="center" vertical="center" wrapText="1"/>
    </xf>
    <xf numFmtId="0" fontId="30" fillId="7" borderId="55" xfId="3" applyFont="1" applyFill="1" applyBorder="1" applyAlignment="1">
      <alignment horizontal="center" vertical="center" wrapText="1"/>
    </xf>
    <xf numFmtId="0" fontId="28" fillId="7" borderId="54" xfId="3" applyFont="1" applyFill="1" applyBorder="1" applyAlignment="1">
      <alignment horizontal="center" vertical="center" wrapText="1"/>
    </xf>
    <xf numFmtId="0" fontId="28" fillId="7" borderId="0" xfId="3" applyFont="1" applyFill="1" applyAlignment="1">
      <alignment horizontal="center" vertical="center" wrapText="1"/>
    </xf>
    <xf numFmtId="0" fontId="28" fillId="7" borderId="53" xfId="3" applyFont="1" applyFill="1" applyBorder="1" applyAlignment="1">
      <alignment horizontal="center" vertical="center" wrapText="1"/>
    </xf>
    <xf numFmtId="0" fontId="31" fillId="0" borderId="0" xfId="3" applyFont="1" applyAlignment="1">
      <alignment horizontal="left" vertical="top"/>
    </xf>
    <xf numFmtId="0" fontId="32" fillId="0" borderId="0" xfId="3" applyFont="1" applyAlignment="1">
      <alignment horizontal="left" vertical="top"/>
    </xf>
    <xf numFmtId="173" fontId="33" fillId="0" borderId="0" xfId="3" applyNumberFormat="1" applyFont="1" applyAlignment="1">
      <alignment horizontal="center" vertical="top"/>
    </xf>
    <xf numFmtId="0" fontId="34" fillId="0" borderId="0" xfId="3" applyFont="1" applyAlignment="1">
      <alignment horizontal="center" vertical="top"/>
    </xf>
    <xf numFmtId="0" fontId="31" fillId="0" borderId="0" xfId="3" applyFont="1" applyAlignment="1">
      <alignment horizontal="center" vertical="top"/>
    </xf>
    <xf numFmtId="2" fontId="35" fillId="0" borderId="0" xfId="3" applyNumberFormat="1" applyFont="1" applyAlignment="1">
      <alignment horizontal="center" vertical="top"/>
    </xf>
    <xf numFmtId="174" fontId="34" fillId="0" borderId="0" xfId="5" applyNumberFormat="1" applyFont="1" applyFill="1" applyBorder="1" applyAlignment="1">
      <alignment horizontal="left" vertical="top"/>
    </xf>
    <xf numFmtId="43" fontId="34" fillId="0" borderId="0" xfId="5" applyFont="1" applyFill="1" applyBorder="1" applyAlignment="1">
      <alignment horizontal="left" vertical="top"/>
    </xf>
    <xf numFmtId="0" fontId="35" fillId="0" borderId="0" xfId="3" applyFont="1" applyAlignment="1">
      <alignment horizontal="center" vertical="top"/>
    </xf>
    <xf numFmtId="10" fontId="35" fillId="0" borderId="0" xfId="3" applyNumberFormat="1" applyFont="1" applyAlignment="1">
      <alignment horizontal="center" vertical="top"/>
    </xf>
    <xf numFmtId="175" fontId="36" fillId="0" borderId="0" xfId="3" applyNumberFormat="1" applyFont="1" applyAlignment="1">
      <alignment horizontal="center" vertical="top"/>
    </xf>
    <xf numFmtId="43" fontId="35" fillId="0" borderId="0" xfId="5" applyFont="1" applyFill="1" applyBorder="1" applyAlignment="1">
      <alignment horizontal="left" vertical="top"/>
    </xf>
    <xf numFmtId="14" fontId="35" fillId="0" borderId="0" xfId="3" applyNumberFormat="1" applyFont="1" applyAlignment="1">
      <alignment horizontal="center" vertical="top"/>
    </xf>
    <xf numFmtId="2" fontId="35" fillId="0" borderId="0" xfId="5" applyNumberFormat="1" applyFont="1" applyFill="1" applyBorder="1" applyAlignment="1">
      <alignment horizontal="center" vertical="top"/>
    </xf>
    <xf numFmtId="2" fontId="34" fillId="0" borderId="0" xfId="5" applyNumberFormat="1" applyFont="1" applyFill="1" applyBorder="1" applyAlignment="1">
      <alignment horizontal="center" vertical="top"/>
    </xf>
    <xf numFmtId="176" fontId="34" fillId="0" borderId="0" xfId="3" applyNumberFormat="1" applyFont="1"/>
    <xf numFmtId="2" fontId="34" fillId="0" borderId="0" xfId="3" applyNumberFormat="1" applyFont="1" applyAlignment="1">
      <alignment horizontal="center"/>
    </xf>
    <xf numFmtId="177" fontId="34" fillId="0" borderId="0" xfId="5" applyNumberFormat="1" applyFont="1" applyFill="1" applyBorder="1" applyAlignment="1">
      <alignment horizontal="right"/>
    </xf>
    <xf numFmtId="177" fontId="35" fillId="0" borderId="0" xfId="5" applyNumberFormat="1" applyFont="1" applyFill="1" applyBorder="1" applyAlignment="1">
      <alignment horizontal="right"/>
    </xf>
    <xf numFmtId="2" fontId="35" fillId="0" borderId="0" xfId="3" applyNumberFormat="1" applyFont="1" applyAlignment="1">
      <alignment horizontal="center"/>
    </xf>
    <xf numFmtId="178" fontId="35" fillId="0" borderId="0" xfId="3" applyNumberFormat="1" applyFont="1" applyAlignment="1">
      <alignment horizontal="right" vertical="top"/>
    </xf>
    <xf numFmtId="177" fontId="35" fillId="0" borderId="0" xfId="5" applyNumberFormat="1" applyFont="1" applyFill="1" applyBorder="1" applyAlignment="1">
      <alignment horizontal="center"/>
    </xf>
    <xf numFmtId="0" fontId="34" fillId="0" borderId="0" xfId="3" applyFont="1" applyAlignment="1">
      <alignment horizontal="left" vertical="top"/>
    </xf>
    <xf numFmtId="178" fontId="37" fillId="0" borderId="0" xfId="3" applyNumberFormat="1" applyFont="1" applyAlignment="1">
      <alignment horizontal="right" vertical="top"/>
    </xf>
    <xf numFmtId="3" fontId="38" fillId="0" borderId="0" xfId="3" applyNumberFormat="1" applyFont="1" applyAlignment="1">
      <alignment horizontal="center"/>
    </xf>
    <xf numFmtId="0" fontId="33" fillId="0" borderId="0" xfId="3" applyFont="1" applyAlignment="1">
      <alignment horizontal="center" vertical="top"/>
    </xf>
    <xf numFmtId="178" fontId="37" fillId="0" borderId="0" xfId="3" applyNumberFormat="1" applyFont="1"/>
    <xf numFmtId="178" fontId="37" fillId="0" borderId="0" xfId="3" applyNumberFormat="1" applyFont="1" applyAlignment="1">
      <alignment horizontal="center"/>
    </xf>
    <xf numFmtId="43" fontId="9" fillId="0" borderId="0" xfId="4" applyFont="1" applyFill="1" applyBorder="1"/>
    <xf numFmtId="178" fontId="39" fillId="0" borderId="0" xfId="3" applyNumberFormat="1" applyFont="1" applyAlignment="1">
      <alignment horizontal="right" vertical="top"/>
    </xf>
    <xf numFmtId="0" fontId="37" fillId="0" borderId="0" xfId="3" applyFont="1" applyAlignment="1">
      <alignment horizontal="center" vertical="top"/>
    </xf>
    <xf numFmtId="43" fontId="40" fillId="0" borderId="0" xfId="5" applyFont="1" applyFill="1" applyBorder="1" applyAlignment="1">
      <alignment horizontal="left" vertical="top"/>
    </xf>
    <xf numFmtId="3" fontId="38" fillId="8" borderId="0" xfId="3" applyNumberFormat="1" applyFont="1" applyFill="1" applyAlignment="1">
      <alignment horizontal="center"/>
    </xf>
    <xf numFmtId="2" fontId="35" fillId="0" borderId="54" xfId="3" applyNumberFormat="1" applyFont="1" applyBorder="1" applyAlignment="1">
      <alignment horizontal="center" vertical="top"/>
    </xf>
    <xf numFmtId="178" fontId="35" fillId="0" borderId="53" xfId="3" applyNumberFormat="1" applyFont="1" applyBorder="1" applyAlignment="1">
      <alignment horizontal="right" vertical="top"/>
    </xf>
    <xf numFmtId="14" fontId="34" fillId="0" borderId="0" xfId="3" applyNumberFormat="1" applyFont="1" applyAlignment="1">
      <alignment horizontal="center" vertical="top"/>
    </xf>
    <xf numFmtId="173" fontId="39" fillId="0" borderId="0" xfId="3" applyNumberFormat="1" applyFont="1" applyAlignment="1">
      <alignment horizontal="left" vertical="top"/>
    </xf>
    <xf numFmtId="43" fontId="34" fillId="0" borderId="53" xfId="5" applyFont="1" applyFill="1" applyBorder="1" applyAlignment="1">
      <alignment horizontal="left" vertical="top"/>
    </xf>
    <xf numFmtId="2" fontId="34" fillId="0" borderId="53" xfId="5" applyNumberFormat="1" applyFont="1" applyFill="1" applyBorder="1" applyAlignment="1">
      <alignment horizontal="center" vertical="top"/>
    </xf>
    <xf numFmtId="176" fontId="34" fillId="0" borderId="54" xfId="3" applyNumberFormat="1" applyFont="1" applyBorder="1"/>
    <xf numFmtId="0" fontId="34" fillId="0" borderId="53" xfId="3" applyFont="1" applyBorder="1" applyAlignment="1">
      <alignment horizontal="left" vertical="top"/>
    </xf>
    <xf numFmtId="177" fontId="35" fillId="0" borderId="54" xfId="5" applyNumberFormat="1" applyFont="1" applyFill="1" applyBorder="1" applyAlignment="1">
      <alignment horizontal="right"/>
    </xf>
    <xf numFmtId="179" fontId="37" fillId="0" borderId="0" xfId="3" applyNumberFormat="1" applyFont="1" applyAlignment="1">
      <alignment horizontal="right" vertical="top"/>
    </xf>
    <xf numFmtId="2" fontId="34" fillId="0" borderId="54" xfId="3" applyNumberFormat="1" applyFont="1" applyBorder="1" applyAlignment="1">
      <alignment horizontal="center"/>
    </xf>
    <xf numFmtId="177" fontId="34" fillId="0" borderId="54" xfId="5" applyNumberFormat="1" applyFont="1" applyFill="1" applyBorder="1" applyAlignment="1">
      <alignment horizontal="right"/>
    </xf>
    <xf numFmtId="0" fontId="41" fillId="0" borderId="0" xfId="3" applyFont="1"/>
    <xf numFmtId="178" fontId="34" fillId="0" borderId="53" xfId="3" applyNumberFormat="1" applyFont="1" applyBorder="1" applyAlignment="1">
      <alignment horizontal="right" vertical="top"/>
    </xf>
    <xf numFmtId="3" fontId="39" fillId="0" borderId="0" xfId="3" applyNumberFormat="1" applyFont="1" applyAlignment="1">
      <alignment horizontal="center"/>
    </xf>
    <xf numFmtId="2" fontId="34" fillId="0" borderId="54" xfId="3" applyNumberFormat="1" applyFont="1" applyBorder="1" applyAlignment="1">
      <alignment horizontal="center" vertical="top"/>
    </xf>
    <xf numFmtId="173" fontId="37" fillId="0" borderId="0" xfId="3" applyNumberFormat="1" applyFont="1" applyAlignment="1">
      <alignment horizontal="center" vertical="top"/>
    </xf>
    <xf numFmtId="14" fontId="36" fillId="0" borderId="0" xfId="3" applyNumberFormat="1" applyFont="1" applyAlignment="1">
      <alignment horizontal="center" vertical="top"/>
    </xf>
    <xf numFmtId="177" fontId="34" fillId="0" borderId="0" xfId="5" applyNumberFormat="1" applyFont="1" applyFill="1" applyBorder="1" applyAlignment="1">
      <alignment horizontal="center"/>
    </xf>
    <xf numFmtId="14" fontId="1" fillId="0" borderId="0" xfId="3" applyNumberFormat="1"/>
    <xf numFmtId="43" fontId="34" fillId="0" borderId="0" xfId="5" applyFont="1" applyFill="1" applyBorder="1" applyAlignment="1">
      <alignment horizontal="right"/>
    </xf>
    <xf numFmtId="0" fontId="1" fillId="9" borderId="0" xfId="3" applyFill="1"/>
    <xf numFmtId="43" fontId="2" fillId="0" borderId="0" xfId="0" applyNumberFormat="1" applyFont="1"/>
    <xf numFmtId="9" fontId="2" fillId="0" borderId="0" xfId="2" applyFont="1"/>
    <xf numFmtId="10" fontId="2" fillId="0" borderId="0" xfId="2" applyNumberFormat="1" applyFont="1"/>
    <xf numFmtId="14" fontId="2" fillId="0" borderId="0" xfId="0" applyNumberFormat="1" applyFont="1"/>
    <xf numFmtId="0" fontId="11" fillId="8" borderId="0" xfId="0" applyFont="1" applyFill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4" fillId="2" borderId="21" xfId="0" applyFont="1" applyFill="1" applyBorder="1" applyAlignment="1">
      <alignment horizontal="center" vertical="top" wrapText="1" readingOrder="1"/>
    </xf>
    <xf numFmtId="0" fontId="2" fillId="0" borderId="11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22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4" fillId="2" borderId="30" xfId="0" applyFont="1" applyFill="1" applyBorder="1" applyAlignment="1">
      <alignment horizontal="left" vertical="top" wrapText="1" readingOrder="1"/>
    </xf>
    <xf numFmtId="0" fontId="2" fillId="0" borderId="31" xfId="0" applyFont="1" applyBorder="1" applyAlignment="1">
      <alignment vertical="top" wrapText="1"/>
    </xf>
    <xf numFmtId="0" fontId="11" fillId="0" borderId="37" xfId="0" applyFont="1" applyBorder="1" applyAlignment="1">
      <alignment vertical="top" wrapText="1" readingOrder="1"/>
    </xf>
    <xf numFmtId="0" fontId="2" fillId="0" borderId="37" xfId="0" applyFont="1" applyBorder="1" applyAlignment="1">
      <alignment vertical="top" wrapText="1"/>
    </xf>
    <xf numFmtId="0" fontId="9" fillId="3" borderId="40" xfId="0" applyFont="1" applyFill="1" applyBorder="1" applyAlignment="1">
      <alignment vertical="top" wrapText="1" readingOrder="1"/>
    </xf>
    <xf numFmtId="0" fontId="2" fillId="0" borderId="40" xfId="0" applyFont="1" applyBorder="1" applyAlignment="1">
      <alignment vertical="top" wrapText="1"/>
    </xf>
    <xf numFmtId="0" fontId="4" fillId="2" borderId="30" xfId="0" applyFont="1" applyFill="1" applyBorder="1" applyAlignment="1">
      <alignment horizontal="left" vertical="center" wrapText="1" readingOrder="1"/>
    </xf>
    <xf numFmtId="0" fontId="4" fillId="2" borderId="32" xfId="0" applyFont="1" applyFill="1" applyBorder="1" applyAlignment="1">
      <alignment horizontal="center" vertical="top" wrapText="1" readingOrder="1"/>
    </xf>
    <xf numFmtId="0" fontId="2" fillId="0" borderId="32" xfId="0" applyFont="1" applyBorder="1" applyAlignment="1">
      <alignment vertical="top" wrapText="1"/>
    </xf>
    <xf numFmtId="0" fontId="15" fillId="3" borderId="35" xfId="0" applyFont="1" applyFill="1" applyBorder="1" applyAlignment="1">
      <alignment horizontal="center" vertical="top" wrapText="1" readingOrder="1"/>
    </xf>
    <xf numFmtId="0" fontId="2" fillId="0" borderId="35" xfId="0" applyFont="1" applyBorder="1" applyAlignment="1">
      <alignment vertical="top" wrapText="1"/>
    </xf>
    <xf numFmtId="0" fontId="7" fillId="0" borderId="0" xfId="0" applyFont="1" applyAlignment="1">
      <alignment vertical="center" wrapText="1" readingOrder="1"/>
    </xf>
    <xf numFmtId="0" fontId="4" fillId="0" borderId="7" xfId="0" applyFont="1" applyBorder="1" applyAlignment="1">
      <alignment horizontal="center" vertical="top" wrapText="1" readingOrder="1"/>
    </xf>
    <xf numFmtId="0" fontId="4" fillId="2" borderId="1" xfId="0" applyFont="1" applyFill="1" applyBorder="1" applyAlignment="1">
      <alignment horizontal="center" vertical="top" wrapText="1" readingOrder="1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/>
  </cellXfs>
  <cellStyles count="6">
    <cellStyle name="Comma" xfId="1" builtinId="3"/>
    <cellStyle name="Comma 13" xfId="4" xr:uid="{0CB34CBA-4D42-46B0-99FD-DC85535C9DA0}"/>
    <cellStyle name="Comma 2" xfId="5" xr:uid="{1174C6B8-4B15-4BD0-98C4-788170483E35}"/>
    <cellStyle name="Normal" xfId="0" builtinId="0"/>
    <cellStyle name="Normal 2" xfId="3" xr:uid="{7D864780-2A1E-4C8C-80A5-64CF862532AB}"/>
    <cellStyle name="Per 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5288"/>
      <rgbColor rgb="0005233D"/>
      <rgbColor rgb="00F2F2F2"/>
      <rgbColor rgb="00D3D3D3"/>
      <rgbColor rgb="000563C1"/>
      <rgbColor rgb="00D1D3D4"/>
      <rgbColor rgb="00666666"/>
      <rgbColor rgb="003333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8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1182370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126276</xdr:colOff>
      <xdr:row>0</xdr:row>
      <xdr:rowOff>160553</xdr:rowOff>
    </xdr:from>
    <xdr:to>
      <xdr:col>1</xdr:col>
      <xdr:colOff>518274</xdr:colOff>
      <xdr:row>4</xdr:row>
      <xdr:rowOff>177266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253022</xdr:colOff>
      <xdr:row>0</xdr:row>
      <xdr:rowOff>127101</xdr:rowOff>
    </xdr:from>
    <xdr:to>
      <xdr:col>1</xdr:col>
      <xdr:colOff>440435</xdr:colOff>
      <xdr:row>4</xdr:row>
      <xdr:rowOff>177266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254126</xdr:colOff>
      <xdr:row>1</xdr:row>
      <xdr:rowOff>0</xdr:rowOff>
    </xdr:from>
    <xdr:to>
      <xdr:col>1</xdr:col>
      <xdr:colOff>650938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62407</xdr:colOff>
      <xdr:row>0</xdr:row>
      <xdr:rowOff>63550</xdr:rowOff>
    </xdr:from>
    <xdr:to>
      <xdr:col>1</xdr:col>
      <xdr:colOff>579539</xdr:colOff>
      <xdr:row>3</xdr:row>
      <xdr:rowOff>164363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PNNT%20JV\1%20-%20BNP%20Credit%20Facility\Borrowing%20Base%20Reporting\2025\7.%20April\PSLF_Borrowing%20Base%2004.30.2025.xlsx" TargetMode="External"/><Relationship Id="rId2" Type="http://schemas.microsoft.com/office/2019/04/relationships/externalLinkLongPath" Target="PSLF_Borrowing%20Base%2004.30.2025.xlsx?C8D36B77" TargetMode="External"/><Relationship Id="rId1" Type="http://schemas.openxmlformats.org/officeDocument/2006/relationships/externalLinkPath" Target="file:///\\C8D36B77\PSLF_Borrowing%20Base%2004.30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PNNT%20JV\1%20-%20BNP%20Credit%20Facility\Borrowing%20Base%20Reporting\2025\6.%20March\Copy%20of%20PennantPark%20Investment%20Funding%20I%20LLC_Cash%20File_03.31.2025_033125200320.xlsx" TargetMode="External"/><Relationship Id="rId1" Type="http://schemas.openxmlformats.org/officeDocument/2006/relationships/externalLinkPath" Target="/PNNT%20JV/1%20-%20BNP%20Credit%20Facility/Borrowing%20Base%20Reporting/2025/6.%20March/Copy%20of%20PennantPark%20Investment%20Funding%20I%20LLC_Cash%20File_03.31.2025_03312520032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PNNT%20JV\1%20-%20BNP%20Credit%20Facility\Borrowing%20Base%20Reporting\2025\7.%20April\Super%20Master%20Comps%20vApril.xlsx" TargetMode="External"/><Relationship Id="rId2" Type="http://schemas.microsoft.com/office/2019/04/relationships/externalLinkLongPath" Target="Super%20Master%20Comps%20vApril.xlsx?C8D36B77" TargetMode="External"/><Relationship Id="rId1" Type="http://schemas.openxmlformats.org/officeDocument/2006/relationships/externalLinkPath" Target="file:///\\C8D36B77\Super%20Master%20Comps%20vAp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resinput"/>
      <sheetName val="Summary "/>
      <sheetName val="Calcs"/>
      <sheetName val="Loan List "/>
      <sheetName val="Diversity Score"/>
      <sheetName val="Loan Tape Consolidated"/>
      <sheetName val="Concentration Limitations"/>
      <sheetName val="Facility Summary"/>
      <sheetName val="VariableSheet_Pol"/>
      <sheetName val="VariableSheet"/>
      <sheetName val="Core Tax Lot Appraisal_SFERS"/>
      <sheetName val="Core Tax Lot Appraisal_lmahakal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 (2)"/>
      <sheetName val="Summary"/>
      <sheetName val="Transactions"/>
      <sheetName val="Outstanding Payments"/>
      <sheetName val="Sheet2"/>
      <sheetName val="Sheet4"/>
      <sheetName val="Holdings"/>
      <sheetName val="Pending Trades"/>
    </sheetNames>
    <sheetDataSet>
      <sheetData sheetId="0">
        <row r="1">
          <cell r="G1" t="str">
            <v>Loan List</v>
          </cell>
          <cell r="H1" t="str">
            <v>WA</v>
          </cell>
        </row>
        <row r="2">
          <cell r="G2" t="str">
            <v>A1 Garage Merger Sub, LLC</v>
          </cell>
          <cell r="H2" t="str">
            <v>TMII Enterprises LLC</v>
          </cell>
        </row>
        <row r="3">
          <cell r="G3" t="str">
            <v>AFC - Dell Holding Corp.</v>
          </cell>
          <cell r="H3" t="str">
            <v>AFC-Dell Holding Corp</v>
          </cell>
        </row>
        <row r="4">
          <cell r="G4" t="str">
            <v>Alpine Acquisition Corp II</v>
          </cell>
          <cell r="H4" t="str">
            <v>Alpine Acquisition Corp II</v>
          </cell>
        </row>
        <row r="5">
          <cell r="G5" t="str">
            <v>Archer Lewis</v>
          </cell>
          <cell r="H5" t="str">
            <v>Archer Lewis LLC</v>
          </cell>
        </row>
        <row r="6">
          <cell r="G6" t="str">
            <v>Argano, LLC</v>
          </cell>
          <cell r="H6" t="str">
            <v>Argano LLC</v>
          </cell>
        </row>
        <row r="7">
          <cell r="G7" t="str">
            <v>BBB Industries</v>
          </cell>
          <cell r="H7" t="str">
            <v>Burgess Point Purchaser Corporation</v>
          </cell>
        </row>
        <row r="8">
          <cell r="G8" t="str">
            <v>Beacon Behavioral Support  Services, LLC</v>
          </cell>
          <cell r="H8" t="str">
            <v>Beacon Behavioral Support Services LLC</v>
          </cell>
        </row>
        <row r="9">
          <cell r="G9" t="str">
            <v>BlackHawk Industrial</v>
          </cell>
          <cell r="H9" t="str">
            <v>BlackHawk Industrial Distribution Inc</v>
          </cell>
        </row>
        <row r="10">
          <cell r="G10" t="str">
            <v xml:space="preserve">BlueHalo Financing Holdings, LLC </v>
          </cell>
          <cell r="H10" t="str">
            <v>BlueHalo Global Holdings LLC</v>
          </cell>
        </row>
        <row r="11">
          <cell r="G11" t="str">
            <v>C5MI Acquisition, LLC</v>
          </cell>
          <cell r="H11" t="str">
            <v>C5MI Acquisition LLC</v>
          </cell>
        </row>
        <row r="12">
          <cell r="G12" t="str">
            <v>CF512, Inc.</v>
          </cell>
          <cell r="H12" t="str">
            <v>CF512 Inc</v>
          </cell>
        </row>
        <row r="13">
          <cell r="G13" t="str">
            <v>Carnegie Dartlet, LLC</v>
          </cell>
          <cell r="H13" t="str">
            <v>Carnegie Dartlet LLC</v>
          </cell>
        </row>
        <row r="14">
          <cell r="G14" t="str">
            <v>Carisk Buyer, Inc.</v>
          </cell>
          <cell r="H14" t="str">
            <v>Carisk Buyer Inc</v>
          </cell>
        </row>
        <row r="15">
          <cell r="G15" t="str">
            <v>Cartessa</v>
          </cell>
          <cell r="H15" t="str">
            <v>Cartessa Aesthetics LLC</v>
          </cell>
        </row>
        <row r="16">
          <cell r="G16" t="str">
            <v>Case Works</v>
          </cell>
          <cell r="H16" t="str">
            <v>Case Works LLC</v>
          </cell>
        </row>
        <row r="17">
          <cell r="G17" t="str">
            <v>Centauri</v>
          </cell>
          <cell r="H17" t="str">
            <v>Lightspeed Buyer Inc</v>
          </cell>
        </row>
        <row r="18">
          <cell r="G18" t="str">
            <v>Comprehensive Rehab Consultants</v>
          </cell>
          <cell r="H18" t="str">
            <v>Medina Health LLC</v>
          </cell>
        </row>
        <row r="19">
          <cell r="G19" t="str">
            <v>Crane 1 Services, Inc.</v>
          </cell>
          <cell r="H19" t="str">
            <v>Crane 1 Acquisition Holdings Inc</v>
          </cell>
        </row>
        <row r="20">
          <cell r="G20" t="str">
            <v xml:space="preserve">Dr. Squatch, LLC </v>
          </cell>
          <cell r="H20" t="str">
            <v>Dr. Squatch LLC</v>
          </cell>
        </row>
        <row r="21">
          <cell r="G21" t="str">
            <v>EDS Buyers, LLC</v>
          </cell>
          <cell r="H21" t="str">
            <v>EDS Buyer LLC</v>
          </cell>
        </row>
        <row r="22">
          <cell r="G22" t="str">
            <v>Eval Home Health Solutions Intermediate, LLC</v>
          </cell>
          <cell r="H22" t="str">
            <v>Eval Home Health Solutions Intermediate LLC</v>
          </cell>
        </row>
        <row r="23">
          <cell r="G23" t="str">
            <v>GGG Midco, LLC</v>
          </cell>
          <cell r="H23" t="str">
            <v>GGG Midco LLC</v>
          </cell>
        </row>
        <row r="24">
          <cell r="G24" t="str">
            <v>HEC Purchaser Corp.</v>
          </cell>
          <cell r="H24" t="str">
            <v>HEC Purchaser Corp.</v>
          </cell>
        </row>
        <row r="25">
          <cell r="G25" t="str">
            <v>Harris &amp; Co. LLC</v>
          </cell>
          <cell r="H25" t="str">
            <v>Harris &amp; Co. LLC</v>
          </cell>
        </row>
        <row r="26">
          <cell r="G26" t="str">
            <v>HoldcoSands</v>
          </cell>
          <cell r="H26" t="str">
            <v>Smartronix</v>
          </cell>
        </row>
        <row r="27">
          <cell r="G27" t="str">
            <v>HW Holdco, LLC</v>
          </cell>
          <cell r="H27" t="str">
            <v>HW Holdco LLC</v>
          </cell>
        </row>
        <row r="28">
          <cell r="G28" t="str">
            <v>Infinity Home Services Holdco, Inc.</v>
          </cell>
          <cell r="H28" t="str">
            <v>Infinity Home Services Holdco Inc</v>
          </cell>
        </row>
        <row r="29">
          <cell r="G29" t="str">
            <v>Infolinks</v>
          </cell>
          <cell r="H29" t="str">
            <v>Infolinks Media Buyco LLC</v>
          </cell>
        </row>
        <row r="30">
          <cell r="G30" t="str">
            <v xml:space="preserve">Inventus Power Inc.  </v>
          </cell>
          <cell r="H30" t="str">
            <v>Inventus Power Inc</v>
          </cell>
        </row>
        <row r="31">
          <cell r="G31" t="str">
            <v>Lash OpCo, LLC</v>
          </cell>
          <cell r="H31" t="str">
            <v>Lash OpCo LLC</v>
          </cell>
        </row>
        <row r="32">
          <cell r="G32" t="str">
            <v>MDI Buyer Inc.</v>
          </cell>
          <cell r="H32" t="str">
            <v>MDI Buyer Inc</v>
          </cell>
        </row>
        <row r="33">
          <cell r="G33" t="str">
            <v>Megawatt Acquisitionco, Inc.</v>
          </cell>
          <cell r="H33" t="str">
            <v>Megawatt Acquisitionco Inc</v>
          </cell>
        </row>
        <row r="34">
          <cell r="G34" t="str">
            <v>Michael Baker International, LLC</v>
          </cell>
          <cell r="H34" t="str">
            <v>Michael Baker International LLC</v>
          </cell>
        </row>
        <row r="35">
          <cell r="G35" t="str">
            <v>Municipal Emergency Services, Inc.</v>
          </cell>
          <cell r="H35" t="str">
            <v>Municipal Emergency Services Inc</v>
          </cell>
        </row>
        <row r="36">
          <cell r="G36" t="str">
            <v>MOREgroup Holdings, LLC</v>
          </cell>
          <cell r="H36" t="str">
            <v>MOREgroup Holdings Inc</v>
          </cell>
        </row>
        <row r="37">
          <cell r="G37" t="str">
            <v>NFS - CFP Holdings, LLC</v>
          </cell>
          <cell r="H37" t="str">
            <v>NFS - CFP Holdings LLC</v>
          </cell>
        </row>
        <row r="38">
          <cell r="G38" t="str">
            <v>NORA ACQUISITION, LLC</v>
          </cell>
          <cell r="H38" t="str">
            <v>Nora Acquisition LLC</v>
          </cell>
        </row>
        <row r="39">
          <cell r="G39" t="str">
            <v>Omnia Exterior Solutions, LLC</v>
          </cell>
          <cell r="H39" t="str">
            <v>Omnia Exterior Solutions LLC</v>
          </cell>
        </row>
        <row r="40">
          <cell r="G40" t="str">
            <v>PAR Excellence</v>
          </cell>
          <cell r="H40" t="str">
            <v>Par Excellence Holdings Inc.</v>
          </cell>
        </row>
        <row r="41">
          <cell r="G41" t="str">
            <v>PL Acquisitionco, LLC</v>
          </cell>
          <cell r="H41" t="str">
            <v>Pink Lily Holdings LLC</v>
          </cell>
        </row>
        <row r="42">
          <cell r="G42" t="str">
            <v>Quantic</v>
          </cell>
        </row>
        <row r="43">
          <cell r="G43" t="str">
            <v>Radius Aerospace</v>
          </cell>
          <cell r="H43" t="str">
            <v>Radius Aerospace Inc</v>
          </cell>
        </row>
        <row r="44">
          <cell r="G44" t="str">
            <v>Rancho Medical</v>
          </cell>
          <cell r="H44" t="str">
            <v>Rancho Health MSO Inc</v>
          </cell>
        </row>
        <row r="45">
          <cell r="G45" t="str">
            <v>Reception Purchaser, LLC -First Out Term loan</v>
          </cell>
          <cell r="H45" t="str">
            <v>STG Distribution LLC</v>
          </cell>
        </row>
        <row r="46">
          <cell r="G46" t="str">
            <v>Research Now Group, LLC and Dynata, LLC - First Out Term Loan</v>
          </cell>
          <cell r="H46" t="str">
            <v>Research Now Group LLC</v>
          </cell>
        </row>
        <row r="47">
          <cell r="G47" t="str">
            <v>Research Now Group, LLC and Dynata, LLC-Last Out Term loan</v>
          </cell>
          <cell r="H47" t="str">
            <v>Research Now Group LLC</v>
          </cell>
        </row>
        <row r="48">
          <cell r="G48" t="str">
            <v>RTIC subsidiary Holdings, LLC</v>
          </cell>
          <cell r="H48" t="str">
            <v>RTIC Subsidiary Holdings LLC</v>
          </cell>
        </row>
        <row r="49">
          <cell r="G49" t="str">
            <v>SV- Aero Holdings, LLC (Aeronix)</v>
          </cell>
          <cell r="H49" t="str">
            <v>SV-Aero Holdings LLC</v>
          </cell>
        </row>
        <row r="50">
          <cell r="G50" t="str">
            <v>Sabel Systems Technology Solutions, LLC</v>
          </cell>
          <cell r="H50" t="str">
            <v>Sabel Systems Technology Solutions</v>
          </cell>
        </row>
        <row r="51">
          <cell r="G51" t="str">
            <v>Security 101</v>
          </cell>
          <cell r="H51" t="str">
            <v>S101 Acquisition Inc</v>
          </cell>
        </row>
        <row r="52">
          <cell r="G52" t="str">
            <v>Seaway Plastics</v>
          </cell>
          <cell r="H52" t="str">
            <v>Seaway Buyer LLC</v>
          </cell>
        </row>
        <row r="53">
          <cell r="G53" t="str">
            <v>Sigma Defense Systems, LLC</v>
          </cell>
          <cell r="H53" t="str">
            <v>Sigma Defense Systems LLC</v>
          </cell>
        </row>
        <row r="54">
          <cell r="G54" t="str">
            <v xml:space="preserve">System Planning and Analysis, Inc. </v>
          </cell>
          <cell r="H54" t="str">
            <v>Systems Planning and Analysis Inc</v>
          </cell>
        </row>
        <row r="55">
          <cell r="G55" t="str">
            <v>Team Services Group, LLC</v>
          </cell>
          <cell r="H55" t="str">
            <v>Team Services Group LLC</v>
          </cell>
        </row>
        <row r="56">
          <cell r="G56" t="str">
            <v>TCD 3.0 Jogger Acquisitionco, Inc. Term Loan</v>
          </cell>
          <cell r="H56" t="str">
            <v>TCG 3.0 Jogger Acquisitionco Inc</v>
          </cell>
        </row>
        <row r="57">
          <cell r="G57" t="str">
            <v>The Bluebird Group LLC</v>
          </cell>
          <cell r="H57" t="str">
            <v>Bluebird Group LLC, The</v>
          </cell>
        </row>
        <row r="58">
          <cell r="G58" t="str">
            <v>The Vertex Companies, LLC</v>
          </cell>
          <cell r="H58" t="str">
            <v>Vertex Companies Inc, The</v>
          </cell>
        </row>
        <row r="59">
          <cell r="G59" t="str">
            <v>Transgo</v>
          </cell>
          <cell r="H59" t="str">
            <v>Transgo LLC</v>
          </cell>
        </row>
        <row r="60">
          <cell r="G60" t="str">
            <v>UROLOGY MANAGEMENT HOLDINGS, INC.</v>
          </cell>
          <cell r="H60" t="str">
            <v>Urology Management Holdings Inc</v>
          </cell>
        </row>
        <row r="61">
          <cell r="G61" t="str">
            <v>US Fertility</v>
          </cell>
          <cell r="H61" t="str">
            <v>US Fertility Enterprises LLC</v>
          </cell>
        </row>
        <row r="62">
          <cell r="G62" t="str">
            <v>Watchtower Buyer, LLC</v>
          </cell>
          <cell r="H62" t="str">
            <v>Watchtower Buyer LLC</v>
          </cell>
        </row>
        <row r="63">
          <cell r="G63" t="str">
            <v>Watterson</v>
          </cell>
          <cell r="H63" t="str">
            <v>HV Watterson Holdings LLC</v>
          </cell>
        </row>
        <row r="64">
          <cell r="G64" t="str">
            <v>Zips Car Wash, LLC</v>
          </cell>
          <cell r="H64" t="str">
            <v>Zips Car Wash LLC</v>
          </cell>
        </row>
        <row r="65">
          <cell r="G65" t="str">
            <v>By Light</v>
          </cell>
          <cell r="H65" t="str">
            <v>By Light Professional IT Services LLC</v>
          </cell>
        </row>
        <row r="66">
          <cell r="G66" t="str">
            <v>Federal Advisory Partners</v>
          </cell>
          <cell r="H66" t="str">
            <v>Best Practice Associates LLC</v>
          </cell>
        </row>
        <row r="67">
          <cell r="G67" t="str">
            <v>Arcfield</v>
          </cell>
          <cell r="H67" t="str">
            <v>Arcfield Acquisition Corp</v>
          </cell>
        </row>
        <row r="68">
          <cell r="G68" t="str">
            <v>Bland Landscaping</v>
          </cell>
          <cell r="H68" t="str">
            <v>BLC Holding Company Inc</v>
          </cell>
        </row>
        <row r="69">
          <cell r="G69" t="str">
            <v xml:space="preserve">Lynx Technologies </v>
          </cell>
          <cell r="H69" t="str">
            <v>OSP Embedded Purchaser LLC</v>
          </cell>
        </row>
        <row r="70">
          <cell r="G70" t="str">
            <v>VRS Buyer Inc</v>
          </cell>
          <cell r="H70" t="str">
            <v>VRS Buyer</v>
          </cell>
        </row>
        <row r="71">
          <cell r="G71" t="str">
            <v>Inovex Information Systems Incorporated</v>
          </cell>
          <cell r="H71" t="str">
            <v>RealmOne</v>
          </cell>
        </row>
        <row r="72">
          <cell r="G72" t="str">
            <v>Seacoast Service Partners NA LLC</v>
          </cell>
          <cell r="H72" t="str">
            <v>Seacoast</v>
          </cell>
        </row>
        <row r="73">
          <cell r="G73" t="str">
            <v>Marketplace Events LLC</v>
          </cell>
          <cell r="H73" t="str">
            <v>Marketplace</v>
          </cell>
        </row>
      </sheetData>
      <sheetData sheetId="1"/>
      <sheetData sheetId="2"/>
      <sheetData sheetId="3"/>
      <sheetData sheetId="4">
        <row r="3">
          <cell r="M3" t="str">
            <v>Borrowing Base</v>
          </cell>
          <cell r="N3" t="str">
            <v>Master Comps</v>
          </cell>
          <cell r="O3">
            <v>426232246.75000012</v>
          </cell>
          <cell r="P3">
            <v>422794065.05000013</v>
          </cell>
          <cell r="Q3" t="e">
            <v>#N/A</v>
          </cell>
          <cell r="R3" t="e">
            <v>#N/A</v>
          </cell>
        </row>
        <row r="4">
          <cell r="M4" t="str">
            <v>A1 Garage Merger Sub, LLC</v>
          </cell>
          <cell r="N4" t="str">
            <v>A1 Garage Merger Sub, LLC</v>
          </cell>
          <cell r="O4">
            <v>3192037.26</v>
          </cell>
          <cell r="P4">
            <v>3192037.24</v>
          </cell>
          <cell r="Q4">
            <v>3192037.26</v>
          </cell>
          <cell r="R4">
            <v>0</v>
          </cell>
          <cell r="S4">
            <v>26.534049578333601</v>
          </cell>
          <cell r="T4">
            <v>45716</v>
          </cell>
          <cell r="U4">
            <v>2.3958955949234078</v>
          </cell>
          <cell r="V4">
            <v>60.906999999999996</v>
          </cell>
          <cell r="W4">
            <v>2.3958955949234078</v>
          </cell>
          <cell r="X4">
            <v>3.1669614791473308</v>
          </cell>
          <cell r="Y4">
            <v>4.7500000000000001E-2</v>
          </cell>
          <cell r="Z4">
            <v>9.074900000000001E-2</v>
          </cell>
        </row>
        <row r="5">
          <cell r="M5" t="str">
            <v>AFC - Dell Holding Corp.</v>
          </cell>
          <cell r="N5" t="str">
            <v>AFC - Dell Holding Corp.</v>
          </cell>
          <cell r="O5">
            <v>269595.42</v>
          </cell>
          <cell r="P5">
            <v>269595.43</v>
          </cell>
          <cell r="Q5">
            <v>269595.42</v>
          </cell>
          <cell r="R5">
            <v>0</v>
          </cell>
          <cell r="S5">
            <v>67.680999999999983</v>
          </cell>
          <cell r="T5">
            <v>45716</v>
          </cell>
          <cell r="U5">
            <v>6.0802911056501969</v>
          </cell>
          <cell r="V5">
            <v>76.694091670471707</v>
          </cell>
          <cell r="W5">
            <v>7.1419734977347176</v>
          </cell>
          <cell r="X5">
            <v>1.3690868674409475</v>
          </cell>
          <cell r="Y5">
            <v>5.5E-2</v>
          </cell>
          <cell r="Z5">
            <v>9.8078440023785435E-2</v>
          </cell>
        </row>
        <row r="6">
          <cell r="M6" t="str">
            <v>Alpine Acquisition Corp II</v>
          </cell>
          <cell r="N6" t="str">
            <v>Alpine Acquisition Corp II</v>
          </cell>
          <cell r="O6">
            <v>3933849.62</v>
          </cell>
          <cell r="P6">
            <v>3933327.4</v>
          </cell>
          <cell r="Q6">
            <v>3933849.62</v>
          </cell>
          <cell r="R6">
            <v>0</v>
          </cell>
          <cell r="S6">
            <v>73.041018999999991</v>
          </cell>
          <cell r="T6">
            <v>45688</v>
          </cell>
          <cell r="U6">
            <v>16.797917600666075</v>
          </cell>
          <cell r="V6">
            <v>109.297</v>
          </cell>
          <cell r="W6">
            <v>17.284975799884716</v>
          </cell>
          <cell r="X6">
            <v>0.66578745385655624</v>
          </cell>
          <cell r="Y6">
            <v>6.0999999999999999E-2</v>
          </cell>
          <cell r="Z6">
            <v>0.10422700000000003</v>
          </cell>
        </row>
        <row r="7">
          <cell r="M7" t="str">
            <v>Archer Lewis</v>
          </cell>
          <cell r="N7" t="str">
            <v>Archer Lewis</v>
          </cell>
          <cell r="O7">
            <v>8816867.8200000003</v>
          </cell>
          <cell r="P7">
            <v>8830178.0700000003</v>
          </cell>
          <cell r="Q7">
            <v>8816867.8200000003</v>
          </cell>
          <cell r="R7">
            <v>0</v>
          </cell>
          <cell r="S7">
            <v>11.436291255380883</v>
          </cell>
          <cell r="T7">
            <v>45688</v>
          </cell>
          <cell r="U7">
            <v>5.1697288861608461</v>
          </cell>
          <cell r="V7">
            <v>11.1935270251616</v>
          </cell>
          <cell r="W7">
            <v>5.1697288861608461</v>
          </cell>
          <cell r="X7">
            <v>2.4989121269917134</v>
          </cell>
          <cell r="Y7">
            <v>5.7500000000000002E-2</v>
          </cell>
          <cell r="Z7">
            <v>0.10050563300492132</v>
          </cell>
        </row>
        <row r="8">
          <cell r="M8" t="str">
            <v>Argano, LLC</v>
          </cell>
          <cell r="N8" t="str">
            <v>Argano, LLC</v>
          </cell>
          <cell r="O8">
            <v>5472500</v>
          </cell>
          <cell r="P8">
            <v>5472521.8700000001</v>
          </cell>
          <cell r="Q8">
            <v>5472500</v>
          </cell>
          <cell r="R8">
            <v>0</v>
          </cell>
          <cell r="S8">
            <v>64.078433000000004</v>
          </cell>
          <cell r="T8">
            <v>45688</v>
          </cell>
          <cell r="U8">
            <v>3.8370895989926206</v>
          </cell>
          <cell r="V8">
            <v>62.994301999999998</v>
          </cell>
          <cell r="W8">
            <v>6.2182573433387676</v>
          </cell>
          <cell r="X8">
            <v>1.5420309493532627</v>
          </cell>
          <cell r="Y8">
            <v>5.7500000000000002E-2</v>
          </cell>
          <cell r="Z8">
            <v>0.100664</v>
          </cell>
        </row>
        <row r="9">
          <cell r="M9" t="str">
            <v>BBB Industries</v>
          </cell>
          <cell r="N9" t="str">
            <v>BBB Industries</v>
          </cell>
          <cell r="O9">
            <v>248327.5</v>
          </cell>
          <cell r="P9">
            <v>248327.5</v>
          </cell>
          <cell r="Q9">
            <v>248327.5</v>
          </cell>
          <cell r="R9">
            <v>0</v>
          </cell>
          <cell r="S9">
            <v>241.8</v>
          </cell>
          <cell r="T9">
            <v>45565</v>
          </cell>
          <cell r="U9">
            <v>5.6274247491638789</v>
          </cell>
          <cell r="V9">
            <v>299</v>
          </cell>
          <cell r="W9">
            <v>6.8197324414715714</v>
          </cell>
          <cell r="X9">
            <v>1.3906976744186046</v>
          </cell>
          <cell r="Y9">
            <v>5.3499999999999999E-2</v>
          </cell>
          <cell r="Z9">
            <v>9.6492000000000022E-2</v>
          </cell>
        </row>
        <row r="10">
          <cell r="M10" t="str">
            <v>Beacon Behavioral Support  Services, LLC</v>
          </cell>
          <cell r="N10" t="str">
            <v>Beacon Behavioral</v>
          </cell>
          <cell r="O10">
            <v>12170102.559999999</v>
          </cell>
          <cell r="P10">
            <v>12194878.68</v>
          </cell>
          <cell r="Q10">
            <v>12170102.559999999</v>
          </cell>
          <cell r="R10">
            <v>0</v>
          </cell>
          <cell r="S10">
            <v>16.872357685618901</v>
          </cell>
          <cell r="T10">
            <v>45688</v>
          </cell>
          <cell r="U10">
            <v>4.9950226518417011</v>
          </cell>
          <cell r="V10">
            <v>22.6422068913541</v>
          </cell>
          <cell r="W10">
            <v>5.5571201430919848</v>
          </cell>
          <cell r="X10">
            <v>2.440748824140933</v>
          </cell>
          <cell r="Y10">
            <v>5.5E-2</v>
          </cell>
          <cell r="Z10">
            <v>9.8032852215593491E-2</v>
          </cell>
        </row>
        <row r="11">
          <cell r="M11" t="str">
            <v>BlackHawk Industrial</v>
          </cell>
          <cell r="N11" t="str">
            <v>BlackHawk Industrial</v>
          </cell>
          <cell r="O11">
            <v>8653790.4900000002</v>
          </cell>
          <cell r="P11">
            <v>8672294.9600000009</v>
          </cell>
          <cell r="Q11">
            <v>8653790.4900000002</v>
          </cell>
          <cell r="R11">
            <v>0</v>
          </cell>
          <cell r="S11">
            <v>35.430999999999997</v>
          </cell>
          <cell r="T11">
            <v>45716</v>
          </cell>
          <cell r="U11">
            <v>5.8248222239587415</v>
          </cell>
          <cell r="V11">
            <v>51.188000000000002</v>
          </cell>
          <cell r="W11">
            <v>6.4096272563882168</v>
          </cell>
          <cell r="X11">
            <v>1.2666221265434392</v>
          </cell>
          <cell r="Y11">
            <v>5.3999999999999999E-2</v>
          </cell>
          <cell r="Z11">
            <v>9.6993425792327004E-2</v>
          </cell>
        </row>
        <row r="12">
          <cell r="M12" t="str">
            <v xml:space="preserve">BlueHalo Financing Holdings, LLC </v>
          </cell>
          <cell r="N12" t="str">
            <v xml:space="preserve">BlueHalo Financing Holdings, LLC </v>
          </cell>
          <cell r="O12">
            <v>2628762.46</v>
          </cell>
          <cell r="P12">
            <v>2188894.56</v>
          </cell>
          <cell r="Q12">
            <v>2628762.46</v>
          </cell>
          <cell r="R12">
            <v>0</v>
          </cell>
          <cell r="S12">
            <v>57.954000000000001</v>
          </cell>
          <cell r="T12">
            <v>45657</v>
          </cell>
          <cell r="U12">
            <v>7.6702880694568503</v>
          </cell>
          <cell r="V12">
            <v>103.79010446427387</v>
          </cell>
          <cell r="W12">
            <v>7.7329144636930893</v>
          </cell>
          <cell r="X12">
            <v>1.5967892476636316</v>
          </cell>
          <cell r="Y12">
            <v>0.06</v>
          </cell>
          <cell r="Z12">
            <v>0.10307674737868726</v>
          </cell>
        </row>
        <row r="13">
          <cell r="M13" t="str">
            <v>C5MI Acquisition, LLC</v>
          </cell>
          <cell r="N13" t="str">
            <v>C5MI</v>
          </cell>
          <cell r="O13">
            <v>1492500</v>
          </cell>
          <cell r="P13">
            <v>1492500</v>
          </cell>
          <cell r="Q13">
            <v>1492500</v>
          </cell>
          <cell r="R13">
            <v>0</v>
          </cell>
          <cell r="S13">
            <v>19.997243964960816</v>
          </cell>
          <cell r="T13">
            <v>45657</v>
          </cell>
          <cell r="U13">
            <v>4.1226115897217221</v>
          </cell>
          <cell r="V13">
            <v>19.426833999999999</v>
          </cell>
          <cell r="W13">
            <v>4.4674953726376625</v>
          </cell>
          <cell r="X13">
            <v>2.1580575427682733</v>
          </cell>
          <cell r="Y13">
            <v>0.06</v>
          </cell>
          <cell r="Z13">
            <v>0.10299200000000003</v>
          </cell>
        </row>
        <row r="14">
          <cell r="M14" t="str">
            <v>CF512, Inc.</v>
          </cell>
          <cell r="N14" t="str">
            <v>Gen3 Marketing</v>
          </cell>
          <cell r="O14">
            <v>6298498.8200000003</v>
          </cell>
          <cell r="P14">
            <v>6298498.8200000003</v>
          </cell>
          <cell r="Q14">
            <v>6298498.8200000003</v>
          </cell>
          <cell r="R14">
            <v>0</v>
          </cell>
          <cell r="S14">
            <v>12.891999999999999</v>
          </cell>
          <cell r="T14">
            <v>45716</v>
          </cell>
          <cell r="U14">
            <v>5.4679368809803588</v>
          </cell>
          <cell r="V14">
            <v>11.914</v>
          </cell>
          <cell r="W14">
            <v>5.4679368809803588</v>
          </cell>
          <cell r="X14">
            <v>1.563517060367454</v>
          </cell>
          <cell r="Y14">
            <v>6.1899999999999997E-2</v>
          </cell>
          <cell r="Z14">
            <v>0.10503471539906084</v>
          </cell>
        </row>
        <row r="15">
          <cell r="M15" t="str">
            <v>Carnegie Dartlet, LLC</v>
          </cell>
          <cell r="N15" t="str">
            <v>Carnegie Dartlet, LLC</v>
          </cell>
          <cell r="O15">
            <v>6900150.7599999998</v>
          </cell>
          <cell r="P15">
            <v>6900150.7599999998</v>
          </cell>
          <cell r="Q15">
            <v>6900150.7599999998</v>
          </cell>
          <cell r="R15">
            <v>0</v>
          </cell>
          <cell r="S15">
            <v>20.199678148253899</v>
          </cell>
          <cell r="T15">
            <v>45657</v>
          </cell>
          <cell r="U15">
            <v>4.3739976377833463</v>
          </cell>
          <cell r="V15">
            <v>19.147375599051099</v>
          </cell>
          <cell r="W15">
            <v>4.3739976377833463</v>
          </cell>
          <cell r="X15">
            <v>2.1762896124820288</v>
          </cell>
          <cell r="Y15">
            <v>5.5E-2</v>
          </cell>
          <cell r="Z15">
            <v>9.8248999999999989E-2</v>
          </cell>
        </row>
        <row r="16">
          <cell r="M16" t="str">
            <v>Carisk Buyer, Inc.</v>
          </cell>
          <cell r="N16" t="str">
            <v>Carisk Buyer, Inc.</v>
          </cell>
          <cell r="O16">
            <v>1116738.2</v>
          </cell>
          <cell r="P16">
            <v>1116717.05</v>
          </cell>
          <cell r="Q16">
            <v>1116738.2</v>
          </cell>
          <cell r="R16">
            <v>0</v>
          </cell>
          <cell r="S16">
            <v>10.781094416153847</v>
          </cell>
          <cell r="T16">
            <v>45688</v>
          </cell>
          <cell r="U16">
            <v>3.3981829412631543</v>
          </cell>
          <cell r="V16">
            <v>18.586850999999999</v>
          </cell>
          <cell r="W16">
            <v>3.3981829412631543</v>
          </cell>
          <cell r="X16">
            <v>2.1388707518846308</v>
          </cell>
          <cell r="Y16">
            <v>5.2499999999999998E-2</v>
          </cell>
          <cell r="Z16">
            <v>9.549199999999998E-2</v>
          </cell>
        </row>
        <row r="17">
          <cell r="M17" t="str">
            <v>Cartessa</v>
          </cell>
          <cell r="N17" t="str">
            <v>Cartessa</v>
          </cell>
          <cell r="O17">
            <v>5205875.05</v>
          </cell>
          <cell r="P17">
            <v>5205875.07</v>
          </cell>
          <cell r="Q17">
            <v>5205875.05</v>
          </cell>
          <cell r="R17">
            <v>0</v>
          </cell>
          <cell r="S17">
            <v>22.8</v>
          </cell>
          <cell r="T17">
            <v>45716</v>
          </cell>
          <cell r="U17">
            <v>3.2680580859332187</v>
          </cell>
          <cell r="V17">
            <v>19.711492299253582</v>
          </cell>
          <cell r="W17">
            <v>3.2680580859332187</v>
          </cell>
          <cell r="X17">
            <v>2.5267405100399336</v>
          </cell>
          <cell r="Y17">
            <v>5.7500000000000002E-2</v>
          </cell>
          <cell r="Z17">
            <v>0.10049200000000001</v>
          </cell>
        </row>
        <row r="18">
          <cell r="M18" t="str">
            <v>Case Works</v>
          </cell>
          <cell r="N18" t="str">
            <v>Case Works</v>
          </cell>
          <cell r="O18">
            <v>4503279.1500000004</v>
          </cell>
          <cell r="P18">
            <v>4503279.1500000004</v>
          </cell>
          <cell r="Q18">
            <v>4503279.1500000004</v>
          </cell>
          <cell r="R18">
            <v>0</v>
          </cell>
          <cell r="S18">
            <v>28.019479251625501</v>
          </cell>
          <cell r="T18">
            <v>45688</v>
          </cell>
          <cell r="U18">
            <v>2.924068765712649</v>
          </cell>
          <cell r="V18">
            <v>30.845843937605807</v>
          </cell>
          <cell r="W18">
            <v>2.924068765712649</v>
          </cell>
          <cell r="X18">
            <v>2.4420639398376309</v>
          </cell>
          <cell r="Y18">
            <v>5.2499999999999998E-2</v>
          </cell>
          <cell r="Z18">
            <v>9.5491999999999994E-2</v>
          </cell>
        </row>
        <row r="19">
          <cell r="M19" t="str">
            <v>Centauri</v>
          </cell>
          <cell r="N19" t="str">
            <v>Centauri</v>
          </cell>
          <cell r="O19">
            <v>2506425.7000000002</v>
          </cell>
          <cell r="P19">
            <v>2506425.7000000002</v>
          </cell>
          <cell r="Q19" t="e">
            <v>#N/A</v>
          </cell>
          <cell r="R19" t="e">
            <v>#N/A</v>
          </cell>
          <cell r="S19">
            <v>28.067827269920599</v>
          </cell>
          <cell r="T19">
            <v>45688</v>
          </cell>
          <cell r="U19">
            <v>3.225158225833153</v>
          </cell>
          <cell r="V19">
            <v>78.527000000000001</v>
          </cell>
          <cell r="W19">
            <v>3.225158225833153</v>
          </cell>
          <cell r="X19">
            <v>2.7631049295140295</v>
          </cell>
          <cell r="Y19">
            <v>4.7500000000000001E-2</v>
          </cell>
          <cell r="Z19">
            <v>9.0492000000000017E-2</v>
          </cell>
        </row>
        <row r="20">
          <cell r="M20" t="str">
            <v>Comprehensive Rehab Consultants</v>
          </cell>
          <cell r="N20" t="str">
            <v>Comprehensive Rehab Consultants</v>
          </cell>
          <cell r="O20">
            <v>3780604.54</v>
          </cell>
          <cell r="P20">
            <v>3780604.54</v>
          </cell>
          <cell r="Q20">
            <v>3780604.54</v>
          </cell>
          <cell r="R20">
            <v>0</v>
          </cell>
          <cell r="S20">
            <v>17.619373046262648</v>
          </cell>
          <cell r="T20">
            <v>45657</v>
          </cell>
          <cell r="U20">
            <v>3.8625698509237436</v>
          </cell>
          <cell r="V20">
            <v>18.519535635813213</v>
          </cell>
          <cell r="W20">
            <v>3.8625698509237436</v>
          </cell>
          <cell r="X20">
            <v>1.9605591286232311</v>
          </cell>
          <cell r="Y20">
            <v>6.25E-2</v>
          </cell>
          <cell r="Z20">
            <v>0.10549200000000002</v>
          </cell>
        </row>
        <row r="21">
          <cell r="M21" t="str">
            <v>Crane 1 Services, Inc.</v>
          </cell>
          <cell r="N21" t="str">
            <v>Crane 1 Services, Inc.</v>
          </cell>
          <cell r="O21">
            <v>995000</v>
          </cell>
          <cell r="P21">
            <v>995000</v>
          </cell>
          <cell r="Q21">
            <v>995000</v>
          </cell>
          <cell r="R21">
            <v>0</v>
          </cell>
          <cell r="S21">
            <v>18.091999999999999</v>
          </cell>
          <cell r="T21">
            <v>45716</v>
          </cell>
          <cell r="U21">
            <v>5.1279919010774462</v>
          </cell>
          <cell r="V21">
            <v>27.658000000000001</v>
          </cell>
          <cell r="W21">
            <v>5.1279919010774462</v>
          </cell>
          <cell r="X21">
            <v>2.2152983580296359</v>
          </cell>
          <cell r="Y21">
            <v>5.3600000000000002E-2</v>
          </cell>
          <cell r="Z21">
            <v>9.6894000000000008E-2</v>
          </cell>
        </row>
        <row r="22">
          <cell r="M22" t="str">
            <v xml:space="preserve">Dr. Squatch, LLC </v>
          </cell>
          <cell r="N22" t="str">
            <v>Dr. Squatch, LLC</v>
          </cell>
          <cell r="O22">
            <v>14449789.950000001</v>
          </cell>
          <cell r="P22">
            <v>14433539.99</v>
          </cell>
          <cell r="Q22">
            <v>14449789.950000001</v>
          </cell>
          <cell r="R22">
            <v>0</v>
          </cell>
          <cell r="S22">
            <v>24.5220405034298</v>
          </cell>
          <cell r="T22">
            <v>45657</v>
          </cell>
          <cell r="U22">
            <v>1.297475925084703</v>
          </cell>
          <cell r="V22">
            <v>96.404405640000036</v>
          </cell>
          <cell r="W22">
            <v>1.297475925084703</v>
          </cell>
          <cell r="X22">
            <v>6.1659887773502637</v>
          </cell>
          <cell r="Y22">
            <v>5.3499999999999999E-2</v>
          </cell>
          <cell r="Z22">
            <v>9.6708885281157106E-2</v>
          </cell>
        </row>
        <row r="23">
          <cell r="M23" t="str">
            <v>EDS Buyers, LLC</v>
          </cell>
          <cell r="N23" t="str">
            <v>EDS Buyers, LLC</v>
          </cell>
          <cell r="O23">
            <v>5466430.4500000002</v>
          </cell>
          <cell r="P23">
            <v>5466431.5199999996</v>
          </cell>
          <cell r="Q23">
            <v>5466430.4500000002</v>
          </cell>
          <cell r="R23">
            <v>0</v>
          </cell>
          <cell r="S23">
            <v>11.982000000000001</v>
          </cell>
          <cell r="T23">
            <v>45688</v>
          </cell>
          <cell r="U23">
            <v>3.0453753223187818</v>
          </cell>
          <cell r="V23">
            <v>27.922666666666696</v>
          </cell>
          <cell r="W23">
            <v>3.0453753223187818</v>
          </cell>
          <cell r="X23">
            <v>2.4962155074795902</v>
          </cell>
          <cell r="Y23">
            <v>5.7500000000000002E-2</v>
          </cell>
          <cell r="Z23">
            <v>0.100492</v>
          </cell>
        </row>
        <row r="24">
          <cell r="M24" t="str">
            <v>Eval Home Health Solutions Intermediate, LLC</v>
          </cell>
          <cell r="N24" t="str">
            <v>Eval</v>
          </cell>
          <cell r="O24">
            <v>1362351.4</v>
          </cell>
          <cell r="P24">
            <v>1389030.64</v>
          </cell>
          <cell r="Q24">
            <v>1362351.4</v>
          </cell>
          <cell r="R24">
            <v>0</v>
          </cell>
          <cell r="S24">
            <v>15.029396000000002</v>
          </cell>
          <cell r="T24">
            <v>45716</v>
          </cell>
          <cell r="U24">
            <v>3.6137097433137755</v>
          </cell>
          <cell r="V24">
            <v>13.2217063333333</v>
          </cell>
          <cell r="W24">
            <v>3.6137097433137755</v>
          </cell>
          <cell r="X24">
            <v>2.5331098787795705</v>
          </cell>
          <cell r="Y24">
            <v>5.7500000000000002E-2</v>
          </cell>
          <cell r="Z24">
            <v>0.10063999999999998</v>
          </cell>
        </row>
        <row r="25">
          <cell r="M25" t="str">
            <v>GGG Midco, LLC</v>
          </cell>
          <cell r="N25" t="str">
            <v>GGG Midco, LLC</v>
          </cell>
          <cell r="O25">
            <v>6578437.7699999996</v>
          </cell>
          <cell r="P25">
            <v>6594961.7199999997</v>
          </cell>
          <cell r="Q25">
            <v>6578437.7699999996</v>
          </cell>
          <cell r="R25">
            <v>0</v>
          </cell>
          <cell r="S25">
            <v>12.968210729385</v>
          </cell>
          <cell r="T25">
            <v>45716</v>
          </cell>
          <cell r="U25">
            <v>3.4736408460116199</v>
          </cell>
          <cell r="V25">
            <v>19.786580290508851</v>
          </cell>
          <cell r="W25">
            <v>3.7970923927687887</v>
          </cell>
          <cell r="X25">
            <v>2.7868422944378666</v>
          </cell>
          <cell r="Y25">
            <v>0.05</v>
          </cell>
          <cell r="Z25">
            <v>9.3028713378175296E-2</v>
          </cell>
        </row>
        <row r="26">
          <cell r="M26" t="str">
            <v>HEC Purchaser Corp.</v>
          </cell>
          <cell r="N26" t="str">
            <v>Health-E Commerce</v>
          </cell>
          <cell r="O26">
            <v>1970075.18</v>
          </cell>
          <cell r="P26">
            <v>1970075.18</v>
          </cell>
          <cell r="Q26">
            <v>1970075.18</v>
          </cell>
          <cell r="R26">
            <v>0</v>
          </cell>
          <cell r="S26">
            <v>51.6</v>
          </cell>
          <cell r="T26">
            <v>45688</v>
          </cell>
          <cell r="U26">
            <v>3.9355296111810749</v>
          </cell>
          <cell r="V26">
            <v>56.378638000747401</v>
          </cell>
          <cell r="W26">
            <v>3.9355296111810749</v>
          </cell>
          <cell r="X26">
            <v>2.2076188817076186</v>
          </cell>
          <cell r="Y26">
            <v>5.5E-2</v>
          </cell>
          <cell r="Z26">
            <v>9.7166000000000002E-2</v>
          </cell>
        </row>
        <row r="27">
          <cell r="M27" t="str">
            <v>Harris &amp; Co. LLC</v>
          </cell>
          <cell r="N27" t="str">
            <v>Harris &amp; Co.</v>
          </cell>
          <cell r="O27">
            <v>8726327.5</v>
          </cell>
          <cell r="P27">
            <v>8748227.5800000001</v>
          </cell>
          <cell r="Q27">
            <v>8726327.5</v>
          </cell>
          <cell r="R27">
            <v>0</v>
          </cell>
          <cell r="S27">
            <v>21.448752267987395</v>
          </cell>
          <cell r="T27">
            <v>45716</v>
          </cell>
          <cell r="U27">
            <v>4.2699985740767143</v>
          </cell>
          <cell r="V27">
            <v>28.052000000000003</v>
          </cell>
          <cell r="W27">
            <v>4.2699985740767143</v>
          </cell>
          <cell r="X27">
            <v>4.9473118082366643</v>
          </cell>
          <cell r="Y27">
            <v>0.05</v>
          </cell>
          <cell r="Z27">
            <v>9.3220999999999998E-2</v>
          </cell>
        </row>
        <row r="28">
          <cell r="M28" t="str">
            <v>HW Holdco, LLC</v>
          </cell>
          <cell r="N28" t="str">
            <v>HW Holdco, LLC</v>
          </cell>
          <cell r="O28">
            <v>7618243.3600000003</v>
          </cell>
          <cell r="P28">
            <v>4990638.37</v>
          </cell>
          <cell r="Q28">
            <v>7618243.3600000003</v>
          </cell>
          <cell r="R28">
            <v>0</v>
          </cell>
          <cell r="S28">
            <v>19.486999999999998</v>
          </cell>
          <cell r="T28">
            <v>45716</v>
          </cell>
          <cell r="U28">
            <v>3.0055761763850639</v>
          </cell>
          <cell r="V28">
            <v>58.463000000000001</v>
          </cell>
          <cell r="W28">
            <v>3.0055761763850639</v>
          </cell>
          <cell r="X28">
            <v>2.5529694323144105</v>
          </cell>
          <cell r="Y28">
            <v>5.8999999999999997E-2</v>
          </cell>
          <cell r="Z28">
            <v>0.10212005460384567</v>
          </cell>
        </row>
        <row r="29">
          <cell r="M29" t="str">
            <v>Infinity Home Services Holdco, Inc.</v>
          </cell>
          <cell r="N29" t="str">
            <v>Infinity Home Services Holdco, Inc.</v>
          </cell>
          <cell r="O29">
            <v>5118399.22</v>
          </cell>
          <cell r="P29">
            <v>5118399.2300000004</v>
          </cell>
          <cell r="Q29">
            <v>5118399.22</v>
          </cell>
          <cell r="R29">
            <v>0</v>
          </cell>
          <cell r="S29">
            <v>35.462000000000003</v>
          </cell>
          <cell r="T29">
            <v>45716</v>
          </cell>
          <cell r="U29">
            <v>5.1442628656404734</v>
          </cell>
          <cell r="V29">
            <v>63.210999999999999</v>
          </cell>
          <cell r="W29">
            <v>5.1442628656404734</v>
          </cell>
          <cell r="X29">
            <v>2.0660565451871222</v>
          </cell>
          <cell r="Y29">
            <v>5.5E-2</v>
          </cell>
          <cell r="Z29">
            <v>9.7991999999999996E-2</v>
          </cell>
        </row>
        <row r="30">
          <cell r="M30" t="str">
            <v>Infolinks</v>
          </cell>
          <cell r="N30" t="str">
            <v>Infolinks</v>
          </cell>
          <cell r="O30">
            <v>2051982.1099999999</v>
          </cell>
          <cell r="P30">
            <v>2051982.08</v>
          </cell>
          <cell r="Q30">
            <v>2051982.1099999999</v>
          </cell>
          <cell r="R30">
            <v>0</v>
          </cell>
          <cell r="S30">
            <v>29.864123328214699</v>
          </cell>
          <cell r="T30">
            <v>45716</v>
          </cell>
          <cell r="U30">
            <v>3.2535092072297247</v>
          </cell>
          <cell r="V30">
            <v>49.399276289999989</v>
          </cell>
          <cell r="W30">
            <v>3.2535092072297247</v>
          </cell>
          <cell r="X30">
            <v>3.0077525018838136</v>
          </cell>
          <cell r="Y30">
            <v>5.5E-2</v>
          </cell>
          <cell r="Z30">
            <v>9.7992000000000024E-2</v>
          </cell>
        </row>
        <row r="31">
          <cell r="M31" t="str">
            <v xml:space="preserve">Inventus Power Inc.  </v>
          </cell>
          <cell r="N31" t="str">
            <v xml:space="preserve">Inventus Power Inc.  </v>
          </cell>
          <cell r="O31">
            <v>1975484.48</v>
          </cell>
          <cell r="P31">
            <v>1975484.48</v>
          </cell>
          <cell r="Q31">
            <v>1975484.48</v>
          </cell>
          <cell r="R31">
            <v>0</v>
          </cell>
          <cell r="S31">
            <v>54.5</v>
          </cell>
          <cell r="T31">
            <v>45716</v>
          </cell>
          <cell r="U31">
            <v>4.9069445238279146</v>
          </cell>
          <cell r="V31">
            <v>51.787999999999997</v>
          </cell>
          <cell r="W31">
            <v>4.9069445238279146</v>
          </cell>
          <cell r="X31">
            <v>1.4563554555680538</v>
          </cell>
          <cell r="Y31">
            <v>7.6100000000000001E-2</v>
          </cell>
          <cell r="Z31">
            <v>0.119394</v>
          </cell>
        </row>
        <row r="32">
          <cell r="M32" t="str">
            <v>Lash OpCo, LLC</v>
          </cell>
          <cell r="N32" t="str">
            <v>Lash OpCo, LLC</v>
          </cell>
          <cell r="O32">
            <v>3328030.85</v>
          </cell>
          <cell r="P32">
            <v>3328030.83</v>
          </cell>
          <cell r="Q32">
            <v>3328030.85</v>
          </cell>
          <cell r="R32">
            <v>0</v>
          </cell>
          <cell r="S32">
            <v>57.462617000000002</v>
          </cell>
          <cell r="T32">
            <v>45716</v>
          </cell>
          <cell r="U32">
            <v>8.2594417660981527</v>
          </cell>
          <cell r="V32">
            <v>60.446582071593596</v>
          </cell>
          <cell r="W32">
            <v>8.2594417660981527</v>
          </cell>
          <cell r="X32">
            <v>0.91660285040263578</v>
          </cell>
          <cell r="Y32">
            <v>7.85E-2</v>
          </cell>
          <cell r="Z32">
            <v>0.12139999999999999</v>
          </cell>
        </row>
        <row r="33">
          <cell r="M33" t="str">
            <v>MDI Buyer Inc.</v>
          </cell>
          <cell r="N33" t="str">
            <v>Molded Devices</v>
          </cell>
          <cell r="O33">
            <v>4792248.26</v>
          </cell>
          <cell r="P33">
            <v>4792248.26</v>
          </cell>
          <cell r="Q33">
            <v>4792248.26</v>
          </cell>
          <cell r="R33">
            <v>0</v>
          </cell>
          <cell r="S33">
            <v>16.100000000000001</v>
          </cell>
          <cell r="T33">
            <v>45688</v>
          </cell>
          <cell r="U33">
            <v>5.3256205426655638</v>
          </cell>
          <cell r="V33">
            <v>33.919817695016306</v>
          </cell>
          <cell r="W33">
            <v>7.0945969723005629</v>
          </cell>
          <cell r="X33">
            <v>2.33</v>
          </cell>
          <cell r="Y33">
            <v>0.05</v>
          </cell>
          <cell r="Z33">
            <v>9.3123541537808122E-2</v>
          </cell>
        </row>
        <row r="34">
          <cell r="M34" t="str">
            <v>Megawatt Acquisitionco, Inc.</v>
          </cell>
          <cell r="N34" t="str">
            <v>Megawatt Acquisitionco, Inc.</v>
          </cell>
          <cell r="O34">
            <v>4942556.4000000004</v>
          </cell>
          <cell r="P34">
            <v>4942556.4000000004</v>
          </cell>
          <cell r="Q34">
            <v>4942556.4000000004</v>
          </cell>
          <cell r="R34">
            <v>0</v>
          </cell>
          <cell r="S34">
            <v>28.454999999999998</v>
          </cell>
          <cell r="T34">
            <v>45716</v>
          </cell>
          <cell r="U34">
            <v>7.1829156010230184</v>
          </cell>
          <cell r="V34">
            <v>19.549999999999997</v>
          </cell>
          <cell r="W34">
            <v>7.1829156010230184</v>
          </cell>
          <cell r="X34">
            <v>1.2849162011173183</v>
          </cell>
          <cell r="Y34">
            <v>5.5E-2</v>
          </cell>
          <cell r="Z34">
            <v>9.8176596992610374E-2</v>
          </cell>
        </row>
        <row r="35">
          <cell r="M35" t="str">
            <v>Michael Baker International, LLC</v>
          </cell>
          <cell r="N35" t="str">
            <v>Michael Baker</v>
          </cell>
          <cell r="O35">
            <v>497493.74</v>
          </cell>
          <cell r="P35">
            <v>497493.74</v>
          </cell>
          <cell r="Q35">
            <v>497493.74</v>
          </cell>
          <cell r="R35">
            <v>0</v>
          </cell>
          <cell r="S35">
            <v>156.1</v>
          </cell>
          <cell r="T35">
            <v>45565</v>
          </cell>
          <cell r="U35">
            <v>3.7037512846865366</v>
          </cell>
          <cell r="V35">
            <v>155.68</v>
          </cell>
          <cell r="W35">
            <v>3.7037512846865366</v>
          </cell>
          <cell r="X35">
            <v>2.5638576439781953</v>
          </cell>
          <cell r="Y35">
            <v>0.04</v>
          </cell>
          <cell r="Z35">
            <v>8.324899999999999E-2</v>
          </cell>
        </row>
        <row r="36">
          <cell r="M36" t="str">
            <v>Municipal Emergency Services, Inc.</v>
          </cell>
          <cell r="N36" t="str">
            <v>MES</v>
          </cell>
          <cell r="O36">
            <v>2499911.11</v>
          </cell>
          <cell r="P36">
            <v>2499911.11</v>
          </cell>
          <cell r="Q36">
            <v>2499911.11</v>
          </cell>
          <cell r="R36">
            <v>0</v>
          </cell>
          <cell r="S36">
            <v>20.126999999999999</v>
          </cell>
          <cell r="T36">
            <v>45716</v>
          </cell>
          <cell r="U36">
            <v>3.1798182489554465</v>
          </cell>
          <cell r="V36">
            <v>41.356384828682351</v>
          </cell>
          <cell r="W36">
            <v>3.1798182489554465</v>
          </cell>
          <cell r="X36">
            <v>3.2794754401260482</v>
          </cell>
          <cell r="Y36">
            <v>5.1499999999999997E-2</v>
          </cell>
          <cell r="Z36">
            <v>9.4495621748138137E-2</v>
          </cell>
        </row>
        <row r="37">
          <cell r="M37" t="str">
            <v>MOREgroup Holdings, LLC</v>
          </cell>
          <cell r="N37" t="str">
            <v>MOREgroup Holdings, LLC</v>
          </cell>
          <cell r="O37">
            <v>4252707.1500000004</v>
          </cell>
          <cell r="P37">
            <v>4263446.3099999996</v>
          </cell>
          <cell r="Q37">
            <v>4252707.1500000004</v>
          </cell>
          <cell r="R37">
            <v>0</v>
          </cell>
          <cell r="S37">
            <v>50.912999999999997</v>
          </cell>
          <cell r="T37">
            <v>45688</v>
          </cell>
          <cell r="U37">
            <v>2.7628227303683759</v>
          </cell>
          <cell r="V37">
            <v>69.250608060000204</v>
          </cell>
          <cell r="W37">
            <v>2.7628227303683759</v>
          </cell>
          <cell r="X37">
            <v>2.6199003498232072</v>
          </cell>
          <cell r="Y37">
            <v>5.2499999999999998E-2</v>
          </cell>
          <cell r="Z37">
            <v>9.5492000000000021E-2</v>
          </cell>
        </row>
        <row r="38">
          <cell r="M38" t="str">
            <v>NFS - CFP Holdings, LLC</v>
          </cell>
          <cell r="N38" t="str">
            <v>Commercial Fire Protection</v>
          </cell>
          <cell r="O38">
            <v>3990869.08</v>
          </cell>
          <cell r="P38">
            <v>3990869.08</v>
          </cell>
          <cell r="Q38">
            <v>3990869.08</v>
          </cell>
          <cell r="R38">
            <v>0</v>
          </cell>
          <cell r="S38">
            <v>10.208520977410892</v>
          </cell>
          <cell r="T38">
            <v>45688</v>
          </cell>
          <cell r="U38">
            <v>3.6866284559158591</v>
          </cell>
          <cell r="V38">
            <v>21.502073389902598</v>
          </cell>
          <cell r="W38">
            <v>3.6866284559158591</v>
          </cell>
          <cell r="X38">
            <v>2.7217814417598225</v>
          </cell>
          <cell r="Y38">
            <v>4.7500000000000001E-2</v>
          </cell>
          <cell r="Z38">
            <v>9.0605119605332005E-2</v>
          </cell>
        </row>
        <row r="39">
          <cell r="M39" t="str">
            <v>NORA ACQUISITION, LLC</v>
          </cell>
          <cell r="N39" t="str">
            <v>NORA ACQUISITION, LLC</v>
          </cell>
          <cell r="O39">
            <v>3777823.24</v>
          </cell>
          <cell r="P39">
            <v>3777823.24</v>
          </cell>
          <cell r="Q39">
            <v>3777823.24</v>
          </cell>
          <cell r="R39">
            <v>0</v>
          </cell>
          <cell r="S39">
            <v>21.293252379330102</v>
          </cell>
          <cell r="T39">
            <v>45657</v>
          </cell>
          <cell r="U39">
            <v>5.3227543051338904</v>
          </cell>
          <cell r="V39">
            <v>14.25436097</v>
          </cell>
          <cell r="W39">
            <v>5.6274854754151775</v>
          </cell>
          <cell r="X39">
            <v>1.4638223616467501</v>
          </cell>
          <cell r="Y39">
            <v>6.3500000000000001E-2</v>
          </cell>
          <cell r="Z39">
            <v>0.10645099999999999</v>
          </cell>
        </row>
        <row r="40">
          <cell r="M40" t="str">
            <v>Omnia Exterior Solutions, LLC</v>
          </cell>
          <cell r="N40" t="str">
            <v>Omnia Exterior Solutions, LLC</v>
          </cell>
          <cell r="O40">
            <v>7136692.4000000004</v>
          </cell>
          <cell r="P40">
            <v>7136692.4000000004</v>
          </cell>
          <cell r="Q40">
            <v>7136692.4000000004</v>
          </cell>
          <cell r="R40">
            <v>0</v>
          </cell>
          <cell r="S40">
            <v>14.5</v>
          </cell>
          <cell r="T40">
            <v>45716</v>
          </cell>
          <cell r="U40">
            <v>3.1991927162280489</v>
          </cell>
          <cell r="V40">
            <v>38.156765280437824</v>
          </cell>
          <cell r="W40">
            <v>3.1991927162280489</v>
          </cell>
          <cell r="X40">
            <v>3.5474548008472708</v>
          </cell>
          <cell r="Y40">
            <v>5.2499999999999998E-2</v>
          </cell>
          <cell r="Z40">
            <v>9.554889349474556E-2</v>
          </cell>
        </row>
        <row r="41">
          <cell r="M41" t="str">
            <v>PAR Excellence</v>
          </cell>
          <cell r="N41" t="str">
            <v>PAR Excellence</v>
          </cell>
          <cell r="O41">
            <v>997500</v>
          </cell>
          <cell r="P41">
            <v>997500</v>
          </cell>
          <cell r="Q41">
            <v>997500</v>
          </cell>
          <cell r="R41">
            <v>0</v>
          </cell>
          <cell r="S41">
            <v>17.779</v>
          </cell>
          <cell r="T41">
            <v>45716</v>
          </cell>
          <cell r="U41">
            <v>4.088542782591845</v>
          </cell>
          <cell r="V41">
            <v>38.594190739999995</v>
          </cell>
          <cell r="W41">
            <v>4.088542782591845</v>
          </cell>
          <cell r="X41">
            <v>2.4899477896774189</v>
          </cell>
          <cell r="Y41">
            <v>0.05</v>
          </cell>
          <cell r="Z41">
            <v>9.3185000000000018E-2</v>
          </cell>
        </row>
        <row r="42">
          <cell r="M42" t="str">
            <v>PL Acquisitionco, LLC</v>
          </cell>
          <cell r="N42" t="str">
            <v>PL Acquisitionco, LLC</v>
          </cell>
          <cell r="O42">
            <v>8459233.0399999991</v>
          </cell>
          <cell r="P42">
            <v>8459233.0199999996</v>
          </cell>
          <cell r="Q42">
            <v>8459233.0399999991</v>
          </cell>
          <cell r="R42">
            <v>0</v>
          </cell>
          <cell r="S42">
            <v>22.128888</v>
          </cell>
          <cell r="T42">
            <v>45716</v>
          </cell>
          <cell r="U42">
            <v>-18.259800428436428</v>
          </cell>
          <cell r="V42">
            <v>-3.6486159999999996</v>
          </cell>
          <cell r="W42">
            <v>-18.259800428436428</v>
          </cell>
          <cell r="X42">
            <v>-0.39253534158149539</v>
          </cell>
          <cell r="Y42">
            <v>7.2499999999999995E-2</v>
          </cell>
          <cell r="Z42">
            <v>0.11501599999999999</v>
          </cell>
        </row>
        <row r="43">
          <cell r="M43" t="str">
            <v>Radius Aerospace</v>
          </cell>
          <cell r="N43" t="str">
            <v>Radius Aerospace</v>
          </cell>
          <cell r="O43">
            <v>11836623.9</v>
          </cell>
          <cell r="P43">
            <v>11831869.140000001</v>
          </cell>
          <cell r="Q43">
            <v>11836623.9</v>
          </cell>
          <cell r="R43">
            <v>0</v>
          </cell>
          <cell r="S43">
            <v>19.7</v>
          </cell>
          <cell r="T43">
            <v>45716</v>
          </cell>
          <cell r="U43">
            <v>5.226677974315483</v>
          </cell>
          <cell r="V43">
            <v>24.762</v>
          </cell>
          <cell r="W43">
            <v>5.226677974315483</v>
          </cell>
          <cell r="X43">
            <v>1.3540026246719161</v>
          </cell>
          <cell r="Y43">
            <v>6.1499999999999999E-2</v>
          </cell>
          <cell r="Z43">
            <v>0.1047878</v>
          </cell>
        </row>
        <row r="44">
          <cell r="M44" t="str">
            <v>Rancho Medical</v>
          </cell>
          <cell r="N44" t="str">
            <v>Rancho Medical</v>
          </cell>
          <cell r="O44">
            <v>17337943.43</v>
          </cell>
          <cell r="P44">
            <v>17337943.43</v>
          </cell>
          <cell r="Q44">
            <v>17337943.43</v>
          </cell>
          <cell r="R44">
            <v>0</v>
          </cell>
          <cell r="S44">
            <v>9.1189999999999998</v>
          </cell>
          <cell r="T44">
            <v>45688</v>
          </cell>
          <cell r="U44">
            <v>3.1208171482074882</v>
          </cell>
          <cell r="V44">
            <v>19.0098172481541</v>
          </cell>
          <cell r="W44">
            <v>3.1208171482074882</v>
          </cell>
          <cell r="X44">
            <v>2.4012273393633223</v>
          </cell>
          <cell r="Y44">
            <v>5.2499999999999998E-2</v>
          </cell>
          <cell r="Z44">
            <v>9.5657909111716705E-2</v>
          </cell>
        </row>
        <row r="45">
          <cell r="M45" t="str">
            <v>Reception Purchaser, LLC -First Out Term loan</v>
          </cell>
          <cell r="N45" t="str">
            <v>Reception Purchaser, LLC</v>
          </cell>
          <cell r="O45">
            <v>1403243.65</v>
          </cell>
          <cell r="P45">
            <v>1403243.65</v>
          </cell>
          <cell r="Q45">
            <v>1403243.65</v>
          </cell>
          <cell r="R45">
            <v>0</v>
          </cell>
          <cell r="S45">
            <v>193.1</v>
          </cell>
          <cell r="T45">
            <v>45657</v>
          </cell>
          <cell r="U45">
            <v>140.90989523491723</v>
          </cell>
          <cell r="V45">
            <v>6.3186192974996702</v>
          </cell>
          <cell r="W45">
            <v>140.90989523491723</v>
          </cell>
          <cell r="X45">
            <v>5.277117242144163E-2</v>
          </cell>
          <cell r="Y45">
            <v>8.3500000000000005E-2</v>
          </cell>
          <cell r="Z45">
            <v>0.1267268</v>
          </cell>
        </row>
        <row r="46">
          <cell r="M46" t="str">
            <v>Research Now Group, LLC and Dynata, LLC - First Out Term Loan</v>
          </cell>
          <cell r="N46" t="str">
            <v>Research Now / SSI</v>
          </cell>
          <cell r="O46">
            <v>1584191.58</v>
          </cell>
          <cell r="P46">
            <v>1584191.58</v>
          </cell>
          <cell r="Q46">
            <v>1584191.58</v>
          </cell>
          <cell r="R46">
            <v>0</v>
          </cell>
          <cell r="S46">
            <v>203</v>
          </cell>
          <cell r="T46">
            <v>45657</v>
          </cell>
          <cell r="U46">
            <v>4.4571243547748232</v>
          </cell>
          <cell r="V46">
            <v>159.053</v>
          </cell>
          <cell r="W46">
            <v>4.4571243547748232</v>
          </cell>
          <cell r="X46">
            <v>1.2681831953946003</v>
          </cell>
          <cell r="Y46">
            <v>5.2600000000000001E-2</v>
          </cell>
          <cell r="Z46">
            <v>9.5845899999999998E-2</v>
          </cell>
        </row>
        <row r="47">
          <cell r="M47" t="str">
            <v>Research Now Group, LLC and Dynata, LLC-Last Out Term loan</v>
          </cell>
          <cell r="N47" t="str">
            <v>Research Now / SSI</v>
          </cell>
          <cell r="O47">
            <v>5754732.6900000004</v>
          </cell>
          <cell r="P47">
            <v>5754732.6900000004</v>
          </cell>
          <cell r="Q47">
            <v>5754732.6900000004</v>
          </cell>
          <cell r="R47">
            <v>0</v>
          </cell>
          <cell r="S47">
            <v>203</v>
          </cell>
          <cell r="T47">
            <v>45657</v>
          </cell>
          <cell r="U47">
            <v>4.4571243547748232</v>
          </cell>
          <cell r="V47">
            <v>159.053</v>
          </cell>
          <cell r="W47">
            <v>4.4571243547748232</v>
          </cell>
          <cell r="X47">
            <v>1.2681831953946003</v>
          </cell>
          <cell r="Y47">
            <v>5.2600000000000001E-2</v>
          </cell>
          <cell r="Z47">
            <v>9.5845899999999998E-2</v>
          </cell>
        </row>
        <row r="48">
          <cell r="M48" t="str">
            <v>RTIC subsidiary Holdings, LLC</v>
          </cell>
          <cell r="N48" t="str">
            <v>RTIC</v>
          </cell>
          <cell r="O48">
            <v>12885087.720000001</v>
          </cell>
          <cell r="P48">
            <v>12885087.720000001</v>
          </cell>
          <cell r="Q48">
            <v>12885087.720000001</v>
          </cell>
          <cell r="R48">
            <v>0</v>
          </cell>
          <cell r="S48">
            <v>29.1311189009845</v>
          </cell>
          <cell r="T48">
            <v>45716</v>
          </cell>
          <cell r="U48">
            <v>4.9428833230417455</v>
          </cell>
          <cell r="V48">
            <v>27.504242122458013</v>
          </cell>
          <cell r="W48">
            <v>4.9428833230417455</v>
          </cell>
          <cell r="X48">
            <v>1.5549156472306127</v>
          </cell>
          <cell r="Y48">
            <v>5.7500000000000002E-2</v>
          </cell>
          <cell r="Z48">
            <v>0.10049200000000004</v>
          </cell>
        </row>
        <row r="49">
          <cell r="M49" t="str">
            <v>SV- Aero Holdings, LLC (Aeronix)</v>
          </cell>
          <cell r="N49" t="str">
            <v xml:space="preserve">Aeronix, Inc. </v>
          </cell>
          <cell r="O49">
            <v>795000</v>
          </cell>
          <cell r="P49">
            <v>795000</v>
          </cell>
          <cell r="Q49">
            <v>795000</v>
          </cell>
          <cell r="R49">
            <v>0</v>
          </cell>
          <cell r="S49">
            <v>30.100999999999999</v>
          </cell>
          <cell r="T49">
            <v>45657</v>
          </cell>
          <cell r="U49">
            <v>3.4534393649966515</v>
          </cell>
          <cell r="V49">
            <v>65.760529141423106</v>
          </cell>
          <cell r="W49">
            <v>3.4534393649966515</v>
          </cell>
          <cell r="X49">
            <v>2.3912919687790222</v>
          </cell>
          <cell r="Y49">
            <v>5.2499999999999998E-2</v>
          </cell>
          <cell r="Z49">
            <v>9.5491999999999994E-2</v>
          </cell>
        </row>
        <row r="50">
          <cell r="M50" t="str">
            <v>Sabel Systems Technology Solutions, LLC</v>
          </cell>
          <cell r="N50" t="str">
            <v>Sabel Systems</v>
          </cell>
          <cell r="O50">
            <v>5985000</v>
          </cell>
          <cell r="P50">
            <v>5985000</v>
          </cell>
          <cell r="Q50">
            <v>5985000</v>
          </cell>
          <cell r="R50">
            <v>0</v>
          </cell>
          <cell r="S50">
            <v>20</v>
          </cell>
          <cell r="T50">
            <v>45688</v>
          </cell>
          <cell r="U50">
            <v>3.2375410632233677</v>
          </cell>
          <cell r="V50">
            <v>23.808712999999997</v>
          </cell>
          <cell r="W50">
            <v>3.2375410632233677</v>
          </cell>
          <cell r="X50">
            <v>2.2892993269230768</v>
          </cell>
          <cell r="Y50">
            <v>6.25E-2</v>
          </cell>
          <cell r="Z50">
            <v>0.105492</v>
          </cell>
        </row>
        <row r="51">
          <cell r="M51" t="str">
            <v>Security 101</v>
          </cell>
          <cell r="N51" t="str">
            <v>Security 101</v>
          </cell>
          <cell r="O51">
            <v>3911704.47</v>
          </cell>
          <cell r="P51">
            <v>3911704.1</v>
          </cell>
          <cell r="Q51">
            <v>3911704.47</v>
          </cell>
          <cell r="R51">
            <v>0</v>
          </cell>
          <cell r="S51">
            <v>23.6</v>
          </cell>
          <cell r="T51">
            <v>45716</v>
          </cell>
          <cell r="U51">
            <v>3.1011520180631922</v>
          </cell>
          <cell r="V51">
            <v>32.781396625467998</v>
          </cell>
          <cell r="W51">
            <v>3.1011520180631922</v>
          </cell>
          <cell r="X51">
            <v>2.9570394423261934</v>
          </cell>
          <cell r="Y51">
            <v>5.6500000000000002E-2</v>
          </cell>
          <cell r="Z51">
            <v>9.9604000000000012E-2</v>
          </cell>
        </row>
        <row r="52">
          <cell r="M52" t="str">
            <v>Seaway Plastics</v>
          </cell>
          <cell r="N52" t="str">
            <v>Seaway Plastics</v>
          </cell>
          <cell r="O52">
            <v>608095.06000000006</v>
          </cell>
          <cell r="P52">
            <v>608095.06000000006</v>
          </cell>
          <cell r="Q52">
            <v>608095.06000000006</v>
          </cell>
          <cell r="R52">
            <v>0</v>
          </cell>
          <cell r="S52">
            <v>7.7889999999999997</v>
          </cell>
          <cell r="T52">
            <v>45716</v>
          </cell>
          <cell r="U52">
            <v>8.0163226520675543</v>
          </cell>
          <cell r="V52">
            <v>7.4296750000000005</v>
          </cell>
          <cell r="W52">
            <v>8.0163226520675543</v>
          </cell>
          <cell r="X52">
            <v>2.8889999999999998</v>
          </cell>
          <cell r="Y52">
            <v>6.1499999999999999E-2</v>
          </cell>
          <cell r="Z52">
            <v>0.104492</v>
          </cell>
        </row>
        <row r="53">
          <cell r="M53" t="str">
            <v>Sigma Defense Systems, LLC</v>
          </cell>
          <cell r="N53" t="str">
            <v>Sigma Defense</v>
          </cell>
          <cell r="O53">
            <v>18453743</v>
          </cell>
          <cell r="P53">
            <v>18453743.010000002</v>
          </cell>
          <cell r="Q53">
            <v>18453743</v>
          </cell>
          <cell r="R53">
            <v>0</v>
          </cell>
          <cell r="S53">
            <v>17.809999999999999</v>
          </cell>
          <cell r="T53">
            <v>45716</v>
          </cell>
          <cell r="U53">
            <v>4.3893982675291987</v>
          </cell>
          <cell r="V53">
            <v>30.719017000000001</v>
          </cell>
          <cell r="W53">
            <v>6.3288483482397888</v>
          </cell>
          <cell r="X53">
            <v>1.3250941787336632</v>
          </cell>
          <cell r="Y53">
            <v>6.9000000000000006E-2</v>
          </cell>
          <cell r="Z53">
            <v>0.11199199999999999</v>
          </cell>
        </row>
        <row r="54">
          <cell r="M54" t="str">
            <v xml:space="preserve">System Planning and Analysis, Inc. </v>
          </cell>
          <cell r="N54" t="str">
            <v xml:space="preserve">System Planning and Analysis, Inc. </v>
          </cell>
          <cell r="O54">
            <v>1279813.58</v>
          </cell>
          <cell r="P54">
            <v>1279276.33</v>
          </cell>
          <cell r="Q54">
            <v>1279813.58</v>
          </cell>
          <cell r="R54">
            <v>0</v>
          </cell>
          <cell r="S54">
            <v>23.908000000000001</v>
          </cell>
          <cell r="T54">
            <v>45657</v>
          </cell>
          <cell r="U54">
            <v>5.0369789038731625</v>
          </cell>
          <cell r="V54">
            <v>64.788669999999996</v>
          </cell>
          <cell r="W54">
            <v>5.0369789038731625</v>
          </cell>
          <cell r="X54">
            <v>4.8899999999999997</v>
          </cell>
          <cell r="Y54">
            <v>0.05</v>
          </cell>
          <cell r="Z54">
            <v>9.2849000000000001E-2</v>
          </cell>
        </row>
        <row r="55">
          <cell r="M55" t="str">
            <v>Team Services Group, LLC</v>
          </cell>
          <cell r="N55" t="str">
            <v>TEAM Services Group</v>
          </cell>
          <cell r="O55">
            <v>997500</v>
          </cell>
          <cell r="P55">
            <v>1000000</v>
          </cell>
          <cell r="Q55">
            <v>997500</v>
          </cell>
          <cell r="R55">
            <v>0</v>
          </cell>
          <cell r="S55">
            <v>64.400000000000006</v>
          </cell>
          <cell r="T55">
            <v>45565</v>
          </cell>
          <cell r="U55">
            <v>3.6794723700695746</v>
          </cell>
          <cell r="V55">
            <v>225.08199999999999</v>
          </cell>
          <cell r="W55">
            <v>4.2348255302511975</v>
          </cell>
          <cell r="X55">
            <v>2.3192853021185393</v>
          </cell>
          <cell r="Y55">
            <v>5.2499999999999998E-2</v>
          </cell>
          <cell r="Z55">
            <v>9.5408000000000007E-2</v>
          </cell>
        </row>
        <row r="56">
          <cell r="M56" t="str">
            <v>TCD 3.0 Jogger Acquisitionco, Inc. Term Loan</v>
          </cell>
          <cell r="N56" t="str">
            <v>TCD 3.0 Jogger Acquisitionco, Inc. Term Loan</v>
          </cell>
          <cell r="O56">
            <v>3930150.76</v>
          </cell>
          <cell r="P56">
            <v>3940075.38</v>
          </cell>
          <cell r="Q56">
            <v>3930150.76</v>
          </cell>
          <cell r="R56">
            <v>0</v>
          </cell>
          <cell r="S56">
            <v>19.100000000000001</v>
          </cell>
          <cell r="T56">
            <v>45716</v>
          </cell>
          <cell r="U56">
            <v>4.165045794397841</v>
          </cell>
          <cell r="V56">
            <v>14.03242384</v>
          </cell>
          <cell r="W56">
            <v>4.165045794397841</v>
          </cell>
          <cell r="X56">
            <v>1.9791032416991452</v>
          </cell>
          <cell r="Y56">
            <v>6.5000000000000002E-2</v>
          </cell>
          <cell r="Z56">
            <v>0.107992</v>
          </cell>
        </row>
        <row r="57">
          <cell r="M57" t="str">
            <v>The Bluebird Group LLC</v>
          </cell>
          <cell r="N57" t="str">
            <v>The Bluebird Group LLC</v>
          </cell>
          <cell r="O57">
            <v>3635030.3</v>
          </cell>
          <cell r="P57">
            <v>3635030.3</v>
          </cell>
          <cell r="Q57">
            <v>3635030.3</v>
          </cell>
          <cell r="R57">
            <v>0</v>
          </cell>
          <cell r="S57">
            <v>10.7069734882819</v>
          </cell>
          <cell r="T57">
            <v>45688</v>
          </cell>
          <cell r="U57">
            <v>1.9041139326058221</v>
          </cell>
          <cell r="V57">
            <v>25.761833485913968</v>
          </cell>
          <cell r="W57">
            <v>1.9041139326058221</v>
          </cell>
          <cell r="X57">
            <v>4.2376185156922217</v>
          </cell>
          <cell r="Y57">
            <v>6.6500000000000004E-2</v>
          </cell>
          <cell r="Z57">
            <v>0.10949199999999998</v>
          </cell>
        </row>
        <row r="58">
          <cell r="M58" t="str">
            <v>The Vertex Companies, LLC</v>
          </cell>
          <cell r="N58" t="str">
            <v>Vertex</v>
          </cell>
          <cell r="O58">
            <v>6982500</v>
          </cell>
          <cell r="P58">
            <v>6982500</v>
          </cell>
          <cell r="Q58">
            <v>6982500</v>
          </cell>
          <cell r="R58">
            <v>0</v>
          </cell>
          <cell r="S58">
            <v>12.618246884917289</v>
          </cell>
          <cell r="T58">
            <v>45716</v>
          </cell>
          <cell r="U58">
            <v>5.1166856825680727</v>
          </cell>
          <cell r="V58">
            <v>32.428999999999995</v>
          </cell>
          <cell r="W58">
            <v>5.1166856825680727</v>
          </cell>
          <cell r="X58">
            <v>2.7707716020902322</v>
          </cell>
          <cell r="Y58">
            <v>0.05</v>
          </cell>
          <cell r="Z58">
            <v>9.3140999999999988E-2</v>
          </cell>
        </row>
        <row r="59">
          <cell r="M59" t="str">
            <v>Transgo</v>
          </cell>
          <cell r="N59" t="str">
            <v>Transgo</v>
          </cell>
          <cell r="O59">
            <v>3186410.84</v>
          </cell>
          <cell r="P59">
            <v>3186410.85</v>
          </cell>
          <cell r="Q59">
            <v>3186410.84</v>
          </cell>
          <cell r="R59">
            <v>0</v>
          </cell>
          <cell r="S59">
            <v>17.036040673441981</v>
          </cell>
          <cell r="T59">
            <v>45716</v>
          </cell>
          <cell r="U59">
            <v>3.5359863824700994</v>
          </cell>
          <cell r="V59">
            <v>19.45595728</v>
          </cell>
          <cell r="W59">
            <v>3.5359863824700994</v>
          </cell>
          <cell r="X59">
            <v>2.0442004493272981</v>
          </cell>
          <cell r="Y59">
            <v>5.7500000000000002E-2</v>
          </cell>
          <cell r="Z59">
            <v>0.10074899999999998</v>
          </cell>
        </row>
        <row r="60">
          <cell r="M60" t="str">
            <v>UROLOGY MANAGEMENT HOLDINGS, INC.</v>
          </cell>
          <cell r="N60" t="str">
            <v>UROLOGY MANAGEMENT HOLDINGS, INC.</v>
          </cell>
          <cell r="O60">
            <v>2672274.0099999998</v>
          </cell>
          <cell r="P60">
            <v>2672274.0499999998</v>
          </cell>
          <cell r="Q60">
            <v>2672274.0099999998</v>
          </cell>
          <cell r="R60">
            <v>0</v>
          </cell>
          <cell r="S60">
            <v>86.645686333884868</v>
          </cell>
          <cell r="T60">
            <v>45657</v>
          </cell>
          <cell r="U60">
            <v>4.3827134179275724</v>
          </cell>
          <cell r="V60">
            <v>115.77626012333199</v>
          </cell>
          <cell r="W60">
            <v>4.3827134179275724</v>
          </cell>
          <cell r="X60">
            <v>1.6708015821571267</v>
          </cell>
          <cell r="Y60">
            <v>5.5E-2</v>
          </cell>
          <cell r="Z60">
            <v>9.8287800000000008E-2</v>
          </cell>
        </row>
        <row r="61">
          <cell r="M61" t="str">
            <v>US Fertility</v>
          </cell>
          <cell r="N61" t="str">
            <v>US Fertility</v>
          </cell>
          <cell r="O61">
            <v>4987500</v>
          </cell>
          <cell r="P61">
            <v>4987500</v>
          </cell>
          <cell r="Q61">
            <v>4987500</v>
          </cell>
          <cell r="R61">
            <v>0</v>
          </cell>
          <cell r="S61">
            <v>110.91983311059916</v>
          </cell>
          <cell r="T61">
            <v>45657</v>
          </cell>
          <cell r="U61">
            <v>4.250890233362143</v>
          </cell>
          <cell r="V61">
            <v>115.7</v>
          </cell>
          <cell r="W61">
            <v>4.250890233362143</v>
          </cell>
          <cell r="X61">
            <v>1.6915204678362572</v>
          </cell>
          <cell r="Y61">
            <v>4.4999999999999998E-2</v>
          </cell>
          <cell r="Z61">
            <v>8.82878E-2</v>
          </cell>
        </row>
        <row r="62">
          <cell r="M62" t="str">
            <v>Watchtower Buyer, LLC</v>
          </cell>
          <cell r="N62" t="str">
            <v>Watchtower Buyer, LLC</v>
          </cell>
          <cell r="O62">
            <v>6443355.6400000006</v>
          </cell>
          <cell r="P62">
            <v>6443355.6399999997</v>
          </cell>
          <cell r="Q62">
            <v>6443355.6400000006</v>
          </cell>
          <cell r="R62">
            <v>0</v>
          </cell>
          <cell r="S62">
            <v>10.08728105</v>
          </cell>
          <cell r="T62">
            <v>45716</v>
          </cell>
          <cell r="U62">
            <v>4.8891217526114934</v>
          </cell>
          <cell r="V62">
            <v>10.9838868241143</v>
          </cell>
          <cell r="W62">
            <v>4.8891217526114934</v>
          </cell>
          <cell r="X62">
            <v>1.6233362836140151</v>
          </cell>
          <cell r="Y62">
            <v>0.06</v>
          </cell>
          <cell r="Z62">
            <v>0.10299200000000001</v>
          </cell>
        </row>
        <row r="63">
          <cell r="M63" t="str">
            <v>Watterson</v>
          </cell>
          <cell r="N63" t="str">
            <v>Watterson</v>
          </cell>
          <cell r="O63">
            <v>9328396.75</v>
          </cell>
          <cell r="P63">
            <v>9328396.7400000002</v>
          </cell>
          <cell r="Q63">
            <v>9328396.75</v>
          </cell>
          <cell r="R63">
            <v>0</v>
          </cell>
          <cell r="S63">
            <v>27.15523460836944</v>
          </cell>
          <cell r="T63">
            <v>45688</v>
          </cell>
          <cell r="U63">
            <v>12.266944435520687</v>
          </cell>
          <cell r="V63">
            <v>9.6868974800207592</v>
          </cell>
          <cell r="W63">
            <v>12.266944435520687</v>
          </cell>
          <cell r="X63">
            <v>0.61772235313048207</v>
          </cell>
          <cell r="Y63">
            <v>0</v>
          </cell>
          <cell r="Z63">
            <v>0.12000000000000001</v>
          </cell>
        </row>
        <row r="64">
          <cell r="M64" t="str">
            <v>Zips Car Wash, LLC</v>
          </cell>
          <cell r="N64" t="str">
            <v>Zips Car Wash, LLC</v>
          </cell>
          <cell r="O64">
            <v>8577681.2599999998</v>
          </cell>
          <cell r="P64">
            <v>8577681.1799999997</v>
          </cell>
          <cell r="Q64">
            <v>8577681.2599999998</v>
          </cell>
          <cell r="R64">
            <v>0</v>
          </cell>
          <cell r="S64">
            <v>71.046999999999997</v>
          </cell>
          <cell r="T64">
            <v>45688</v>
          </cell>
          <cell r="U64">
            <v>11.154058607607812</v>
          </cell>
          <cell r="V64">
            <v>55.795999999999999</v>
          </cell>
          <cell r="W64">
            <v>11.154058607607812</v>
          </cell>
          <cell r="X64">
            <v>0.62771833901470409</v>
          </cell>
          <cell r="Y64">
            <v>0</v>
          </cell>
          <cell r="Z64">
            <v>0</v>
          </cell>
        </row>
        <row r="65">
          <cell r="M65" t="str">
            <v>By Light</v>
          </cell>
          <cell r="N65" t="str">
            <v>By Light</v>
          </cell>
          <cell r="O65">
            <v>14824343.59</v>
          </cell>
          <cell r="P65">
            <v>14824343.59</v>
          </cell>
          <cell r="Q65">
            <v>14824343.59</v>
          </cell>
          <cell r="R65">
            <v>0</v>
          </cell>
          <cell r="S65">
            <v>26.006</v>
          </cell>
          <cell r="T65">
            <v>45716</v>
          </cell>
          <cell r="U65">
            <v>4.974015445247618</v>
          </cell>
          <cell r="V65">
            <v>108.512731</v>
          </cell>
          <cell r="W65">
            <v>5.2112962902021147</v>
          </cell>
          <cell r="X65">
            <v>1.7457745066963752</v>
          </cell>
          <cell r="Y65">
            <v>6.4699999999999994E-2</v>
          </cell>
          <cell r="Z65">
            <v>0.107927</v>
          </cell>
        </row>
        <row r="66">
          <cell r="M66" t="str">
            <v>Federal Advisory Partners</v>
          </cell>
          <cell r="N66" t="str">
            <v>Federal Advisory Partners</v>
          </cell>
          <cell r="O66">
            <v>17381437.5</v>
          </cell>
          <cell r="P66">
            <v>17381437.5</v>
          </cell>
          <cell r="Q66">
            <v>17381437.5</v>
          </cell>
          <cell r="R66">
            <v>0</v>
          </cell>
          <cell r="S66">
            <v>47.274999999999999</v>
          </cell>
          <cell r="T66">
            <v>45716</v>
          </cell>
          <cell r="U66">
            <v>4.4216391314769723</v>
          </cell>
          <cell r="V66">
            <v>71.800262879877536</v>
          </cell>
          <cell r="W66">
            <v>4.6924708862650153</v>
          </cell>
          <cell r="X66">
            <v>2.2291668328924894</v>
          </cell>
          <cell r="Y66">
            <v>6.7500000000000004E-2</v>
          </cell>
          <cell r="Z66">
            <v>0.11049173862500003</v>
          </cell>
        </row>
        <row r="67">
          <cell r="M67" t="str">
            <v>Arcfield</v>
          </cell>
          <cell r="N67" t="str">
            <v>Arcfield</v>
          </cell>
          <cell r="O67">
            <v>11620875</v>
          </cell>
          <cell r="P67">
            <v>11620875</v>
          </cell>
          <cell r="Q67">
            <v>11620875</v>
          </cell>
          <cell r="R67">
            <v>0</v>
          </cell>
          <cell r="S67">
            <v>35.9</v>
          </cell>
          <cell r="T67">
            <v>45565</v>
          </cell>
          <cell r="U67">
            <v>3.9264544790652387</v>
          </cell>
          <cell r="V67">
            <v>65.727999999999994</v>
          </cell>
          <cell r="W67">
            <v>3.9264544790652387</v>
          </cell>
          <cell r="X67">
            <v>1.786815277966562</v>
          </cell>
          <cell r="Y67">
            <v>0.05</v>
          </cell>
          <cell r="Z67">
            <v>9.2997999999999997E-2</v>
          </cell>
        </row>
        <row r="68">
          <cell r="M68" t="str">
            <v>Bland Landscaping</v>
          </cell>
          <cell r="N68" t="str">
            <v>Bland Landscaping</v>
          </cell>
          <cell r="O68">
            <v>12073550.6</v>
          </cell>
          <cell r="P68">
            <v>12103810.130000001</v>
          </cell>
          <cell r="Q68">
            <v>12073550.6</v>
          </cell>
          <cell r="R68">
            <v>0</v>
          </cell>
          <cell r="S68">
            <v>10.888</v>
          </cell>
          <cell r="T68">
            <v>45688</v>
          </cell>
          <cell r="U68">
            <v>4.3677475147822218</v>
          </cell>
          <cell r="V68">
            <v>13.024529189809741</v>
          </cell>
          <cell r="W68">
            <v>4.3677475147822218</v>
          </cell>
          <cell r="X68">
            <v>2.1520865898446826</v>
          </cell>
          <cell r="Y68">
            <v>4.7500000000000001E-2</v>
          </cell>
          <cell r="Z68">
            <v>9.0492000000000031E-2</v>
          </cell>
        </row>
        <row r="69">
          <cell r="M69" t="str">
            <v xml:space="preserve">Lynx Technologies </v>
          </cell>
          <cell r="N69" t="str">
            <v xml:space="preserve">Lynx Technologies </v>
          </cell>
          <cell r="O69">
            <v>19022012</v>
          </cell>
          <cell r="P69">
            <v>19069806</v>
          </cell>
          <cell r="Q69">
            <v>19022012</v>
          </cell>
          <cell r="R69">
            <v>0</v>
          </cell>
          <cell r="S69">
            <v>7.1516203608031397</v>
          </cell>
          <cell r="T69">
            <v>45688</v>
          </cell>
          <cell r="U69">
            <v>3.7932843137254904</v>
          </cell>
          <cell r="V69">
            <v>20.399999999999999</v>
          </cell>
          <cell r="W69">
            <v>4.2834803921568625</v>
          </cell>
          <cell r="X69">
            <v>2.193548387096774</v>
          </cell>
          <cell r="Y69">
            <v>5.7500000000000002E-2</v>
          </cell>
          <cell r="Z69">
            <v>0.10049200000000001</v>
          </cell>
        </row>
        <row r="70">
          <cell r="M70" t="str">
            <v>VRS Buyer</v>
          </cell>
          <cell r="N70" t="str">
            <v>Velocity Rail Solutions</v>
          </cell>
          <cell r="O70">
            <v>9000000</v>
          </cell>
          <cell r="P70">
            <v>9000000</v>
          </cell>
          <cell r="Q70">
            <v>9000000</v>
          </cell>
          <cell r="R70">
            <v>0</v>
          </cell>
          <cell r="S70">
            <v>16.096857</v>
          </cell>
          <cell r="T70">
            <v>45688</v>
          </cell>
          <cell r="U70">
            <v>3.8470242979732006</v>
          </cell>
          <cell r="V70">
            <v>16.096857</v>
          </cell>
          <cell r="W70">
            <v>3.8470242979732006</v>
          </cell>
          <cell r="X70">
            <v>2.0905009090909092</v>
          </cell>
          <cell r="Y70">
            <v>4.7500000000000001E-2</v>
          </cell>
          <cell r="Z70">
            <v>9.0785999999999992E-2</v>
          </cell>
        </row>
        <row r="71">
          <cell r="M71" t="str">
            <v>RealmOne</v>
          </cell>
          <cell r="N71" t="str">
            <v>RealmOne</v>
          </cell>
          <cell r="O71">
            <v>6000000</v>
          </cell>
          <cell r="P71">
            <v>5985000</v>
          </cell>
          <cell r="Q71">
            <v>6000000</v>
          </cell>
          <cell r="R71">
            <v>0</v>
          </cell>
          <cell r="S71">
            <v>25.092843674999902</v>
          </cell>
          <cell r="T71">
            <v>45716</v>
          </cell>
          <cell r="U71">
            <v>5.0326621901750501</v>
          </cell>
          <cell r="V71">
            <v>22.916578868566667</v>
          </cell>
          <cell r="W71">
            <v>5.0326621901750501</v>
          </cell>
          <cell r="X71">
            <v>1.6473026517776352</v>
          </cell>
          <cell r="Y71">
            <v>5.2499999999999998E-2</v>
          </cell>
          <cell r="Z71">
            <v>9.5738400000000001E-2</v>
          </cell>
        </row>
        <row r="72">
          <cell r="M72" t="str">
            <v>Seacoast</v>
          </cell>
          <cell r="N72" t="str">
            <v>Seacoast Service Partners</v>
          </cell>
          <cell r="O72">
            <v>4987500</v>
          </cell>
          <cell r="P72">
            <v>5000000</v>
          </cell>
          <cell r="Q72">
            <v>4987500</v>
          </cell>
          <cell r="R72">
            <v>0</v>
          </cell>
          <cell r="S72">
            <v>10.5</v>
          </cell>
          <cell r="T72">
            <v>45688</v>
          </cell>
          <cell r="U72">
            <v>2.4581741381271631</v>
          </cell>
          <cell r="V72">
            <v>9.394128073283559</v>
          </cell>
          <cell r="W72">
            <v>2.4581741381271631</v>
          </cell>
          <cell r="X72">
            <v>4.6970640366417795</v>
          </cell>
          <cell r="Y72">
            <v>0.05</v>
          </cell>
          <cell r="Z72">
            <v>9.2992000000000005E-2</v>
          </cell>
        </row>
        <row r="73">
          <cell r="M73" t="str">
            <v>Marketplace</v>
          </cell>
          <cell r="N73" t="str">
            <v>Marketplace Events</v>
          </cell>
          <cell r="O73">
            <v>20000000</v>
          </cell>
          <cell r="P73">
            <v>20000000</v>
          </cell>
          <cell r="Q73">
            <v>20000000</v>
          </cell>
          <cell r="R73">
            <v>0</v>
          </cell>
          <cell r="S73">
            <v>10.461</v>
          </cell>
          <cell r="T73">
            <v>45688</v>
          </cell>
          <cell r="U73">
            <v>5.1055418776420307</v>
          </cell>
          <cell r="V73">
            <v>21.527000000000001</v>
          </cell>
          <cell r="W73">
            <v>5.1055418776420307</v>
          </cell>
          <cell r="X73">
            <v>1.7958621840327023</v>
          </cell>
          <cell r="Y73">
            <v>5.2499999999999998E-2</v>
          </cell>
          <cell r="Z73">
            <v>9.4666E-2</v>
          </cell>
        </row>
        <row r="74">
          <cell r="M74" t="str">
            <v>Emergency Care Partners LLC</v>
          </cell>
          <cell r="N74" t="str">
            <v>Emergency Care Partners</v>
          </cell>
          <cell r="O74">
            <v>995000</v>
          </cell>
          <cell r="P74">
            <v>995000</v>
          </cell>
          <cell r="Q74">
            <v>995000</v>
          </cell>
          <cell r="R74">
            <v>0</v>
          </cell>
          <cell r="S74">
            <v>35.390895498587639</v>
          </cell>
          <cell r="T74">
            <v>45688</v>
          </cell>
          <cell r="U74">
            <v>4.5930980457877837</v>
          </cell>
          <cell r="V74">
            <v>33.876599377776309</v>
          </cell>
          <cell r="W74">
            <v>4.5930980457877837</v>
          </cell>
          <cell r="X74">
            <v>1.6555568317143732</v>
          </cell>
          <cell r="Y74">
            <v>5.5E-2</v>
          </cell>
          <cell r="Z74">
            <v>9.7992000000000024E-2</v>
          </cell>
        </row>
        <row r="75">
          <cell r="M75" t="str">
            <v>Amsive Holding Corporation</v>
          </cell>
          <cell r="N75" t="str">
            <v>Vision Purchaser Corporation</v>
          </cell>
          <cell r="O75">
            <v>15159.59</v>
          </cell>
          <cell r="P75">
            <v>15159.59</v>
          </cell>
          <cell r="Q75">
            <v>15159.59</v>
          </cell>
          <cell r="R75">
            <v>0</v>
          </cell>
          <cell r="S75">
            <v>21.719323313075027</v>
          </cell>
          <cell r="T75">
            <v>45716</v>
          </cell>
          <cell r="U75">
            <v>4.0486433518033644</v>
          </cell>
          <cell r="V75">
            <v>38.704322999999995</v>
          </cell>
          <cell r="W75">
            <v>6.0923427080742387</v>
          </cell>
          <cell r="X75">
            <v>1.3027896941745158</v>
          </cell>
          <cell r="Y75">
            <v>6.25E-2</v>
          </cell>
          <cell r="Z75">
            <v>0.10673393426535414</v>
          </cell>
        </row>
        <row r="76">
          <cell r="M76" t="str">
            <v>LAV Gear Holdings, Inc.</v>
          </cell>
          <cell r="N76" t="str">
            <v>LAV Gear Holdings, Inc.</v>
          </cell>
          <cell r="O76">
            <v>128446.17</v>
          </cell>
          <cell r="P76">
            <v>128446.17</v>
          </cell>
          <cell r="Q76">
            <v>128446.17</v>
          </cell>
          <cell r="R76">
            <v>0</v>
          </cell>
          <cell r="S76">
            <v>73.041018999999991</v>
          </cell>
          <cell r="T76">
            <v>45716</v>
          </cell>
          <cell r="U76">
            <v>7.2458251177647179</v>
          </cell>
          <cell r="V76">
            <v>64.493000000000009</v>
          </cell>
          <cell r="W76">
            <v>7.6947110433690469</v>
          </cell>
          <cell r="X76">
            <v>1.1286641815859018</v>
          </cell>
          <cell r="Y76">
            <v>0</v>
          </cell>
          <cell r="Z76">
            <v>0.1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IQ_LinkingNames"/>
      <sheetName val="Instructions"/>
      <sheetName val="Varagon"/>
      <sheetName val="Borrower Stats"/>
      <sheetName val="Securities Stats Backup"/>
      <sheetName val="PP-TSO Borrowing Base"/>
      <sheetName val="Borrower Stats (Quarterly)"/>
      <sheetName val="Securities Stats"/>
      <sheetName val="Industry List"/>
      <sheetName val="NatWest Borrowing Base"/>
      <sheetName val="PennantPark Counter"/>
      <sheetName val="Comparison"/>
      <sheetName val="SOI Mapping"/>
      <sheetName val="PSSL II Borrowing Base"/>
      <sheetName val="PSSL Borrowing Base"/>
      <sheetName val="PFLT Borrowing Base"/>
      <sheetName val="PSCF Lev SPV Borrowing Base"/>
      <sheetName val="PCOF II Borrowing Base"/>
      <sheetName val="PCOF III Borrrowing Base"/>
      <sheetName val="PCOF IV"/>
      <sheetName val="BNP Borrowing Base PSLF JV (PIF"/>
      <sheetName val="Ratings"/>
      <sheetName val="Exited - Borrower Stats"/>
      <sheetName val="Exited - Security Stats"/>
      <sheetName val="BSP (SPCA) Borrowing Base"/>
      <sheetName val="PB_CACHE_J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8">
          <cell r="A8" t="str">
            <v>Family Name</v>
          </cell>
          <cell r="B8" t="str">
            <v>Security</v>
          </cell>
          <cell r="C8" t="str">
            <v>Family Name</v>
          </cell>
          <cell r="D8" t="str">
            <v>SOI Name</v>
          </cell>
          <cell r="E8" t="str">
            <v>Moody's Industry</v>
          </cell>
          <cell r="F8" t="str">
            <v>Security Type</v>
          </cell>
          <cell r="G8" t="str">
            <v>Loan Type</v>
          </cell>
          <cell r="H8" t="str">
            <v>Seniority</v>
          </cell>
          <cell r="I8" t="str">
            <v>Credit Estimate</v>
          </cell>
          <cell r="J8" t="str">
            <v>LIBOR Floor</v>
          </cell>
          <cell r="K8" t="str">
            <v>Cash Spread</v>
          </cell>
          <cell r="L8" t="str">
            <v>Maturity Date</v>
          </cell>
          <cell r="M8" t="str">
            <v>Domicile</v>
          </cell>
          <cell r="N8" t="str">
            <v>Currency</v>
          </cell>
          <cell r="O8" t="str">
            <v>Assigned 
Value per BNP</v>
          </cell>
          <cell r="P8" t="str">
            <v>Eligible Collateral Loan
(double check the checklist for info)</v>
          </cell>
          <cell r="Q8" t="str">
            <v>Revaluation Event</v>
          </cell>
          <cell r="R8" t="str">
            <v>Covenant Type</v>
          </cell>
          <cell r="S8" t="str">
            <v>Covenant 
Lite</v>
          </cell>
          <cell r="T8" t="str">
            <v>Updated as of</v>
          </cell>
          <cell r="U8" t="str">
            <v>ABL / FO Leverage Ratio</v>
          </cell>
          <cell r="V8" t="str">
            <v>Net Senior Leverage Ratio</v>
          </cell>
          <cell r="W8" t="str">
            <v>EBITDA Trailing 12 Mons</v>
          </cell>
          <cell r="X8" t="str">
            <v>Global Original Facility</v>
          </cell>
          <cell r="Y8" t="str">
            <v>EBITDA
(at acquisition)</v>
          </cell>
          <cell r="Z8" t="str">
            <v>Cash Interest Coverage Ratio (at acquisition)</v>
          </cell>
          <cell r="AA8" t="str">
            <v>Senior Net Leverage Ratio (at acquisition)</v>
          </cell>
          <cell r="AB8" t="str">
            <v>Total Leverage Ratio
(at acquisition)</v>
          </cell>
          <cell r="AC8" t="str">
            <v>Date of Latest Financial Reporting</v>
          </cell>
          <cell r="AD8" t="str">
            <v>Senior Leverage Ratio
(current)</v>
          </cell>
          <cell r="AE8" t="str">
            <v>Change in Net Senior Lev Ratio Since Acquisition</v>
          </cell>
          <cell r="AF8" t="str">
            <v>Total Leverage Ratio
(current)</v>
          </cell>
          <cell r="AG8" t="str">
            <v>Change in Total Lev Ratio Since Acquisition</v>
          </cell>
          <cell r="AH8" t="str">
            <v>Cash Interest Coverage Ratio (current)</v>
          </cell>
          <cell r="AI8" t="str">
            <v>Change in Cash Interest Coverage Ratio Since Acquisition</v>
          </cell>
        </row>
        <row r="9">
          <cell r="A9" t="str">
            <v>LAV Gear Holdings, Inc.</v>
          </cell>
          <cell r="B9" t="str">
            <v>4Wall Entertainment (Term Loan)</v>
          </cell>
          <cell r="C9" t="str">
            <v>4Wall Entertainment</v>
          </cell>
          <cell r="E9" t="str">
            <v>Professional Services</v>
          </cell>
          <cell r="F9" t="str">
            <v>First Lien</v>
          </cell>
          <cell r="G9" t="str">
            <v>FL</v>
          </cell>
          <cell r="H9" t="str">
            <v>Senior Secured</v>
          </cell>
          <cell r="I9" t="str">
            <v>CCC*</v>
          </cell>
          <cell r="J9">
            <v>0.01</v>
          </cell>
          <cell r="K9">
            <v>6.25E-2</v>
          </cell>
          <cell r="L9">
            <v>45961</v>
          </cell>
          <cell r="M9" t="str">
            <v>USA</v>
          </cell>
          <cell r="N9" t="str">
            <v>USD</v>
          </cell>
          <cell r="O9">
            <v>100</v>
          </cell>
          <cell r="P9" t="str">
            <v>Y</v>
          </cell>
          <cell r="Q9" t="str">
            <v>Y</v>
          </cell>
          <cell r="R9" t="str">
            <v>Maintenance Covenants</v>
          </cell>
          <cell r="S9" t="str">
            <v>No</v>
          </cell>
          <cell r="T9">
            <v>45747</v>
          </cell>
          <cell r="V9">
            <v>7.8890552115768466</v>
          </cell>
          <cell r="W9">
            <v>60.120000000000005</v>
          </cell>
          <cell r="X9">
            <v>240</v>
          </cell>
          <cell r="Y9">
            <v>73.041018999999991</v>
          </cell>
          <cell r="Z9">
            <v>2.7285316602756509</v>
          </cell>
          <cell r="AA9">
            <v>4.2046921607158856</v>
          </cell>
          <cell r="AB9">
            <v>4.2046921607158856</v>
          </cell>
          <cell r="AC9">
            <v>45747</v>
          </cell>
          <cell r="AD9">
            <v>7.8890552115768466</v>
          </cell>
          <cell r="AE9">
            <v>3.6843630508609611</v>
          </cell>
          <cell r="AF9">
            <v>8.3705921377245502</v>
          </cell>
          <cell r="AG9">
            <v>4.1658999770086647</v>
          </cell>
          <cell r="AH9">
            <v>1.0521341943613169</v>
          </cell>
          <cell r="AI9">
            <v>-1.6763974659143339</v>
          </cell>
        </row>
        <row r="10">
          <cell r="A10" t="str">
            <v>Alpine Acquisition Corp II</v>
          </cell>
          <cell r="B10" t="str">
            <v>48Forty (Term Loan)</v>
          </cell>
          <cell r="C10" t="str">
            <v>48Forty</v>
          </cell>
          <cell r="E10" t="str">
            <v>Containers &amp; Packaging</v>
          </cell>
          <cell r="F10" t="str">
            <v>First Lien</v>
          </cell>
          <cell r="G10" t="str">
            <v>FL</v>
          </cell>
          <cell r="H10" t="str">
            <v>Senior Secured</v>
          </cell>
          <cell r="I10" t="str">
            <v/>
          </cell>
          <cell r="J10">
            <v>0.01</v>
          </cell>
          <cell r="K10">
            <v>0</v>
          </cell>
          <cell r="L10">
            <v>47452</v>
          </cell>
          <cell r="M10" t="str">
            <v>USA</v>
          </cell>
          <cell r="N10" t="str">
            <v>USD</v>
          </cell>
          <cell r="O10">
            <v>100</v>
          </cell>
          <cell r="P10" t="str">
            <v>Y</v>
          </cell>
          <cell r="Q10" t="str">
            <v>Y</v>
          </cell>
          <cell r="R10" t="str">
            <v>Maintenance Covenants</v>
          </cell>
          <cell r="S10" t="str">
            <v>No</v>
          </cell>
          <cell r="T10">
            <v>45716</v>
          </cell>
          <cell r="V10">
            <v>17.877092532388762</v>
          </cell>
          <cell r="W10">
            <v>103.045</v>
          </cell>
          <cell r="X10">
            <v>406</v>
          </cell>
          <cell r="Y10">
            <v>73.041018999999991</v>
          </cell>
          <cell r="Z10">
            <v>2.7285316602756509</v>
          </cell>
          <cell r="AA10">
            <v>4.2046921607158856</v>
          </cell>
          <cell r="AB10">
            <v>4.2046921607158856</v>
          </cell>
          <cell r="AC10">
            <v>45716</v>
          </cell>
          <cell r="AD10">
            <v>17.877092532388762</v>
          </cell>
          <cell r="AE10">
            <v>13.672400371672875</v>
          </cell>
          <cell r="AF10">
            <v>18.393701780775388</v>
          </cell>
          <cell r="AG10">
            <v>14.189009620059501</v>
          </cell>
          <cell r="AH10">
            <v>0.67151291609102526</v>
          </cell>
          <cell r="AI10">
            <v>-2.0570187441846257</v>
          </cell>
        </row>
        <row r="11">
          <cell r="A11" t="str">
            <v>Ad.net</v>
          </cell>
          <cell r="B11" t="str">
            <v>Ad.net (Term Loan)</v>
          </cell>
          <cell r="C11" t="str">
            <v>Ad.net</v>
          </cell>
          <cell r="E11" t="str">
            <v>Media</v>
          </cell>
          <cell r="F11" t="str">
            <v>First Lien</v>
          </cell>
          <cell r="G11" t="str">
            <v>FL</v>
          </cell>
          <cell r="H11" t="str">
            <v>Senior Secured</v>
          </cell>
          <cell r="I11" t="str">
            <v>B-*</v>
          </cell>
          <cell r="J11">
            <v>0.01</v>
          </cell>
          <cell r="K11">
            <v>0.06</v>
          </cell>
          <cell r="L11">
            <v>46149</v>
          </cell>
          <cell r="M11" t="str">
            <v>USA</v>
          </cell>
          <cell r="N11" t="str">
            <v>USD</v>
          </cell>
          <cell r="O11">
            <v>100</v>
          </cell>
          <cell r="P11" t="str">
            <v>Y</v>
          </cell>
          <cell r="Q11" t="str">
            <v>N</v>
          </cell>
          <cell r="R11" t="str">
            <v>Maintenance Covenants</v>
          </cell>
          <cell r="S11" t="str">
            <v>No</v>
          </cell>
          <cell r="T11">
            <v>45747</v>
          </cell>
          <cell r="V11">
            <v>4.1400605565340891</v>
          </cell>
          <cell r="W11">
            <v>13.117539197413146</v>
          </cell>
          <cell r="X11">
            <v>60</v>
          </cell>
          <cell r="Y11">
            <v>13.832999999999998</v>
          </cell>
          <cell r="Z11">
            <v>3.2169767441860464</v>
          </cell>
          <cell r="AA11">
            <v>4.2292344393840819</v>
          </cell>
          <cell r="AB11">
            <v>4.2292344393840819</v>
          </cell>
          <cell r="AC11">
            <v>45747</v>
          </cell>
          <cell r="AD11">
            <v>4.1400605565340891</v>
          </cell>
          <cell r="AE11">
            <v>-8.9173882849992836E-2</v>
          </cell>
          <cell r="AF11">
            <v>4.1400605565340891</v>
          </cell>
          <cell r="AG11">
            <v>-8.9173882849992836E-2</v>
          </cell>
          <cell r="AH11">
            <v>1.867987097895194</v>
          </cell>
          <cell r="AI11">
            <v>-1.3489896462908524</v>
          </cell>
        </row>
        <row r="12">
          <cell r="A12" t="str">
            <v>alphabroder</v>
          </cell>
          <cell r="B12" t="str">
            <v>alphabroder</v>
          </cell>
          <cell r="C12" t="str">
            <v>alphabroder</v>
          </cell>
          <cell r="E12" t="e">
            <v>#N/A</v>
          </cell>
          <cell r="F12" t="str">
            <v>First Lien</v>
          </cell>
          <cell r="G12" t="str">
            <v>FL</v>
          </cell>
          <cell r="H12" t="str">
            <v>Senior Secured</v>
          </cell>
          <cell r="I12" t="str">
            <v/>
          </cell>
          <cell r="J12">
            <v>0.01</v>
          </cell>
          <cell r="K12">
            <v>0.06</v>
          </cell>
          <cell r="L12">
            <v>45993</v>
          </cell>
          <cell r="M12" t="str">
            <v>USA</v>
          </cell>
          <cell r="N12" t="str">
            <v>USD</v>
          </cell>
          <cell r="O12">
            <v>100</v>
          </cell>
          <cell r="P12" t="str">
            <v>Y</v>
          </cell>
          <cell r="Q12" t="e">
            <v>#N/A</v>
          </cell>
          <cell r="R12" t="str">
            <v>Maintenance Covenants</v>
          </cell>
          <cell r="S12" t="str">
            <v>No</v>
          </cell>
          <cell r="T12" t="e">
            <v>#N/A</v>
          </cell>
          <cell r="V12" t="e">
            <v>#DIV/0!</v>
          </cell>
          <cell r="W12">
            <v>0</v>
          </cell>
          <cell r="X12">
            <v>460</v>
          </cell>
          <cell r="Y12">
            <v>164</v>
          </cell>
          <cell r="Z12">
            <v>4.0599999999999996</v>
          </cell>
          <cell r="AA12">
            <v>2.2799999999999998</v>
          </cell>
          <cell r="AB12">
            <v>2.2799999999999998</v>
          </cell>
          <cell r="AC12" t="e">
            <v>#N/A</v>
          </cell>
          <cell r="AD12" t="e">
            <v>#N/A</v>
          </cell>
          <cell r="AE12" t="e">
            <v>#N/A</v>
          </cell>
          <cell r="AF12" t="e">
            <v>#N/A</v>
          </cell>
          <cell r="AG12" t="e">
            <v>#N/A</v>
          </cell>
          <cell r="AH12" t="e">
            <v>#N/A</v>
          </cell>
          <cell r="AI12" t="e">
            <v>#N/A</v>
          </cell>
        </row>
        <row r="13">
          <cell r="A13" t="str">
            <v>Altamira</v>
          </cell>
          <cell r="B13" t="str">
            <v>Altamira (TL)</v>
          </cell>
          <cell r="C13" t="str">
            <v>Altamira</v>
          </cell>
          <cell r="E13" t="str">
            <v>Aerospace &amp; Defense</v>
          </cell>
          <cell r="F13" t="str">
            <v>First Lien</v>
          </cell>
          <cell r="G13" t="str">
            <v>FL</v>
          </cell>
          <cell r="H13" t="str">
            <v>Senior Secured</v>
          </cell>
          <cell r="I13" t="str">
            <v>B-*</v>
          </cell>
          <cell r="J13">
            <v>0.01</v>
          </cell>
          <cell r="K13">
            <v>6.5000000000000002E-2</v>
          </cell>
          <cell r="L13">
            <v>45862</v>
          </cell>
          <cell r="M13" t="str">
            <v>USA</v>
          </cell>
          <cell r="N13" t="str">
            <v>USD</v>
          </cell>
          <cell r="O13">
            <v>100</v>
          </cell>
          <cell r="P13" t="str">
            <v>Y</v>
          </cell>
          <cell r="Q13" t="str">
            <v>N</v>
          </cell>
          <cell r="R13" t="str">
            <v>Maintenance Covenants</v>
          </cell>
          <cell r="S13" t="str">
            <v>No</v>
          </cell>
          <cell r="T13">
            <v>45657</v>
          </cell>
          <cell r="V13">
            <v>1.0965174436984357</v>
          </cell>
          <cell r="W13">
            <v>19.972230159999999</v>
          </cell>
          <cell r="X13">
            <v>40</v>
          </cell>
          <cell r="Y13">
            <v>10.530901</v>
          </cell>
          <cell r="Z13">
            <v>3.097323823529412</v>
          </cell>
          <cell r="AA13">
            <v>3.7983454597094779</v>
          </cell>
          <cell r="AB13">
            <v>3.7983454597094779</v>
          </cell>
          <cell r="AC13">
            <v>45657</v>
          </cell>
          <cell r="AD13">
            <v>1.0965174436984357</v>
          </cell>
          <cell r="AE13">
            <v>-2.7018280160110422</v>
          </cell>
          <cell r="AF13">
            <v>1.0965174436984357</v>
          </cell>
          <cell r="AG13">
            <v>-2.7018280160110422</v>
          </cell>
          <cell r="AH13">
            <v>6.3436516069587876</v>
          </cell>
          <cell r="AI13">
            <v>3.2463277834293756</v>
          </cell>
        </row>
        <row r="14">
          <cell r="A14" t="str">
            <v>American Insulated Glass, LLC</v>
          </cell>
          <cell r="B14" t="str">
            <v>American Insulated Glass (Term Loan)</v>
          </cell>
          <cell r="C14" t="str">
            <v>American Insulated Glass</v>
          </cell>
          <cell r="D14" t="str">
            <v>American Insulated Glass, LLC</v>
          </cell>
          <cell r="E14" t="str">
            <v>Building Products</v>
          </cell>
          <cell r="F14" t="str">
            <v>First Lien</v>
          </cell>
          <cell r="G14" t="str">
            <v>FL</v>
          </cell>
          <cell r="H14" t="str">
            <v>Senior Secured</v>
          </cell>
          <cell r="I14" t="str">
            <v>B-*</v>
          </cell>
          <cell r="J14">
            <v>0.01</v>
          </cell>
          <cell r="K14">
            <v>5.5E-2</v>
          </cell>
          <cell r="L14">
            <v>45281</v>
          </cell>
          <cell r="M14" t="str">
            <v>USA</v>
          </cell>
          <cell r="N14" t="str">
            <v>USD</v>
          </cell>
          <cell r="O14">
            <v>100</v>
          </cell>
          <cell r="P14" t="str">
            <v>Y</v>
          </cell>
          <cell r="Q14" t="str">
            <v>N</v>
          </cell>
          <cell r="R14" t="str">
            <v>Maintenance Covenants</v>
          </cell>
          <cell r="S14" t="str">
            <v>No</v>
          </cell>
          <cell r="T14">
            <v>45230</v>
          </cell>
          <cell r="V14">
            <v>1.2306499365571697</v>
          </cell>
          <cell r="W14">
            <v>21.279</v>
          </cell>
          <cell r="X14">
            <v>46.2</v>
          </cell>
          <cell r="Y14">
            <v>13.123350488947001</v>
          </cell>
          <cell r="Z14">
            <v>3.4366786978756734</v>
          </cell>
          <cell r="AA14">
            <v>3.1325760997257803</v>
          </cell>
          <cell r="AB14">
            <v>3.5204424387591762</v>
          </cell>
          <cell r="AC14">
            <v>45230</v>
          </cell>
          <cell r="AD14">
            <v>1.2306499365571697</v>
          </cell>
          <cell r="AE14">
            <v>-1.9019261631686106</v>
          </cell>
          <cell r="AF14">
            <v>1.2306499365571697</v>
          </cell>
          <cell r="AG14">
            <v>-2.2897925022020065</v>
          </cell>
          <cell r="AH14">
            <v>6.2621780513881786</v>
          </cell>
          <cell r="AI14">
            <v>2.8254993535125053</v>
          </cell>
        </row>
        <row r="15">
          <cell r="A15" t="str">
            <v>Any Hour Services</v>
          </cell>
          <cell r="B15" t="str">
            <v>Any Hour Services (Term Loan)</v>
          </cell>
          <cell r="C15" t="str">
            <v>Any Hour Services</v>
          </cell>
          <cell r="E15" t="str">
            <v>Energy Equipment &amp; Services</v>
          </cell>
          <cell r="F15" t="str">
            <v>First Lien</v>
          </cell>
          <cell r="G15" t="str">
            <v>FL</v>
          </cell>
          <cell r="H15" t="str">
            <v>Senior Secured</v>
          </cell>
          <cell r="I15" t="str">
            <v/>
          </cell>
          <cell r="J15">
            <v>0.01</v>
          </cell>
          <cell r="K15">
            <v>5.7520000000000002E-2</v>
          </cell>
          <cell r="L15">
            <v>46589</v>
          </cell>
          <cell r="M15" t="str">
            <v>USA</v>
          </cell>
          <cell r="N15" t="str">
            <v>USD</v>
          </cell>
          <cell r="O15">
            <v>100</v>
          </cell>
          <cell r="P15" t="str">
            <v>Y</v>
          </cell>
          <cell r="Q15" t="str">
            <v>Y</v>
          </cell>
          <cell r="R15" t="str">
            <v>Maintenance Covenants</v>
          </cell>
          <cell r="S15" t="str">
            <v>No</v>
          </cell>
          <cell r="T15">
            <v>45657</v>
          </cell>
          <cell r="V15">
            <v>6.7457145871564181</v>
          </cell>
          <cell r="W15">
            <v>57.177485797333276</v>
          </cell>
          <cell r="X15">
            <v>85</v>
          </cell>
          <cell r="Y15">
            <v>14.512</v>
          </cell>
          <cell r="Z15">
            <v>2.5293246187363838</v>
          </cell>
          <cell r="AA15">
            <v>5.8572216097023153</v>
          </cell>
          <cell r="AB15">
            <v>5.8572216097023153</v>
          </cell>
          <cell r="AC15">
            <v>45657</v>
          </cell>
          <cell r="AD15">
            <v>6.7457145871564181</v>
          </cell>
          <cell r="AE15">
            <v>0.88849297745410283</v>
          </cell>
          <cell r="AF15">
            <v>8.3547395157112661</v>
          </cell>
          <cell r="AG15">
            <v>2.4975179060089507</v>
          </cell>
          <cell r="AH15">
            <v>1.105380888017508</v>
          </cell>
          <cell r="AI15">
            <v>-1.4239437307188758</v>
          </cell>
        </row>
        <row r="16">
          <cell r="A16" t="str">
            <v>Apex Service partners, LLC</v>
          </cell>
          <cell r="B16" t="str">
            <v>Apex (Term Loan)</v>
          </cell>
          <cell r="C16" t="str">
            <v>Apex Service Partners</v>
          </cell>
          <cell r="E16" t="str">
            <v>Energy Equipment &amp; Services</v>
          </cell>
          <cell r="F16" t="str">
            <v>First Lien</v>
          </cell>
          <cell r="G16" t="str">
            <v>FL</v>
          </cell>
          <cell r="H16" t="str">
            <v>Senior Secured</v>
          </cell>
          <cell r="I16" t="str">
            <v>B-*</v>
          </cell>
          <cell r="J16">
            <v>0.01</v>
          </cell>
          <cell r="K16">
            <v>5.2499999999999998E-2</v>
          </cell>
          <cell r="L16">
            <v>45869</v>
          </cell>
          <cell r="M16" t="str">
            <v>USA</v>
          </cell>
          <cell r="N16" t="str">
            <v>USD</v>
          </cell>
          <cell r="O16">
            <v>100</v>
          </cell>
          <cell r="P16" t="str">
            <v>Y</v>
          </cell>
          <cell r="Q16" t="str">
            <v>N</v>
          </cell>
          <cell r="R16" t="str">
            <v>Maintenance Covenants</v>
          </cell>
          <cell r="S16" t="str">
            <v>No</v>
          </cell>
          <cell r="T16">
            <v>45107</v>
          </cell>
          <cell r="V16">
            <v>5.9928197548586066</v>
          </cell>
          <cell r="W16">
            <v>308.54266899999999</v>
          </cell>
          <cell r="X16">
            <v>117.7</v>
          </cell>
          <cell r="Y16">
            <v>26.278898999999999</v>
          </cell>
          <cell r="Z16">
            <v>2.7708666174609871</v>
          </cell>
          <cell r="AA16">
            <v>5.4084566861039347</v>
          </cell>
          <cell r="AB16">
            <v>5.7889901323491522</v>
          </cell>
          <cell r="AC16">
            <v>45107</v>
          </cell>
          <cell r="AD16">
            <v>5.9928197548586066</v>
          </cell>
          <cell r="AE16">
            <v>0.58436306875467192</v>
          </cell>
          <cell r="AF16">
            <v>6.3059614940972732</v>
          </cell>
          <cell r="AG16">
            <v>0.51697136174812108</v>
          </cell>
          <cell r="AH16">
            <v>2.2436881128593718</v>
          </cell>
          <cell r="AI16">
            <v>-0.52717850460161531</v>
          </cell>
        </row>
        <row r="17">
          <cell r="B17" t="str">
            <v>Apex (Incremental Term Loan)</v>
          </cell>
          <cell r="C17" t="str">
            <v>Apex Service Partners</v>
          </cell>
          <cell r="E17" t="str">
            <v>Energy Equipment &amp; Services</v>
          </cell>
          <cell r="F17" t="str">
            <v>First Lien</v>
          </cell>
          <cell r="G17" t="str">
            <v>FL</v>
          </cell>
          <cell r="H17" t="str">
            <v>Senior Secured</v>
          </cell>
          <cell r="I17" t="str">
            <v>B-*</v>
          </cell>
          <cell r="J17">
            <v>0.01</v>
          </cell>
          <cell r="K17">
            <v>5.5E-2</v>
          </cell>
          <cell r="L17">
            <v>45869</v>
          </cell>
          <cell r="M17" t="str">
            <v>USA</v>
          </cell>
          <cell r="N17" t="str">
            <v>USD</v>
          </cell>
          <cell r="O17">
            <v>100</v>
          </cell>
          <cell r="P17" t="str">
            <v>Y</v>
          </cell>
          <cell r="Q17" t="str">
            <v>N</v>
          </cell>
          <cell r="R17" t="str">
            <v>Maintenance Covenants</v>
          </cell>
          <cell r="S17" t="str">
            <v>No</v>
          </cell>
          <cell r="T17">
            <v>45107</v>
          </cell>
          <cell r="V17">
            <v>5.9928197548586066</v>
          </cell>
          <cell r="W17">
            <v>308.54266899999999</v>
          </cell>
          <cell r="X17">
            <v>43</v>
          </cell>
          <cell r="Y17">
            <v>26.278898999999999</v>
          </cell>
          <cell r="Z17">
            <v>2.7708666174609871</v>
          </cell>
          <cell r="AA17">
            <v>5.4084566861039347</v>
          </cell>
          <cell r="AB17">
            <v>5.7889901323491522</v>
          </cell>
          <cell r="AC17">
            <v>45107</v>
          </cell>
          <cell r="AD17">
            <v>5.9928197548586066</v>
          </cell>
          <cell r="AE17">
            <v>0.58436306875467192</v>
          </cell>
          <cell r="AF17">
            <v>6.3059614940972732</v>
          </cell>
          <cell r="AG17">
            <v>0.51697136174812108</v>
          </cell>
          <cell r="AH17">
            <v>2.2436881128593718</v>
          </cell>
          <cell r="AI17">
            <v>-0.52717850460161531</v>
          </cell>
        </row>
        <row r="18">
          <cell r="B18" t="str">
            <v>Apex (DDTL II)</v>
          </cell>
          <cell r="C18" t="str">
            <v>Apex Service Partners</v>
          </cell>
          <cell r="E18" t="str">
            <v>Energy Equipment &amp; Services</v>
          </cell>
          <cell r="F18" t="str">
            <v>First Lien</v>
          </cell>
          <cell r="G18" t="str">
            <v>FL</v>
          </cell>
          <cell r="H18" t="str">
            <v>Senior Secured</v>
          </cell>
          <cell r="I18" t="str">
            <v>B-*</v>
          </cell>
          <cell r="J18">
            <v>0.01</v>
          </cell>
          <cell r="K18">
            <v>5.5E-2</v>
          </cell>
          <cell r="L18">
            <v>44408</v>
          </cell>
          <cell r="M18" t="str">
            <v>USA</v>
          </cell>
          <cell r="N18" t="str">
            <v>USD</v>
          </cell>
          <cell r="O18">
            <v>100</v>
          </cell>
          <cell r="P18" t="str">
            <v>Y</v>
          </cell>
          <cell r="Q18" t="str">
            <v>N</v>
          </cell>
          <cell r="R18" t="str">
            <v>Maintenance Covenants</v>
          </cell>
          <cell r="S18" t="str">
            <v>No</v>
          </cell>
          <cell r="T18">
            <v>45107</v>
          </cell>
          <cell r="V18">
            <v>5.9928197548586066</v>
          </cell>
          <cell r="W18">
            <v>308.54266899999999</v>
          </cell>
          <cell r="X18">
            <v>30</v>
          </cell>
          <cell r="Y18">
            <v>26.278898999999999</v>
          </cell>
          <cell r="Z18">
            <v>2.7708666174609871</v>
          </cell>
          <cell r="AA18">
            <v>5.4084566861039347</v>
          </cell>
          <cell r="AB18">
            <v>5.7889901323491522</v>
          </cell>
          <cell r="AC18">
            <v>45107</v>
          </cell>
          <cell r="AD18">
            <v>5.9928197548586066</v>
          </cell>
          <cell r="AE18">
            <v>0.58436306875467192</v>
          </cell>
          <cell r="AF18">
            <v>6.3059614940972732</v>
          </cell>
          <cell r="AG18">
            <v>0.51697136174812108</v>
          </cell>
          <cell r="AH18">
            <v>2.2436881128593718</v>
          </cell>
          <cell r="AI18">
            <v>-0.52717850460161531</v>
          </cell>
        </row>
        <row r="19">
          <cell r="A19" t="str">
            <v>Arcfield</v>
          </cell>
          <cell r="B19" t="str">
            <v>Arcfield (Term Loan)</v>
          </cell>
          <cell r="C19" t="str">
            <v>Arcfield</v>
          </cell>
          <cell r="E19" t="str">
            <v>Aerospace &amp; Defense</v>
          </cell>
          <cell r="F19" t="str">
            <v>First Lien</v>
          </cell>
          <cell r="G19" t="str">
            <v>FL</v>
          </cell>
          <cell r="H19" t="str">
            <v>Senior Secured</v>
          </cell>
          <cell r="I19" t="str">
            <v/>
          </cell>
          <cell r="J19">
            <v>0.01</v>
          </cell>
          <cell r="K19">
            <v>6.25E-2</v>
          </cell>
          <cell r="L19">
            <v>47334</v>
          </cell>
          <cell r="M19" t="str">
            <v>USA</v>
          </cell>
          <cell r="N19" t="str">
            <v>USD</v>
          </cell>
          <cell r="O19" t="str">
            <v>TBD</v>
          </cell>
          <cell r="P19" t="str">
            <v>Y</v>
          </cell>
          <cell r="Q19" t="str">
            <v>N</v>
          </cell>
          <cell r="R19" t="str">
            <v>Maintenance Covenants</v>
          </cell>
          <cell r="S19" t="str">
            <v>No</v>
          </cell>
          <cell r="T19">
            <v>45565</v>
          </cell>
          <cell r="V19">
            <v>3.9264544790652387</v>
          </cell>
          <cell r="W19">
            <v>65.727999999999994</v>
          </cell>
          <cell r="X19">
            <v>155</v>
          </cell>
          <cell r="Y19">
            <v>35.9</v>
          </cell>
          <cell r="Z19">
            <v>3.5632754342431765</v>
          </cell>
          <cell r="AA19">
            <v>3.76</v>
          </cell>
          <cell r="AB19">
            <v>3.76</v>
          </cell>
          <cell r="AC19">
            <v>45565</v>
          </cell>
          <cell r="AD19">
            <v>3.9264544790652387</v>
          </cell>
          <cell r="AE19">
            <v>0.16645447906523891</v>
          </cell>
          <cell r="AF19">
            <v>3.9264544790652387</v>
          </cell>
          <cell r="AG19">
            <v>0.16645447906523891</v>
          </cell>
          <cell r="AH19">
            <v>1.786815277966562</v>
          </cell>
          <cell r="AI19">
            <v>-1.7764601562766145</v>
          </cell>
        </row>
        <row r="20">
          <cell r="A20" t="str">
            <v>BlackHawk Industrial</v>
          </cell>
          <cell r="B20" t="str">
            <v>BlackHawk Industrial (TL)</v>
          </cell>
          <cell r="C20" t="str">
            <v>BlackHawk Industrial</v>
          </cell>
          <cell r="E20" t="str">
            <v>Distributors</v>
          </cell>
          <cell r="F20" t="str">
            <v>First Lien</v>
          </cell>
          <cell r="G20" t="str">
            <v>FL</v>
          </cell>
          <cell r="H20" t="str">
            <v>Senior Secured</v>
          </cell>
          <cell r="I20" t="str">
            <v/>
          </cell>
          <cell r="J20">
            <v>0.01</v>
          </cell>
          <cell r="K20">
            <v>0.05</v>
          </cell>
          <cell r="L20">
            <v>46282</v>
          </cell>
          <cell r="M20" t="str">
            <v>USA</v>
          </cell>
          <cell r="N20" t="str">
            <v>USD</v>
          </cell>
          <cell r="O20" t="str">
            <v>TBD</v>
          </cell>
          <cell r="P20" t="str">
            <v>Y</v>
          </cell>
          <cell r="Q20" t="str">
            <v>N</v>
          </cell>
          <cell r="R20" t="str">
            <v>Maintenance Covenants</v>
          </cell>
          <cell r="S20" t="str">
            <v>No</v>
          </cell>
          <cell r="T20">
            <v>45716</v>
          </cell>
          <cell r="V20">
            <v>5.8248222239587415</v>
          </cell>
          <cell r="W20">
            <v>51.188000000000002</v>
          </cell>
          <cell r="X20">
            <v>172.5</v>
          </cell>
          <cell r="Y20">
            <v>35.430999999999997</v>
          </cell>
          <cell r="Z20">
            <v>3.0339955471827365</v>
          </cell>
          <cell r="AA20">
            <v>4.8</v>
          </cell>
          <cell r="AB20">
            <v>4.8</v>
          </cell>
          <cell r="AC20">
            <v>45716</v>
          </cell>
          <cell r="AD20">
            <v>5.8248222239587415</v>
          </cell>
          <cell r="AE20">
            <v>1.0248222239587417</v>
          </cell>
          <cell r="AF20">
            <v>6.4096272563882168</v>
          </cell>
          <cell r="AG20">
            <v>1.609627256388217</v>
          </cell>
          <cell r="AH20">
            <v>1.2666221265434392</v>
          </cell>
          <cell r="AI20">
            <v>-1.7673734206392973</v>
          </cell>
        </row>
        <row r="21">
          <cell r="A21" t="str">
            <v>The Bluebird Group LLC</v>
          </cell>
          <cell r="B21" t="str">
            <v>Bluebird (Term Loan)</v>
          </cell>
          <cell r="C21" t="str">
            <v>Bluebird</v>
          </cell>
          <cell r="E21" t="str">
            <v>Distributors</v>
          </cell>
          <cell r="F21" t="str">
            <v>First Lien</v>
          </cell>
          <cell r="G21" t="str">
            <v>FL</v>
          </cell>
          <cell r="H21" t="str">
            <v>Senior Secured</v>
          </cell>
          <cell r="I21" t="str">
            <v>B-*</v>
          </cell>
          <cell r="J21">
            <v>0.01</v>
          </cell>
          <cell r="K21">
            <v>7.0000000000000007E-2</v>
          </cell>
          <cell r="L21">
            <v>46231</v>
          </cell>
          <cell r="M21" t="str">
            <v>USA</v>
          </cell>
          <cell r="N21" t="str">
            <v>USD</v>
          </cell>
          <cell r="O21">
            <v>100</v>
          </cell>
          <cell r="P21" t="str">
            <v>Y</v>
          </cell>
          <cell r="Q21" t="str">
            <v>N</v>
          </cell>
          <cell r="R21" t="str">
            <v>Maintenance Covenants</v>
          </cell>
          <cell r="S21" t="str">
            <v>No</v>
          </cell>
          <cell r="T21">
            <v>45716</v>
          </cell>
          <cell r="V21">
            <v>1.762626957592297</v>
          </cell>
          <cell r="W21">
            <v>25.645608740573792</v>
          </cell>
          <cell r="X21">
            <v>27.5</v>
          </cell>
          <cell r="Y21">
            <v>10.7069734882819</v>
          </cell>
          <cell r="Z21">
            <v>4.9569321705008793</v>
          </cell>
          <cell r="AA21">
            <v>2.5700934579439254</v>
          </cell>
          <cell r="AB21">
            <v>2.5700934579439254</v>
          </cell>
          <cell r="AC21">
            <v>45716</v>
          </cell>
          <cell r="AD21">
            <v>1.762626957592297</v>
          </cell>
          <cell r="AE21">
            <v>-0.80746650035162837</v>
          </cell>
          <cell r="AF21">
            <v>1.762626957592297</v>
          </cell>
          <cell r="AG21">
            <v>-0.80746650035162837</v>
          </cell>
          <cell r="AH21">
            <v>4.1889177376640347</v>
          </cell>
          <cell r="AI21">
            <v>-0.76801443283684456</v>
          </cell>
        </row>
        <row r="22">
          <cell r="A22" t="str">
            <v xml:space="preserve">BlueHalo Financing Holdings, LLC </v>
          </cell>
          <cell r="B22" t="str">
            <v>BlueHalo (Term Loan)</v>
          </cell>
          <cell r="C22" t="str">
            <v>BlueHalo</v>
          </cell>
          <cell r="E22" t="str">
            <v>Aerospace &amp; Defense</v>
          </cell>
          <cell r="F22" t="str">
            <v>First Lien</v>
          </cell>
          <cell r="G22" t="str">
            <v>FL</v>
          </cell>
          <cell r="H22" t="str">
            <v>Senior Secured</v>
          </cell>
          <cell r="I22" t="str">
            <v>B-*</v>
          </cell>
          <cell r="J22">
            <v>0.01</v>
          </cell>
          <cell r="K22">
            <v>0.06</v>
          </cell>
          <cell r="L22">
            <v>45961</v>
          </cell>
          <cell r="M22" t="str">
            <v>USA</v>
          </cell>
          <cell r="N22" t="str">
            <v>USD</v>
          </cell>
          <cell r="O22">
            <v>100</v>
          </cell>
          <cell r="P22" t="str">
            <v>Y</v>
          </cell>
          <cell r="Q22" t="str">
            <v>Y</v>
          </cell>
          <cell r="R22" t="str">
            <v>Maintenance Covenants</v>
          </cell>
          <cell r="S22" t="str">
            <v>No</v>
          </cell>
          <cell r="T22">
            <v>45657</v>
          </cell>
          <cell r="V22">
            <v>7.6702880694568503</v>
          </cell>
          <cell r="W22">
            <v>103.79010446427387</v>
          </cell>
          <cell r="X22">
            <v>48</v>
          </cell>
          <cell r="Y22">
            <v>57.954000000000001</v>
          </cell>
          <cell r="Z22">
            <v>1.980744711418549</v>
          </cell>
          <cell r="AA22">
            <v>6.9721040533871692</v>
          </cell>
          <cell r="AB22">
            <v>7.0842619717362041</v>
          </cell>
          <cell r="AC22">
            <v>45657</v>
          </cell>
          <cell r="AD22">
            <v>7.6702880694568503</v>
          </cell>
          <cell r="AE22">
            <v>0.69818401606968106</v>
          </cell>
          <cell r="AF22">
            <v>7.7329144636930893</v>
          </cell>
          <cell r="AG22">
            <v>0.64865249195688524</v>
          </cell>
          <cell r="AH22">
            <v>1.5967892476636316</v>
          </cell>
          <cell r="AI22">
            <v>-0.3839554637549174</v>
          </cell>
        </row>
        <row r="23">
          <cell r="A23" t="str">
            <v>Centauri</v>
          </cell>
          <cell r="B23" t="str">
            <v>Centauri Health (TL)</v>
          </cell>
          <cell r="C23" t="str">
            <v>Centauri Health</v>
          </cell>
          <cell r="D23" t="str">
            <v>Cano Health, LLC</v>
          </cell>
          <cell r="E23" t="str">
            <v>Health Care Providers &amp; Services</v>
          </cell>
          <cell r="F23" t="str">
            <v>First Lien</v>
          </cell>
          <cell r="G23" t="str">
            <v>FL</v>
          </cell>
          <cell r="H23" t="str">
            <v>Senior Secured</v>
          </cell>
          <cell r="I23" t="str">
            <v>B-*</v>
          </cell>
          <cell r="J23">
            <v>0.01</v>
          </cell>
          <cell r="K23">
            <v>5.7500000000000002E-2</v>
          </cell>
          <cell r="L23">
            <v>46421</v>
          </cell>
          <cell r="M23" t="str">
            <v>USA</v>
          </cell>
          <cell r="N23" t="str">
            <v>USD</v>
          </cell>
          <cell r="O23">
            <v>100</v>
          </cell>
          <cell r="P23" t="str">
            <v>Y</v>
          </cell>
          <cell r="Q23" t="str">
            <v>N</v>
          </cell>
          <cell r="R23" t="str">
            <v>Maintenance Covenants</v>
          </cell>
          <cell r="S23" t="str">
            <v>No</v>
          </cell>
          <cell r="T23">
            <v>45716</v>
          </cell>
          <cell r="V23">
            <v>3.1528784028120223</v>
          </cell>
          <cell r="W23">
            <v>79.088999999999999</v>
          </cell>
          <cell r="X23">
            <v>140</v>
          </cell>
          <cell r="Y23">
            <v>28.067827269920599</v>
          </cell>
          <cell r="Z23">
            <v>2.715134445268911</v>
          </cell>
          <cell r="AA23">
            <v>4.8079959557333325</v>
          </cell>
          <cell r="AB23">
            <v>4.8079959557333325</v>
          </cell>
          <cell r="AC23">
            <v>45716</v>
          </cell>
          <cell r="AD23">
            <v>3.1528784028120223</v>
          </cell>
          <cell r="AE23">
            <v>-1.6551175529213102</v>
          </cell>
          <cell r="AF23">
            <v>3.1528784028120223</v>
          </cell>
          <cell r="AG23">
            <v>-1.6551175529213102</v>
          </cell>
          <cell r="AH23">
            <v>2.803298072792388</v>
          </cell>
          <cell r="AI23">
            <v>8.8163627523476951E-2</v>
          </cell>
        </row>
        <row r="24">
          <cell r="A24" t="str">
            <v>Connatix</v>
          </cell>
          <cell r="B24" t="str">
            <v>Connatix (Term Loan)</v>
          </cell>
          <cell r="C24" t="str">
            <v>Connatix</v>
          </cell>
          <cell r="E24" t="str">
            <v>Media</v>
          </cell>
          <cell r="F24" t="str">
            <v>First Lien</v>
          </cell>
          <cell r="G24" t="str">
            <v>FL</v>
          </cell>
          <cell r="H24" t="str">
            <v>Senior Secured</v>
          </cell>
          <cell r="I24" t="str">
            <v>B-*</v>
          </cell>
          <cell r="J24">
            <v>7.4999999999999997E-3</v>
          </cell>
          <cell r="K24">
            <v>5.5E-2</v>
          </cell>
          <cell r="L24">
            <v>46582</v>
          </cell>
          <cell r="M24" t="str">
            <v>USA</v>
          </cell>
          <cell r="N24" t="str">
            <v>USD</v>
          </cell>
          <cell r="O24" t="str">
            <v>TBD</v>
          </cell>
          <cell r="P24" t="str">
            <v>Y</v>
          </cell>
          <cell r="Q24" t="str">
            <v>N</v>
          </cell>
          <cell r="R24" t="str">
            <v>Maintenance Covenants</v>
          </cell>
          <cell r="S24" t="str">
            <v>No</v>
          </cell>
          <cell r="T24">
            <v>45657</v>
          </cell>
          <cell r="V24">
            <v>4.0928692095669952</v>
          </cell>
          <cell r="W24">
            <v>44.988</v>
          </cell>
          <cell r="X24">
            <v>190</v>
          </cell>
          <cell r="Y24">
            <v>38.802999999999997</v>
          </cell>
          <cell r="Z24">
            <v>3.2251844155844154</v>
          </cell>
          <cell r="AA24">
            <v>4.2595160168028254</v>
          </cell>
          <cell r="AB24">
            <v>4.2595160168028254</v>
          </cell>
          <cell r="AC24">
            <v>45657</v>
          </cell>
          <cell r="AD24">
            <v>4.0928692095669952</v>
          </cell>
          <cell r="AE24">
            <v>-0.16664680723583025</v>
          </cell>
          <cell r="AF24">
            <v>4.0928692095669952</v>
          </cell>
          <cell r="AG24">
            <v>-0.16664680723583025</v>
          </cell>
          <cell r="AH24">
            <v>1.8821855911639191</v>
          </cell>
          <cell r="AI24">
            <v>-1.3429988244204962</v>
          </cell>
        </row>
        <row r="25">
          <cell r="A25" t="str">
            <v>DRI Holding Inc.</v>
          </cell>
          <cell r="B25" t="str">
            <v>Digital Room (Term Loan)</v>
          </cell>
          <cell r="C25" t="str">
            <v>Digital Room</v>
          </cell>
          <cell r="D25" t="str">
            <v>DRI Holding Inc.</v>
          </cell>
          <cell r="E25" t="str">
            <v>Commercial Services &amp; Supplies</v>
          </cell>
          <cell r="F25" t="str">
            <v>First Lien</v>
          </cell>
          <cell r="G25" t="str">
            <v>FL</v>
          </cell>
          <cell r="H25" t="str">
            <v>Senior Secured</v>
          </cell>
          <cell r="I25" t="str">
            <v>B-</v>
          </cell>
          <cell r="J25">
            <v>5.0000000000000001E-3</v>
          </cell>
          <cell r="K25">
            <v>5.2499999999999998E-2</v>
          </cell>
          <cell r="L25">
            <v>47108</v>
          </cell>
          <cell r="M25" t="str">
            <v>USA</v>
          </cell>
          <cell r="N25" t="str">
            <v>USD</v>
          </cell>
          <cell r="O25" t="str">
            <v>TBD</v>
          </cell>
          <cell r="P25" t="str">
            <v>Y</v>
          </cell>
          <cell r="Q25" t="str">
            <v>N</v>
          </cell>
          <cell r="R25" t="str">
            <v>Maintenance Covenants</v>
          </cell>
          <cell r="S25" t="str">
            <v>No</v>
          </cell>
          <cell r="T25">
            <v>45657</v>
          </cell>
          <cell r="V25">
            <v>3.7625886724867237</v>
          </cell>
          <cell r="W25">
            <v>93.06438</v>
          </cell>
          <cell r="X25">
            <v>240</v>
          </cell>
          <cell r="Y25">
            <v>76.752349014574705</v>
          </cell>
          <cell r="Z25">
            <v>2.5799108912462088</v>
          </cell>
          <cell r="AA25">
            <v>4.43</v>
          </cell>
          <cell r="AB25">
            <v>6.25</v>
          </cell>
          <cell r="AC25">
            <v>45657</v>
          </cell>
          <cell r="AD25">
            <v>3.7625886724867237</v>
          </cell>
          <cell r="AE25">
            <v>-0.66741132751327603</v>
          </cell>
          <cell r="AF25">
            <v>5.3743761254305893</v>
          </cell>
          <cell r="AG25">
            <v>-0.87562387456941071</v>
          </cell>
          <cell r="AH25">
            <v>1.5424507005837369</v>
          </cell>
          <cell r="AI25">
            <v>-1.0374601906624719</v>
          </cell>
        </row>
        <row r="26">
          <cell r="A26" t="str">
            <v>Dr. Scholl's</v>
          </cell>
          <cell r="B26" t="str">
            <v>Dr. Scholl's (Term Loan)</v>
          </cell>
          <cell r="C26" t="str">
            <v>Dr. Scholl's</v>
          </cell>
          <cell r="E26" t="str">
            <v>Personal Products</v>
          </cell>
          <cell r="F26" t="str">
            <v>First Lien</v>
          </cell>
          <cell r="G26" t="str">
            <v>FL</v>
          </cell>
          <cell r="H26" t="str">
            <v>Senior Secured</v>
          </cell>
          <cell r="I26" t="str">
            <v>B*</v>
          </cell>
          <cell r="J26">
            <v>0.01</v>
          </cell>
          <cell r="K26">
            <v>5.2499999999999998E-2</v>
          </cell>
          <cell r="L26">
            <v>47058</v>
          </cell>
          <cell r="M26" t="str">
            <v>USA</v>
          </cell>
          <cell r="N26" t="str">
            <v>USD</v>
          </cell>
          <cell r="O26">
            <v>100</v>
          </cell>
          <cell r="P26" t="str">
            <v>Y</v>
          </cell>
          <cell r="Q26" t="str">
            <v>Y</v>
          </cell>
          <cell r="R26" t="str">
            <v>Maintenance Covenants</v>
          </cell>
          <cell r="S26" t="str">
            <v>No</v>
          </cell>
          <cell r="T26">
            <v>45716</v>
          </cell>
          <cell r="V26">
            <v>5.2335775335775336</v>
          </cell>
          <cell r="W26">
            <v>108.92700000000001</v>
          </cell>
          <cell r="X26">
            <v>575.5</v>
          </cell>
          <cell r="Y26">
            <v>72.152000000000001</v>
          </cell>
          <cell r="Z26">
            <v>3.2730113143473076</v>
          </cell>
          <cell r="AA26">
            <v>3.8113981594411799</v>
          </cell>
          <cell r="AB26">
            <v>3.8113981594411799</v>
          </cell>
          <cell r="AC26">
            <v>45716</v>
          </cell>
          <cell r="AD26">
            <v>5.2335775335775336</v>
          </cell>
          <cell r="AE26">
            <v>1.4221793741363538</v>
          </cell>
          <cell r="AF26">
            <v>5.2335775335775336</v>
          </cell>
          <cell r="AG26">
            <v>1.4221793741363538</v>
          </cell>
          <cell r="AH26">
            <v>1.5637874450408971</v>
          </cell>
          <cell r="AI26">
            <v>-1.7092238693064106</v>
          </cell>
        </row>
        <row r="27">
          <cell r="A27" t="str">
            <v>Dr. Squatch</v>
          </cell>
          <cell r="B27" t="str">
            <v>Dr. Squatch (Term Loan)</v>
          </cell>
          <cell r="C27" t="str">
            <v>Dr. Squatch</v>
          </cell>
          <cell r="E27" t="str">
            <v>Leisure Products</v>
          </cell>
          <cell r="F27" t="str">
            <v>First Lien</v>
          </cell>
          <cell r="G27" t="str">
            <v>FL</v>
          </cell>
          <cell r="H27" t="str">
            <v>Senior Secured</v>
          </cell>
          <cell r="I27" t="str">
            <v>B-*</v>
          </cell>
          <cell r="J27">
            <v>0.01</v>
          </cell>
          <cell r="K27">
            <v>5.2499999999999998E-2</v>
          </cell>
          <cell r="L27">
            <v>46623</v>
          </cell>
          <cell r="M27" t="str">
            <v>USA</v>
          </cell>
          <cell r="N27" t="str">
            <v>USD</v>
          </cell>
          <cell r="O27">
            <v>100</v>
          </cell>
          <cell r="P27" t="str">
            <v>Y</v>
          </cell>
          <cell r="Q27" t="str">
            <v>N</v>
          </cell>
          <cell r="R27" t="str">
            <v>Maintenance Covenants</v>
          </cell>
          <cell r="S27" t="str">
            <v>No</v>
          </cell>
          <cell r="T27">
            <v>45657</v>
          </cell>
          <cell r="V27">
            <v>1.297475925084703</v>
          </cell>
          <cell r="W27">
            <v>96.404405640000036</v>
          </cell>
          <cell r="X27">
            <v>167</v>
          </cell>
          <cell r="Y27">
            <v>24.5220405034298</v>
          </cell>
          <cell r="Z27">
            <v>3.5031486433471137</v>
          </cell>
          <cell r="AA27">
            <v>4.3600000000000003</v>
          </cell>
          <cell r="AB27">
            <v>4.3600000000000003</v>
          </cell>
          <cell r="AC27">
            <v>45657</v>
          </cell>
          <cell r="AD27">
            <v>1.297475925084703</v>
          </cell>
          <cell r="AE27">
            <v>-3.0625240749152973</v>
          </cell>
          <cell r="AF27">
            <v>1.297475925084703</v>
          </cell>
          <cell r="AG27">
            <v>-3.0625240749152973</v>
          </cell>
          <cell r="AH27">
            <v>6.1659887773502637</v>
          </cell>
          <cell r="AI27">
            <v>2.66284013400315</v>
          </cell>
        </row>
        <row r="28">
          <cell r="A28" t="str">
            <v>GLOBAL Holdings</v>
          </cell>
          <cell r="B28" t="str">
            <v>Global (Term Loan)</v>
          </cell>
          <cell r="C28" t="str">
            <v>Global</v>
          </cell>
          <cell r="E28" t="str">
            <v>Diversified Financial Services</v>
          </cell>
          <cell r="F28" t="str">
            <v>First Lien</v>
          </cell>
          <cell r="G28" t="str">
            <v>FL</v>
          </cell>
          <cell r="H28" t="str">
            <v>Senior Secured</v>
          </cell>
          <cell r="I28" t="str">
            <v>B-*</v>
          </cell>
          <cell r="J28">
            <v>0.01</v>
          </cell>
          <cell r="K28">
            <v>0.06</v>
          </cell>
          <cell r="L28">
            <v>46097</v>
          </cell>
          <cell r="M28" t="str">
            <v>USA</v>
          </cell>
          <cell r="N28" t="str">
            <v>USD</v>
          </cell>
          <cell r="O28" t="str">
            <v>TBD</v>
          </cell>
          <cell r="P28" t="str">
            <v>Y</v>
          </cell>
          <cell r="Q28" t="str">
            <v>N</v>
          </cell>
          <cell r="R28" t="str">
            <v>Maintenance Covenants</v>
          </cell>
          <cell r="S28" t="str">
            <v>No</v>
          </cell>
          <cell r="T28">
            <v>45716</v>
          </cell>
          <cell r="V28">
            <v>3.0620075897858978</v>
          </cell>
          <cell r="W28">
            <v>71.300562000000014</v>
          </cell>
          <cell r="X28">
            <v>260</v>
          </cell>
          <cell r="Y28">
            <v>65.7</v>
          </cell>
          <cell r="Z28">
            <v>3.5901639344262297</v>
          </cell>
          <cell r="AA28">
            <v>3.9573820395738202</v>
          </cell>
          <cell r="AB28">
            <v>3.9573820395738202</v>
          </cell>
          <cell r="AC28">
            <v>45716</v>
          </cell>
          <cell r="AD28">
            <v>3.0620075897858978</v>
          </cell>
          <cell r="AE28">
            <v>-0.89537444978792236</v>
          </cell>
          <cell r="AF28">
            <v>3.0620075897858978</v>
          </cell>
          <cell r="AG28">
            <v>-0.89537444978792236</v>
          </cell>
          <cell r="AH28">
            <v>2.9719398459244886</v>
          </cell>
          <cell r="AI28">
            <v>-0.61822408850174115</v>
          </cell>
        </row>
        <row r="29">
          <cell r="A29" t="str">
            <v>Hancock Roofing and Construction L.L.C.</v>
          </cell>
          <cell r="B29" t="str">
            <v>Hancock (Term Loan)</v>
          </cell>
          <cell r="C29" t="str">
            <v>Hancock</v>
          </cell>
          <cell r="D29" t="str">
            <v>HW Holdco, LLC</v>
          </cell>
          <cell r="E29" t="str">
            <v>Insurance</v>
          </cell>
          <cell r="F29" t="str">
            <v>First Lien</v>
          </cell>
          <cell r="G29" t="str">
            <v>FL</v>
          </cell>
          <cell r="H29" t="str">
            <v>Senior Secured</v>
          </cell>
          <cell r="I29" t="str">
            <v>B-*</v>
          </cell>
          <cell r="J29">
            <v>0.01</v>
          </cell>
          <cell r="K29">
            <v>5.2499999999999998E-2</v>
          </cell>
          <cell r="L29">
            <v>46384</v>
          </cell>
          <cell r="M29" t="str">
            <v>USA</v>
          </cell>
          <cell r="N29" t="str">
            <v>USD</v>
          </cell>
          <cell r="O29">
            <v>100</v>
          </cell>
          <cell r="P29" t="str">
            <v>Y</v>
          </cell>
          <cell r="Q29" t="str">
            <v>Y</v>
          </cell>
          <cell r="R29" t="str">
            <v>Maintenance Covenants</v>
          </cell>
          <cell r="S29" t="str">
            <v>No</v>
          </cell>
          <cell r="T29">
            <v>45747</v>
          </cell>
          <cell r="V29">
            <v>6.682607371306732</v>
          </cell>
          <cell r="W29">
            <v>9.8490000000000002</v>
          </cell>
          <cell r="X29">
            <v>60</v>
          </cell>
          <cell r="Y29">
            <v>19.486999999999998</v>
          </cell>
          <cell r="Z29">
            <v>3.2136878994021849</v>
          </cell>
          <cell r="AA29">
            <v>3.4022168625237335</v>
          </cell>
          <cell r="AB29">
            <v>3.5562169651562581</v>
          </cell>
          <cell r="AC29">
            <v>45747</v>
          </cell>
          <cell r="AD29">
            <v>6.682607371306732</v>
          </cell>
          <cell r="AE29">
            <v>3.2803905087829985</v>
          </cell>
          <cell r="AF29">
            <v>6.682607371306732</v>
          </cell>
          <cell r="AG29">
            <v>3.1263904061504739</v>
          </cell>
          <cell r="AH29">
            <v>1.2664266426642665</v>
          </cell>
          <cell r="AI29">
            <v>-1.9472612567379184</v>
          </cell>
        </row>
        <row r="30">
          <cell r="A30" t="str">
            <v>HW Holdco, LLC</v>
          </cell>
          <cell r="B30" t="str">
            <v>Hanley Wood (TL)</v>
          </cell>
          <cell r="C30" t="str">
            <v>Hanley Wood</v>
          </cell>
          <cell r="D30" t="str">
            <v>HW Holdco, LLC</v>
          </cell>
          <cell r="E30" t="str">
            <v>Media</v>
          </cell>
          <cell r="F30" t="str">
            <v>First Lien</v>
          </cell>
          <cell r="G30" t="str">
            <v>FL</v>
          </cell>
          <cell r="H30" t="str">
            <v>Senior Secured</v>
          </cell>
          <cell r="I30" t="str">
            <v>B-*</v>
          </cell>
          <cell r="J30">
            <v>0.01</v>
          </cell>
          <cell r="K30">
            <v>0.05</v>
          </cell>
          <cell r="L30">
            <v>46153</v>
          </cell>
          <cell r="M30" t="str">
            <v>USA</v>
          </cell>
          <cell r="N30" t="str">
            <v>USD</v>
          </cell>
          <cell r="O30">
            <v>100</v>
          </cell>
          <cell r="P30" t="str">
            <v>Y</v>
          </cell>
          <cell r="Q30" t="str">
            <v>N</v>
          </cell>
          <cell r="R30" t="str">
            <v>Maintenance Covenants</v>
          </cell>
          <cell r="S30" t="str">
            <v>No</v>
          </cell>
          <cell r="T30">
            <v>45716</v>
          </cell>
          <cell r="V30">
            <v>3.0055761763850639</v>
          </cell>
          <cell r="W30">
            <v>58.463000000000001</v>
          </cell>
          <cell r="X30">
            <v>158.9</v>
          </cell>
          <cell r="Y30">
            <v>19.486999999999998</v>
          </cell>
          <cell r="Z30">
            <v>3.2136878994021849</v>
          </cell>
          <cell r="AA30">
            <v>3.4022168625237335</v>
          </cell>
          <cell r="AB30">
            <v>3.5562169651562581</v>
          </cell>
          <cell r="AC30">
            <v>45716</v>
          </cell>
          <cell r="AD30">
            <v>3.0055761763850639</v>
          </cell>
          <cell r="AE30">
            <v>-0.39664068613866954</v>
          </cell>
          <cell r="AF30">
            <v>3.0055761763850639</v>
          </cell>
          <cell r="AG30">
            <v>-0.55064078877119416</v>
          </cell>
          <cell r="AH30">
            <v>2.5529694323144105</v>
          </cell>
          <cell r="AI30">
            <v>-0.66071846708777437</v>
          </cell>
        </row>
        <row r="31">
          <cell r="A31" t="str">
            <v>Infolinks</v>
          </cell>
          <cell r="B31" t="str">
            <v>Infolinks (TL)</v>
          </cell>
          <cell r="C31" t="str">
            <v>Infolinks</v>
          </cell>
          <cell r="E31" t="str">
            <v>Media</v>
          </cell>
          <cell r="F31" t="str">
            <v>First Lien</v>
          </cell>
          <cell r="G31" t="str">
            <v>FL</v>
          </cell>
          <cell r="H31" t="str">
            <v>Senior Secured</v>
          </cell>
          <cell r="I31" t="str">
            <v/>
          </cell>
          <cell r="J31">
            <v>0.01</v>
          </cell>
          <cell r="K31">
            <v>5.5E-2</v>
          </cell>
          <cell r="L31">
            <v>46327</v>
          </cell>
          <cell r="M31" t="str">
            <v>USA</v>
          </cell>
          <cell r="N31" t="str">
            <v>USD</v>
          </cell>
          <cell r="O31" t="str">
            <v>TBD</v>
          </cell>
          <cell r="P31" t="str">
            <v>Y</v>
          </cell>
          <cell r="Q31" t="str">
            <v>N</v>
          </cell>
          <cell r="R31" t="str">
            <v>Maintenance Covenants</v>
          </cell>
          <cell r="S31" t="str">
            <v>No</v>
          </cell>
          <cell r="T31">
            <v>45716</v>
          </cell>
          <cell r="V31">
            <v>3.2535092072297247</v>
          </cell>
          <cell r="W31">
            <v>49.399276289999989</v>
          </cell>
          <cell r="X31">
            <v>103.36</v>
          </cell>
          <cell r="Y31">
            <v>29.864123328214699</v>
          </cell>
          <cell r="Z31">
            <v>4.1134022930793499</v>
          </cell>
          <cell r="AA31">
            <v>3.1915829616853495</v>
          </cell>
          <cell r="AB31">
            <v>3.1915829616853495</v>
          </cell>
          <cell r="AC31">
            <v>45716</v>
          </cell>
          <cell r="AD31">
            <v>3.2535092072297247</v>
          </cell>
          <cell r="AE31">
            <v>6.1926245544375202E-2</v>
          </cell>
          <cell r="AF31">
            <v>3.2535092072297247</v>
          </cell>
          <cell r="AG31">
            <v>6.1926245544375202E-2</v>
          </cell>
          <cell r="AH31">
            <v>3.0077525018838136</v>
          </cell>
          <cell r="AI31">
            <v>-1.1056497911955363</v>
          </cell>
        </row>
        <row r="32">
          <cell r="A32" t="str">
            <v>Insight Global</v>
          </cell>
          <cell r="B32" t="str">
            <v>Insight Global (TL)</v>
          </cell>
          <cell r="C32" t="str">
            <v>Insight Global</v>
          </cell>
          <cell r="D32" t="str">
            <v>HW Holdco, LLC</v>
          </cell>
          <cell r="E32" t="str">
            <v>IT Services</v>
          </cell>
          <cell r="F32" t="str">
            <v>First Lien</v>
          </cell>
          <cell r="G32" t="str">
            <v>FL</v>
          </cell>
          <cell r="H32" t="str">
            <v>Senior Secured</v>
          </cell>
          <cell r="I32" t="str">
            <v>B-</v>
          </cell>
          <cell r="J32">
            <v>7.4999999999999997E-3</v>
          </cell>
          <cell r="K32">
            <v>0.06</v>
          </cell>
          <cell r="L32">
            <v>47018</v>
          </cell>
          <cell r="M32" t="str">
            <v>USA</v>
          </cell>
          <cell r="N32" t="str">
            <v>USD</v>
          </cell>
          <cell r="O32">
            <v>100</v>
          </cell>
          <cell r="P32" t="str">
            <v>Y</v>
          </cell>
          <cell r="Q32" t="str">
            <v>N</v>
          </cell>
          <cell r="R32" t="str">
            <v>Maintenance Covenants</v>
          </cell>
          <cell r="S32" t="str">
            <v>Yes</v>
          </cell>
          <cell r="T32">
            <v>45657</v>
          </cell>
          <cell r="V32">
            <v>5.9761928505962025</v>
          </cell>
          <cell r="W32">
            <v>430.80453799999998</v>
          </cell>
          <cell r="X32">
            <v>2568</v>
          </cell>
          <cell r="Y32">
            <v>406.12599999999998</v>
          </cell>
          <cell r="Z32">
            <v>2.3429445021345332</v>
          </cell>
          <cell r="AA32">
            <v>6.1996966458685243</v>
          </cell>
          <cell r="AB32">
            <v>6.1996966458685243</v>
          </cell>
          <cell r="AC32">
            <v>45657</v>
          </cell>
          <cell r="AD32">
            <v>5.9761928505962025</v>
          </cell>
          <cell r="AE32">
            <v>-0.22350379527232178</v>
          </cell>
          <cell r="AF32">
            <v>5.9761928505962025</v>
          </cell>
          <cell r="AG32">
            <v>-0.22350379527232178</v>
          </cell>
          <cell r="AH32">
            <v>1.4159883316953883</v>
          </cell>
          <cell r="AI32">
            <v>-0.92695617043914491</v>
          </cell>
        </row>
        <row r="33">
          <cell r="A33" t="str">
            <v>ECL Entertainment</v>
          </cell>
          <cell r="B33" t="str">
            <v>ECL Entertainment (Term Loan)</v>
          </cell>
          <cell r="C33" t="str">
            <v>ECL Entertainment</v>
          </cell>
          <cell r="D33" t="str">
            <v>Kentucky Downs</v>
          </cell>
          <cell r="E33" t="str">
            <v>Hotels, Restaurants &amp; Leisure</v>
          </cell>
          <cell r="F33" t="str">
            <v>First Lien</v>
          </cell>
          <cell r="G33" t="str">
            <v>FL</v>
          </cell>
          <cell r="H33" t="str">
            <v>Senior Secured</v>
          </cell>
          <cell r="I33" t="str">
            <v>B-</v>
          </cell>
          <cell r="J33">
            <v>7.4999999999999997E-3</v>
          </cell>
          <cell r="K33">
            <v>7.4999999999999997E-2</v>
          </cell>
          <cell r="L33">
            <v>47718</v>
          </cell>
          <cell r="M33" t="str">
            <v>USA</v>
          </cell>
          <cell r="N33" t="str">
            <v>USD</v>
          </cell>
          <cell r="O33">
            <v>100</v>
          </cell>
          <cell r="P33" t="str">
            <v>Y</v>
          </cell>
          <cell r="Q33" t="str">
            <v>N</v>
          </cell>
          <cell r="R33" t="str">
            <v>Maintenance Covenants</v>
          </cell>
          <cell r="S33" t="str">
            <v>No</v>
          </cell>
          <cell r="T33">
            <v>45565</v>
          </cell>
          <cell r="V33">
            <v>3.5662918547032003</v>
          </cell>
          <cell r="W33">
            <v>106.65259</v>
          </cell>
          <cell r="X33">
            <v>335</v>
          </cell>
          <cell r="Y33">
            <v>75.599999999999994</v>
          </cell>
          <cell r="Z33">
            <v>2.749090909090909</v>
          </cell>
          <cell r="AA33">
            <v>4.272486772486773</v>
          </cell>
          <cell r="AB33">
            <v>4.272486772486773</v>
          </cell>
          <cell r="AC33">
            <v>45565</v>
          </cell>
          <cell r="AD33">
            <v>3.5662918547032003</v>
          </cell>
          <cell r="AE33">
            <v>-0.70619491778357268</v>
          </cell>
          <cell r="AF33">
            <v>3.5662918547032003</v>
          </cell>
          <cell r="AG33">
            <v>-0.70619491778357268</v>
          </cell>
          <cell r="AH33">
            <v>2.5428796223821286</v>
          </cell>
          <cell r="AI33">
            <v>-0.20621128670878042</v>
          </cell>
        </row>
        <row r="34">
          <cell r="A34" t="str">
            <v>Five Star Buyer, Inc.</v>
          </cell>
          <cell r="B34" t="str">
            <v>Five Star (TL)</v>
          </cell>
          <cell r="C34" t="str">
            <v>Five Star</v>
          </cell>
          <cell r="D34" t="str">
            <v>Five Star Buyer, Inc.</v>
          </cell>
          <cell r="E34" t="str">
            <v>Hotels, Restaurants &amp; Leisure</v>
          </cell>
          <cell r="F34" t="str">
            <v>First Lien</v>
          </cell>
          <cell r="G34" t="str">
            <v>FL</v>
          </cell>
          <cell r="H34" t="str">
            <v>Senior Secured</v>
          </cell>
          <cell r="I34" t="str">
            <v/>
          </cell>
          <cell r="J34">
            <v>0.01</v>
          </cell>
          <cell r="K34">
            <v>7.0000000000000007E-2</v>
          </cell>
          <cell r="L34">
            <v>46806</v>
          </cell>
          <cell r="M34" t="str">
            <v>USA</v>
          </cell>
          <cell r="N34" t="str">
            <v>USD</v>
          </cell>
          <cell r="O34">
            <v>100</v>
          </cell>
          <cell r="P34" t="str">
            <v>Y</v>
          </cell>
          <cell r="Q34" t="str">
            <v>N</v>
          </cell>
          <cell r="R34" t="str">
            <v>Maintenance Covenants</v>
          </cell>
          <cell r="S34" t="str">
            <v>No</v>
          </cell>
          <cell r="T34">
            <v>45747</v>
          </cell>
          <cell r="V34">
            <v>5.9146066381254894</v>
          </cell>
          <cell r="W34">
            <v>21.722999999999999</v>
          </cell>
          <cell r="X34">
            <v>51</v>
          </cell>
          <cell r="Y34">
            <v>21.547999999999998</v>
          </cell>
          <cell r="Z34">
            <v>2.4495015874428256</v>
          </cell>
          <cell r="AA34">
            <v>2.5839056989047706</v>
          </cell>
          <cell r="AB34">
            <v>3.152403935400037</v>
          </cell>
          <cell r="AC34">
            <v>45747</v>
          </cell>
          <cell r="AD34">
            <v>5.9146066381254894</v>
          </cell>
          <cell r="AE34">
            <v>3.3307009392207187</v>
          </cell>
          <cell r="AF34">
            <v>5.9790544584081395</v>
          </cell>
          <cell r="AG34">
            <v>2.8266505230081025</v>
          </cell>
          <cell r="AH34">
            <v>1.3428324163936454</v>
          </cell>
          <cell r="AI34">
            <v>-1.1066691710491803</v>
          </cell>
        </row>
        <row r="35">
          <cell r="A35" t="str">
            <v>Gen3 Marketing</v>
          </cell>
          <cell r="B35" t="str">
            <v>Gen3 Marketing (Term Loan)</v>
          </cell>
          <cell r="C35" t="str">
            <v>Gen3 Marketing</v>
          </cell>
          <cell r="D35" t="str">
            <v>CF512, Inc.</v>
          </cell>
          <cell r="E35" t="str">
            <v>Media</v>
          </cell>
          <cell r="F35" t="str">
            <v>First Lien</v>
          </cell>
          <cell r="G35" t="str">
            <v>FL</v>
          </cell>
          <cell r="H35" t="str">
            <v>Senior Secured</v>
          </cell>
          <cell r="I35" t="str">
            <v/>
          </cell>
          <cell r="J35">
            <v>0.01</v>
          </cell>
          <cell r="K35">
            <v>0.06</v>
          </cell>
          <cell r="L35">
            <v>46266</v>
          </cell>
          <cell r="M35" t="str">
            <v>USA</v>
          </cell>
          <cell r="N35" t="str">
            <v>USD</v>
          </cell>
          <cell r="O35">
            <v>100</v>
          </cell>
          <cell r="P35" t="str">
            <v>Y</v>
          </cell>
          <cell r="Q35" t="str">
            <v>Y</v>
          </cell>
          <cell r="R35" t="str">
            <v>Maintenance Covenants</v>
          </cell>
          <cell r="S35" t="str">
            <v>No</v>
          </cell>
          <cell r="T35">
            <v>45747</v>
          </cell>
          <cell r="V35">
            <v>5.6147306397306398</v>
          </cell>
          <cell r="W35">
            <v>11.88</v>
          </cell>
          <cell r="X35">
            <v>65</v>
          </cell>
          <cell r="Y35">
            <v>12.891999999999999</v>
          </cell>
          <cell r="Z35">
            <v>2.8334065934065928</v>
          </cell>
          <cell r="AA35">
            <v>4.4305771020788089</v>
          </cell>
          <cell r="AB35">
            <v>4.4305771020788089</v>
          </cell>
          <cell r="AC35">
            <v>45747</v>
          </cell>
          <cell r="AD35">
            <v>5.6147306397306398</v>
          </cell>
          <cell r="AE35">
            <v>1.1841535376518308</v>
          </cell>
          <cell r="AF35">
            <v>5.6147306397306398</v>
          </cell>
          <cell r="AG35">
            <v>1.1841535376518308</v>
          </cell>
          <cell r="AH35">
            <v>1.3873642415041458</v>
          </cell>
          <cell r="AI35">
            <v>-1.446042351902447</v>
          </cell>
        </row>
        <row r="36">
          <cell r="A36" t="str">
            <v>ImagineAcquisitionCo</v>
          </cell>
          <cell r="B36" t="str">
            <v>ImagineAcquisitionCo (Term Loan)</v>
          </cell>
          <cell r="C36" t="str">
            <v>ImagineAcquisitionCo</v>
          </cell>
          <cell r="E36" t="str">
            <v>Internet Software &amp; Services</v>
          </cell>
          <cell r="F36" t="str">
            <v>First Lien</v>
          </cell>
          <cell r="G36" t="str">
            <v>FL</v>
          </cell>
          <cell r="H36" t="str">
            <v>Senior Secured</v>
          </cell>
          <cell r="I36" t="str">
            <v/>
          </cell>
          <cell r="J36">
            <v>0.01</v>
          </cell>
          <cell r="K36">
            <v>5.5E-2</v>
          </cell>
          <cell r="L36">
            <v>46707</v>
          </cell>
          <cell r="M36" t="str">
            <v>USA</v>
          </cell>
          <cell r="N36" t="str">
            <v>USD</v>
          </cell>
          <cell r="O36">
            <v>100</v>
          </cell>
          <cell r="P36" t="str">
            <v>Y</v>
          </cell>
          <cell r="Q36" t="str">
            <v>N</v>
          </cell>
          <cell r="R36" t="str">
            <v>Maintenance Covenants</v>
          </cell>
          <cell r="S36" t="str">
            <v>No</v>
          </cell>
          <cell r="T36">
            <v>45657</v>
          </cell>
          <cell r="V36">
            <v>4.0177408122452185</v>
          </cell>
          <cell r="W36">
            <v>34.237690000000001</v>
          </cell>
          <cell r="X36">
            <v>135</v>
          </cell>
          <cell r="Y36">
            <v>12.891999999999999</v>
          </cell>
          <cell r="Z36">
            <v>2.8334065934065928</v>
          </cell>
          <cell r="AA36">
            <v>4.4305771020788089</v>
          </cell>
          <cell r="AB36">
            <v>4.4305771020788089</v>
          </cell>
          <cell r="AC36">
            <v>45657</v>
          </cell>
          <cell r="AD36">
            <v>4.0177408122452185</v>
          </cell>
          <cell r="AE36">
            <v>-0.41283628983359044</v>
          </cell>
          <cell r="AF36">
            <v>4.0177408122452185</v>
          </cell>
          <cell r="AG36">
            <v>-0.41283628983359044</v>
          </cell>
          <cell r="AH36">
            <v>2.2615158489189633</v>
          </cell>
          <cell r="AI36">
            <v>-0.57189074448762955</v>
          </cell>
        </row>
        <row r="37">
          <cell r="A37" t="str">
            <v>K2 Pure Solutions NoCal, L.P.</v>
          </cell>
          <cell r="B37" t="str">
            <v>K2 (Term Loan)</v>
          </cell>
          <cell r="C37" t="str">
            <v>K2</v>
          </cell>
          <cell r="D37" t="str">
            <v>K2 Pure Solutions NoCal, L.P.</v>
          </cell>
          <cell r="E37" t="str">
            <v>Chemicals</v>
          </cell>
          <cell r="F37" t="str">
            <v>First Lien</v>
          </cell>
          <cell r="G37" t="str">
            <v>FL</v>
          </cell>
          <cell r="H37" t="str">
            <v>Senior Secured</v>
          </cell>
          <cell r="I37" t="str">
            <v>CCC*</v>
          </cell>
          <cell r="J37">
            <v>0.01</v>
          </cell>
          <cell r="K37">
            <v>0.1</v>
          </cell>
          <cell r="L37">
            <v>45322</v>
          </cell>
          <cell r="M37" t="str">
            <v>USA</v>
          </cell>
          <cell r="N37" t="str">
            <v>USD</v>
          </cell>
          <cell r="O37">
            <v>100</v>
          </cell>
          <cell r="P37" t="str">
            <v>Y</v>
          </cell>
          <cell r="Q37" t="str">
            <v>N</v>
          </cell>
          <cell r="R37" t="str">
            <v>Maintenance Covenants</v>
          </cell>
          <cell r="S37" t="str">
            <v>No</v>
          </cell>
          <cell r="T37">
            <v>45260</v>
          </cell>
          <cell r="V37">
            <v>1.3005525523832346</v>
          </cell>
          <cell r="W37">
            <v>74.632561999999993</v>
          </cell>
          <cell r="X37">
            <v>140</v>
          </cell>
          <cell r="Y37">
            <v>34.854030999999999</v>
          </cell>
          <cell r="Z37">
            <v>3.1315391734052107</v>
          </cell>
          <cell r="AA37">
            <v>3.8827030939405547</v>
          </cell>
          <cell r="AB37">
            <v>6.7167151483855632</v>
          </cell>
          <cell r="AC37">
            <v>45260</v>
          </cell>
          <cell r="AD37">
            <v>1.3005525523832346</v>
          </cell>
          <cell r="AE37">
            <v>-2.5821505415573203</v>
          </cell>
          <cell r="AF37">
            <v>3.6503120581603512</v>
          </cell>
          <cell r="AG37">
            <v>-3.066403090225212</v>
          </cell>
          <cell r="AH37">
            <v>1.7552554667463411</v>
          </cell>
          <cell r="AI37">
            <v>-1.3762837066588696</v>
          </cell>
        </row>
        <row r="38">
          <cell r="A38" t="str">
            <v>Kinetic Purchaser, LLC</v>
          </cell>
          <cell r="B38" t="str">
            <v>KNS (Term Loan)</v>
          </cell>
          <cell r="C38" t="str">
            <v>KNS</v>
          </cell>
          <cell r="D38" t="str">
            <v>Kinetic Purchaser, LLC</v>
          </cell>
          <cell r="E38" t="str">
            <v>Personal Products</v>
          </cell>
          <cell r="F38" t="str">
            <v>First Lien</v>
          </cell>
          <cell r="G38" t="str">
            <v>FL</v>
          </cell>
          <cell r="H38" t="str">
            <v>Senior Secured</v>
          </cell>
          <cell r="I38" t="str">
            <v/>
          </cell>
          <cell r="J38">
            <v>0.01</v>
          </cell>
          <cell r="K38">
            <v>0.06</v>
          </cell>
          <cell r="L38">
            <v>46701</v>
          </cell>
          <cell r="M38" t="str">
            <v>USA</v>
          </cell>
          <cell r="N38" t="str">
            <v>USD</v>
          </cell>
          <cell r="O38">
            <v>100</v>
          </cell>
          <cell r="P38" t="str">
            <v>Y</v>
          </cell>
          <cell r="Q38" t="str">
            <v>Y</v>
          </cell>
          <cell r="R38" t="str">
            <v>Maintenance Covenants</v>
          </cell>
          <cell r="S38" t="str">
            <v>No</v>
          </cell>
          <cell r="T38">
            <v>45716</v>
          </cell>
          <cell r="V38">
            <v>6.43855349265678</v>
          </cell>
          <cell r="W38">
            <v>10.719022538014499</v>
          </cell>
          <cell r="X38">
            <v>68</v>
          </cell>
          <cell r="Y38">
            <v>17.239999999999998</v>
          </cell>
          <cell r="Z38">
            <v>2.4900000000000002</v>
          </cell>
          <cell r="AA38">
            <v>4.6399999999999997</v>
          </cell>
          <cell r="AB38">
            <v>4.6399999999999997</v>
          </cell>
          <cell r="AC38">
            <v>45716</v>
          </cell>
          <cell r="AD38">
            <v>9.0399999999999991</v>
          </cell>
          <cell r="AE38">
            <v>4.3999999999999995</v>
          </cell>
          <cell r="AF38">
            <v>9.0399999999999991</v>
          </cell>
          <cell r="AG38">
            <v>4.3999999999999995</v>
          </cell>
          <cell r="AH38">
            <v>1.4000443742229502</v>
          </cell>
          <cell r="AI38">
            <v>-1.08995562577705</v>
          </cell>
        </row>
        <row r="39">
          <cell r="A39" t="str">
            <v>LifePort</v>
          </cell>
          <cell r="B39" t="str">
            <v>LifePort (Term Loan)</v>
          </cell>
          <cell r="C39" t="str">
            <v>LifePort</v>
          </cell>
          <cell r="D39" t="str">
            <v>K2 Pure Solutions NoCal, L.P.</v>
          </cell>
          <cell r="E39" t="str">
            <v>Aerospace &amp; Defense</v>
          </cell>
          <cell r="F39" t="str">
            <v>First Lien</v>
          </cell>
          <cell r="G39" t="str">
            <v>FL</v>
          </cell>
          <cell r="H39" t="str">
            <v>Senior Secured</v>
          </cell>
          <cell r="I39" t="str">
            <v>B-*</v>
          </cell>
          <cell r="J39">
            <v>0.01</v>
          </cell>
          <cell r="K39">
            <v>0.06</v>
          </cell>
          <cell r="L39">
            <v>46082</v>
          </cell>
          <cell r="M39" t="str">
            <v>USA</v>
          </cell>
          <cell r="N39" t="str">
            <v>USD</v>
          </cell>
          <cell r="O39" t="str">
            <v>TBD</v>
          </cell>
          <cell r="P39" t="str">
            <v>Y</v>
          </cell>
          <cell r="Q39" t="str">
            <v>N</v>
          </cell>
          <cell r="R39" t="str">
            <v>Maintenance Covenants</v>
          </cell>
          <cell r="S39" t="str">
            <v>No</v>
          </cell>
          <cell r="T39">
            <v>45657</v>
          </cell>
          <cell r="V39">
            <v>1.8714859437751006</v>
          </cell>
          <cell r="W39">
            <v>24.9</v>
          </cell>
          <cell r="X39">
            <v>64.723249999999993</v>
          </cell>
          <cell r="Y39">
            <v>15.228999999999999</v>
          </cell>
          <cell r="Z39">
            <v>3.3613445378151261</v>
          </cell>
          <cell r="AA39">
            <v>4.2699999999999996</v>
          </cell>
          <cell r="AB39">
            <v>4.2699999999999996</v>
          </cell>
          <cell r="AC39">
            <v>45657</v>
          </cell>
          <cell r="AD39">
            <v>1.8714859437751006</v>
          </cell>
          <cell r="AE39">
            <v>-2.398514056224899</v>
          </cell>
          <cell r="AF39">
            <v>1.8714859437751006</v>
          </cell>
          <cell r="AG39">
            <v>-2.398514056224899</v>
          </cell>
          <cell r="AH39">
            <v>6.8739905085981929</v>
          </cell>
          <cell r="AI39">
            <v>3.5126459707830668</v>
          </cell>
        </row>
        <row r="40">
          <cell r="A40" t="str">
            <v>Lash OpCo, LLC</v>
          </cell>
          <cell r="B40" t="str">
            <v>Lilly Lashes (TL)</v>
          </cell>
          <cell r="C40" t="str">
            <v>Lilly Lashes</v>
          </cell>
          <cell r="D40" t="str">
            <v>K2 Pure Solutions NoCal, L.P.</v>
          </cell>
          <cell r="E40" t="str">
            <v>Personal Products</v>
          </cell>
          <cell r="F40" t="str">
            <v>First Lien</v>
          </cell>
          <cell r="G40" t="str">
            <v>FL</v>
          </cell>
          <cell r="H40" t="str">
            <v>Senior Secured</v>
          </cell>
          <cell r="I40" t="str">
            <v>B-*</v>
          </cell>
          <cell r="J40">
            <v>0.01</v>
          </cell>
          <cell r="K40">
            <v>7.0000000000000007E-2</v>
          </cell>
          <cell r="L40">
            <v>46099</v>
          </cell>
          <cell r="M40" t="str">
            <v>USA</v>
          </cell>
          <cell r="N40" t="str">
            <v>USD</v>
          </cell>
          <cell r="O40" t="str">
            <v>TBD</v>
          </cell>
          <cell r="P40" t="str">
            <v>Y</v>
          </cell>
          <cell r="Q40" t="str">
            <v>N</v>
          </cell>
          <cell r="R40" t="str">
            <v>Maintenance Covenants</v>
          </cell>
          <cell r="S40" t="str">
            <v>No</v>
          </cell>
          <cell r="T40">
            <v>45716</v>
          </cell>
          <cell r="V40">
            <v>8.2594417660981527</v>
          </cell>
          <cell r="W40">
            <v>60.446582071593596</v>
          </cell>
          <cell r="X40">
            <v>316</v>
          </cell>
          <cell r="Y40">
            <v>57.462617000000002</v>
          </cell>
          <cell r="Z40">
            <v>2.2122977582240817</v>
          </cell>
          <cell r="AA40">
            <v>5.5235911027163969</v>
          </cell>
          <cell r="AB40">
            <v>5.5235911027163969</v>
          </cell>
          <cell r="AC40">
            <v>45716</v>
          </cell>
          <cell r="AD40">
            <v>8.2594417660981527</v>
          </cell>
          <cell r="AE40">
            <v>2.7358506633817559</v>
          </cell>
          <cell r="AF40">
            <v>8.2594417660981527</v>
          </cell>
          <cell r="AG40">
            <v>2.7358506633817559</v>
          </cell>
          <cell r="AH40">
            <v>0.91660285040263578</v>
          </cell>
          <cell r="AI40">
            <v>-1.2956949078214459</v>
          </cell>
        </row>
        <row r="41">
          <cell r="A41" t="str">
            <v>Lombart Instrument</v>
          </cell>
          <cell r="B41" t="str">
            <v>Lombart Instrument (TL)</v>
          </cell>
          <cell r="C41" t="str">
            <v>Lombart Instrument</v>
          </cell>
          <cell r="D41" t="str">
            <v>Lombart Brothers, Inc.</v>
          </cell>
          <cell r="E41" t="str">
            <v>Health Care Equipment &amp; Supplies</v>
          </cell>
          <cell r="F41" t="str">
            <v>First Lien</v>
          </cell>
          <cell r="G41" t="str">
            <v>FL</v>
          </cell>
          <cell r="H41" t="str">
            <v>Senior Secured</v>
          </cell>
          <cell r="I41" t="str">
            <v>B-*</v>
          </cell>
          <cell r="J41">
            <v>0.01</v>
          </cell>
          <cell r="K41">
            <v>6.25E-2</v>
          </cell>
          <cell r="L41">
            <v>44664</v>
          </cell>
          <cell r="M41" t="str">
            <v>USA</v>
          </cell>
          <cell r="N41" t="str">
            <v>USD</v>
          </cell>
          <cell r="O41">
            <v>100</v>
          </cell>
          <cell r="P41" t="str">
            <v>Y</v>
          </cell>
          <cell r="Q41" t="str">
            <v>N</v>
          </cell>
          <cell r="R41" t="str">
            <v>Maintenance Covenants</v>
          </cell>
          <cell r="S41" t="str">
            <v>No</v>
          </cell>
          <cell r="T41">
            <v>44681</v>
          </cell>
          <cell r="V41">
            <v>5.1163346388125985</v>
          </cell>
          <cell r="W41">
            <v>42.771009999999997</v>
          </cell>
          <cell r="X41">
            <v>33.9</v>
          </cell>
          <cell r="Y41">
            <v>13.00685</v>
          </cell>
          <cell r="Z41">
            <v>2.1445142620004409</v>
          </cell>
          <cell r="AA41">
            <v>5.0999999999999996</v>
          </cell>
          <cell r="AB41">
            <v>5.0999999999999996</v>
          </cell>
          <cell r="AC41">
            <v>44681</v>
          </cell>
          <cell r="AD41">
            <v>5.6768747803710973</v>
          </cell>
          <cell r="AE41">
            <v>0.57687478037109763</v>
          </cell>
          <cell r="AF41">
            <v>5.6768747803710973</v>
          </cell>
          <cell r="AG41">
            <v>0.57687478037109763</v>
          </cell>
          <cell r="AH41">
            <v>2.2729452921996858</v>
          </cell>
          <cell r="AI41">
            <v>0.12843103019924484</v>
          </cell>
        </row>
        <row r="42">
          <cell r="A42" t="str">
            <v>MAG Aerospace</v>
          </cell>
          <cell r="B42" t="str">
            <v>MAG Aerospace (TL)</v>
          </cell>
          <cell r="C42" t="str">
            <v>MAG Aerospace</v>
          </cell>
          <cell r="E42" t="str">
            <v>Aerospace &amp; Defense</v>
          </cell>
          <cell r="F42" t="str">
            <v>First Lien</v>
          </cell>
          <cell r="G42" t="str">
            <v>FL</v>
          </cell>
          <cell r="H42" t="str">
            <v>Senior Secured</v>
          </cell>
          <cell r="I42" t="str">
            <v>B</v>
          </cell>
          <cell r="J42">
            <v>0.01</v>
          </cell>
          <cell r="K42">
            <v>5.5E-2</v>
          </cell>
          <cell r="L42">
            <v>46478</v>
          </cell>
          <cell r="M42" t="str">
            <v>USA</v>
          </cell>
          <cell r="N42" t="str">
            <v>USD</v>
          </cell>
          <cell r="O42">
            <v>100</v>
          </cell>
          <cell r="P42" t="str">
            <v>Y</v>
          </cell>
          <cell r="Q42" t="str">
            <v>Y</v>
          </cell>
          <cell r="R42" t="str">
            <v>Maintenance Covenants</v>
          </cell>
          <cell r="S42" t="str">
            <v>Yes</v>
          </cell>
          <cell r="T42">
            <v>45657</v>
          </cell>
          <cell r="V42">
            <v>6.1160131828680981</v>
          </cell>
          <cell r="W42">
            <v>44.629134999999998</v>
          </cell>
          <cell r="X42">
            <v>290.7</v>
          </cell>
          <cell r="Y42">
            <v>60.8</v>
          </cell>
          <cell r="Z42">
            <v>3.2176973353443943</v>
          </cell>
          <cell r="AA42">
            <v>4.3667763157894735</v>
          </cell>
          <cell r="AB42">
            <v>4.3667763157894735</v>
          </cell>
          <cell r="AC42">
            <v>45657</v>
          </cell>
          <cell r="AD42">
            <v>6.1160131828680981</v>
          </cell>
          <cell r="AE42">
            <v>1.7492368670786247</v>
          </cell>
          <cell r="AF42">
            <v>6.1160131828680981</v>
          </cell>
          <cell r="AG42">
            <v>1.7492368670786247</v>
          </cell>
          <cell r="AH42">
            <v>1.3733731843919252</v>
          </cell>
          <cell r="AI42">
            <v>-1.844324150952469</v>
          </cell>
        </row>
        <row r="43">
          <cell r="A43" t="str">
            <v>Mars Agency</v>
          </cell>
          <cell r="B43" t="str">
            <v>Mars Agency (Term Loan)</v>
          </cell>
          <cell r="C43" t="str">
            <v>Mars Agency</v>
          </cell>
          <cell r="E43" t="str">
            <v>Media</v>
          </cell>
          <cell r="F43" t="str">
            <v>First Lien</v>
          </cell>
          <cell r="G43" t="str">
            <v>FL</v>
          </cell>
          <cell r="H43" t="str">
            <v>Senior Secured</v>
          </cell>
          <cell r="I43" t="str">
            <v>B-*</v>
          </cell>
          <cell r="J43">
            <v>0.01</v>
          </cell>
          <cell r="K43">
            <v>5.5E-2</v>
          </cell>
          <cell r="L43">
            <v>46156</v>
          </cell>
          <cell r="M43" t="str">
            <v>USA</v>
          </cell>
          <cell r="N43" t="str">
            <v>USD</v>
          </cell>
          <cell r="O43">
            <v>100</v>
          </cell>
          <cell r="P43" t="str">
            <v>Y</v>
          </cell>
          <cell r="Q43" t="str">
            <v>N</v>
          </cell>
          <cell r="R43" t="str">
            <v>Maintenance Covenants</v>
          </cell>
          <cell r="S43" t="str">
            <v>No</v>
          </cell>
          <cell r="T43">
            <v>45504</v>
          </cell>
          <cell r="V43">
            <v>0.3613874860132455</v>
          </cell>
          <cell r="W43">
            <v>33.067</v>
          </cell>
          <cell r="X43">
            <v>70.430000000000007</v>
          </cell>
          <cell r="Y43">
            <v>23.908000000000001</v>
          </cell>
          <cell r="Z43">
            <v>4.8932432432432433</v>
          </cell>
          <cell r="AA43">
            <v>1.2575288606324242</v>
          </cell>
          <cell r="AB43">
            <v>1.2575288606324242</v>
          </cell>
          <cell r="AC43">
            <v>45504</v>
          </cell>
          <cell r="AD43">
            <v>0.3613874860132455</v>
          </cell>
          <cell r="AE43">
            <v>-0.89614137461917864</v>
          </cell>
          <cell r="AF43">
            <v>0.3613874860132455</v>
          </cell>
          <cell r="AG43">
            <v>-0.89614137461917864</v>
          </cell>
          <cell r="AH43">
            <v>4.8899999999999997</v>
          </cell>
          <cell r="AI43">
            <v>-3.2432432432436542E-3</v>
          </cell>
        </row>
        <row r="44">
          <cell r="A44" t="str">
            <v>Molded Devices</v>
          </cell>
          <cell r="B44" t="str">
            <v>MDI (TL)</v>
          </cell>
          <cell r="C44" t="str">
            <v>Molded Devices</v>
          </cell>
          <cell r="D44" t="str">
            <v>MDI Buyer, Inc</v>
          </cell>
          <cell r="E44" t="str">
            <v>Distributors</v>
          </cell>
          <cell r="F44" t="str">
            <v>First Lien</v>
          </cell>
          <cell r="G44" t="str">
            <v>FL</v>
          </cell>
          <cell r="H44" t="str">
            <v>Senior Secured</v>
          </cell>
          <cell r="I44" t="str">
            <v/>
          </cell>
          <cell r="J44">
            <v>0.01</v>
          </cell>
          <cell r="K44">
            <v>0.06</v>
          </cell>
          <cell r="L44">
            <v>46959</v>
          </cell>
          <cell r="M44" t="str">
            <v>USA</v>
          </cell>
          <cell r="N44" t="str">
            <v>USD</v>
          </cell>
          <cell r="O44" t="str">
            <v>TBD</v>
          </cell>
          <cell r="P44" t="str">
            <v>Y</v>
          </cell>
          <cell r="Q44" t="str">
            <v>N</v>
          </cell>
          <cell r="R44" t="str">
            <v>Maintenance Covenants</v>
          </cell>
          <cell r="S44" t="str">
            <v>No</v>
          </cell>
          <cell r="T44">
            <v>45716</v>
          </cell>
          <cell r="V44">
            <v>5.1521666846024381</v>
          </cell>
          <cell r="W44">
            <v>34.693124628021437</v>
          </cell>
          <cell r="X44">
            <v>97</v>
          </cell>
          <cell r="Y44">
            <v>16.100000000000001</v>
          </cell>
          <cell r="Z44">
            <v>2.3333333333333335</v>
          </cell>
          <cell r="AA44">
            <v>6.02</v>
          </cell>
          <cell r="AB44">
            <v>7.58</v>
          </cell>
          <cell r="AC44">
            <v>45716</v>
          </cell>
          <cell r="AD44">
            <v>5.1521666846024381</v>
          </cell>
          <cell r="AE44">
            <v>-0.86783331539756148</v>
          </cell>
          <cell r="AF44">
            <v>6.6898479932762607</v>
          </cell>
          <cell r="AG44">
            <v>-0.8901520067237394</v>
          </cell>
          <cell r="AH44">
            <v>2.33</v>
          </cell>
          <cell r="AI44">
            <v>-3.3333333333334103E-3</v>
          </cell>
        </row>
        <row r="45">
          <cell r="A45" t="str">
            <v>Seaway Plastics</v>
          </cell>
          <cell r="B45" t="str">
            <v>Seaway (TL)</v>
          </cell>
          <cell r="C45" t="str">
            <v>Seaway Plastics</v>
          </cell>
          <cell r="D45" t="str">
            <v>Seaway Buyer, LLC</v>
          </cell>
          <cell r="E45" t="str">
            <v>Distributors</v>
          </cell>
          <cell r="F45" t="str">
            <v>First Lien</v>
          </cell>
          <cell r="G45" t="str">
            <v>FL</v>
          </cell>
          <cell r="H45" t="str">
            <v>Senior Secured</v>
          </cell>
          <cell r="I45" t="str">
            <v/>
          </cell>
          <cell r="J45">
            <v>0.01</v>
          </cell>
          <cell r="K45">
            <v>6.0499999999999998E-2</v>
          </cell>
          <cell r="L45">
            <v>47282</v>
          </cell>
          <cell r="M45" t="str">
            <v>USA</v>
          </cell>
          <cell r="N45" t="str">
            <v>USD</v>
          </cell>
          <cell r="O45" t="str">
            <v>TBD</v>
          </cell>
          <cell r="P45" t="str">
            <v>Y</v>
          </cell>
          <cell r="Q45" t="str">
            <v>N</v>
          </cell>
          <cell r="R45" t="str">
            <v>Maintenance Covenants</v>
          </cell>
          <cell r="S45" t="str">
            <v>No</v>
          </cell>
          <cell r="T45">
            <v>45747</v>
          </cell>
          <cell r="V45">
            <v>8.0705578974252443</v>
          </cell>
          <cell r="W45">
            <v>7.7212759999999996</v>
          </cell>
          <cell r="X45">
            <v>59.72</v>
          </cell>
          <cell r="Y45">
            <v>7.7889999999999997</v>
          </cell>
          <cell r="Z45">
            <v>2.8888888888888888</v>
          </cell>
          <cell r="AA45">
            <v>4.96</v>
          </cell>
          <cell r="AB45">
            <v>4.96</v>
          </cell>
          <cell r="AC45">
            <v>45747</v>
          </cell>
          <cell r="AD45">
            <v>8.0705578974252443</v>
          </cell>
          <cell r="AE45">
            <v>3.1105578974252444</v>
          </cell>
          <cell r="AF45">
            <v>8.0705578974252443</v>
          </cell>
          <cell r="AG45">
            <v>3.1105578974252444</v>
          </cell>
          <cell r="AH45">
            <v>2.8889999999999998</v>
          </cell>
          <cell r="AI45">
            <v>1.1111111111095084E-4</v>
          </cell>
        </row>
        <row r="46">
          <cell r="A46" t="str">
            <v xml:space="preserve">System Planning and Analysis, Inc. </v>
          </cell>
          <cell r="B46" t="str">
            <v>MCR (Term Loan)</v>
          </cell>
          <cell r="C46" t="str">
            <v>MCR</v>
          </cell>
          <cell r="E46" t="str">
            <v>Aerospace &amp; Defense</v>
          </cell>
          <cell r="F46" t="str">
            <v>First Lien</v>
          </cell>
          <cell r="G46" t="str">
            <v>FL</v>
          </cell>
          <cell r="H46" t="str">
            <v>Senior Secured</v>
          </cell>
          <cell r="J46">
            <v>0.01</v>
          </cell>
          <cell r="K46">
            <v>0.06</v>
          </cell>
          <cell r="L46">
            <v>46615</v>
          </cell>
          <cell r="M46" t="str">
            <v>USA</v>
          </cell>
          <cell r="N46" t="str">
            <v>USD</v>
          </cell>
          <cell r="O46">
            <v>100</v>
          </cell>
          <cell r="P46" t="str">
            <v>Y</v>
          </cell>
          <cell r="Q46" t="str">
            <v>Y</v>
          </cell>
          <cell r="R46" t="str">
            <v>Maintenance Covenants</v>
          </cell>
          <cell r="S46" t="str">
            <v>No</v>
          </cell>
          <cell r="T46">
            <v>45657</v>
          </cell>
          <cell r="V46">
            <v>5.0369789038731625</v>
          </cell>
          <cell r="W46">
            <v>64.788669999999996</v>
          </cell>
          <cell r="X46">
            <v>244</v>
          </cell>
          <cell r="Y46">
            <v>23.908000000000001</v>
          </cell>
          <cell r="Z46">
            <v>2.3711943793911003</v>
          </cell>
          <cell r="AA46">
            <v>1.2575288606324242</v>
          </cell>
          <cell r="AB46">
            <v>1.2575288606324242</v>
          </cell>
          <cell r="AC46">
            <v>45657</v>
          </cell>
          <cell r="AD46">
            <v>5.0369789038731625</v>
          </cell>
          <cell r="AE46">
            <v>3.7794500432407383</v>
          </cell>
          <cell r="AF46">
            <v>5.0369789038731625</v>
          </cell>
          <cell r="AG46">
            <v>3.7794500432407383</v>
          </cell>
          <cell r="AH46">
            <v>4.8899999999999997</v>
          </cell>
          <cell r="AI46">
            <v>2.5188056206088993</v>
          </cell>
        </row>
        <row r="47">
          <cell r="A47" t="str">
            <v>MES</v>
          </cell>
          <cell r="B47" t="str">
            <v>MES (Term Loan)</v>
          </cell>
          <cell r="C47" t="str">
            <v>MES</v>
          </cell>
          <cell r="E47" t="str">
            <v>Distributors</v>
          </cell>
          <cell r="F47" t="str">
            <v>First Lien</v>
          </cell>
          <cell r="G47" t="str">
            <v>FL</v>
          </cell>
          <cell r="H47" t="str">
            <v>Senior Secured</v>
          </cell>
          <cell r="I47" t="str">
            <v>B-*</v>
          </cell>
          <cell r="J47">
            <v>0.01</v>
          </cell>
          <cell r="K47">
            <v>0.05</v>
          </cell>
          <cell r="L47">
            <v>46661</v>
          </cell>
          <cell r="M47" t="str">
            <v>USA</v>
          </cell>
          <cell r="N47" t="str">
            <v>USD</v>
          </cell>
          <cell r="O47">
            <v>100</v>
          </cell>
          <cell r="P47" t="str">
            <v>Y</v>
          </cell>
          <cell r="Q47" t="str">
            <v>N</v>
          </cell>
          <cell r="R47" t="str">
            <v>Maintenance Covenants</v>
          </cell>
          <cell r="S47" t="str">
            <v>No</v>
          </cell>
          <cell r="T47">
            <v>45747</v>
          </cell>
          <cell r="V47">
            <v>3.1731161297419259</v>
          </cell>
          <cell r="W47">
            <v>41.47227067</v>
          </cell>
          <cell r="X47">
            <v>92.5</v>
          </cell>
          <cell r="Y47">
            <v>20.126999999999999</v>
          </cell>
          <cell r="Z47">
            <v>3.5623008849557518</v>
          </cell>
          <cell r="AA47">
            <v>4.0621553137576392</v>
          </cell>
          <cell r="AB47">
            <v>4.0621553137576392</v>
          </cell>
          <cell r="AC47">
            <v>45747</v>
          </cell>
          <cell r="AD47">
            <v>3.1731161297419259</v>
          </cell>
          <cell r="AE47">
            <v>-0.88903918401571325</v>
          </cell>
          <cell r="AF47">
            <v>3.1731161297419259</v>
          </cell>
          <cell r="AG47">
            <v>-0.88903918401571325</v>
          </cell>
          <cell r="AH47">
            <v>3.2173760968793781</v>
          </cell>
          <cell r="AI47">
            <v>-0.34492478807637372</v>
          </cell>
        </row>
        <row r="48">
          <cell r="A48" t="str">
            <v>MeritDirect</v>
          </cell>
          <cell r="B48" t="str">
            <v>MeritDirect (Term Loan)</v>
          </cell>
          <cell r="C48" t="str">
            <v>MeritDirect</v>
          </cell>
          <cell r="E48" t="str">
            <v>Media</v>
          </cell>
          <cell r="F48" t="str">
            <v>First Lien</v>
          </cell>
          <cell r="G48" t="str">
            <v>FL</v>
          </cell>
          <cell r="H48" t="str">
            <v>Senior Secured</v>
          </cell>
          <cell r="I48" t="str">
            <v>B-*</v>
          </cell>
          <cell r="J48">
            <v>0.01</v>
          </cell>
          <cell r="K48">
            <v>5.5E-2</v>
          </cell>
          <cell r="L48">
            <v>46203</v>
          </cell>
          <cell r="M48" t="str">
            <v>USA</v>
          </cell>
          <cell r="N48" t="str">
            <v>USD</v>
          </cell>
          <cell r="O48">
            <v>100</v>
          </cell>
          <cell r="P48" t="str">
            <v>Y</v>
          </cell>
          <cell r="Q48" t="str">
            <v>Y</v>
          </cell>
          <cell r="R48" t="str">
            <v>Maintenance Covenants</v>
          </cell>
          <cell r="S48" t="str">
            <v>No</v>
          </cell>
          <cell r="T48">
            <v>45716</v>
          </cell>
          <cell r="V48">
            <v>4.7174470868014273</v>
          </cell>
          <cell r="W48">
            <v>25.23</v>
          </cell>
          <cell r="X48">
            <v>55</v>
          </cell>
          <cell r="Y48">
            <v>11.048999999999999</v>
          </cell>
          <cell r="Z48">
            <v>2.4553333333333334</v>
          </cell>
          <cell r="AA48">
            <v>4.9778260476061185</v>
          </cell>
          <cell r="AB48">
            <v>4.9778260476061185</v>
          </cell>
          <cell r="AC48">
            <v>45716</v>
          </cell>
          <cell r="AD48">
            <v>4.7174470868014273</v>
          </cell>
          <cell r="AE48">
            <v>-0.26037896080469114</v>
          </cell>
          <cell r="AF48">
            <v>4.7206500198176773</v>
          </cell>
          <cell r="AG48">
            <v>-0.25717602778844117</v>
          </cell>
          <cell r="AH48">
            <v>1.7363402736934745</v>
          </cell>
          <cell r="AI48">
            <v>-0.71899305963985882</v>
          </cell>
        </row>
        <row r="49">
          <cell r="A49" t="str">
            <v>Meadowlark</v>
          </cell>
          <cell r="B49" t="str">
            <v>Meadowlark (DDTL II)</v>
          </cell>
          <cell r="C49" t="str">
            <v>Meadowlark</v>
          </cell>
          <cell r="E49" t="str">
            <v>Real Estate Management and Development</v>
          </cell>
          <cell r="F49" t="str">
            <v>First Lien</v>
          </cell>
          <cell r="G49" t="str">
            <v>FL</v>
          </cell>
          <cell r="H49" t="str">
            <v>Senior Secured</v>
          </cell>
          <cell r="I49" t="str">
            <v/>
          </cell>
          <cell r="J49">
            <v>0.01</v>
          </cell>
          <cell r="K49">
            <v>5.7500000000000002E-2</v>
          </cell>
          <cell r="L49">
            <v>46742</v>
          </cell>
          <cell r="M49" t="str">
            <v>USA</v>
          </cell>
          <cell r="N49" t="str">
            <v>USD</v>
          </cell>
          <cell r="O49" t="str">
            <v>TBD</v>
          </cell>
          <cell r="P49" t="str">
            <v>Y</v>
          </cell>
          <cell r="Q49" t="str">
            <v>Y</v>
          </cell>
          <cell r="R49" t="str">
            <v>Maintenance Covenants</v>
          </cell>
          <cell r="S49" t="str">
            <v>No</v>
          </cell>
          <cell r="T49">
            <v>45716</v>
          </cell>
          <cell r="V49">
            <v>5.4451383567886564</v>
          </cell>
          <cell r="W49">
            <v>12.531839</v>
          </cell>
          <cell r="X49">
            <v>82.5</v>
          </cell>
          <cell r="Y49">
            <v>21.779292000000002</v>
          </cell>
          <cell r="Z49">
            <v>5.9658256373255876</v>
          </cell>
          <cell r="AA49">
            <v>2.29</v>
          </cell>
          <cell r="AB49">
            <v>2.29</v>
          </cell>
          <cell r="AC49">
            <v>45716</v>
          </cell>
          <cell r="AD49">
            <v>5.4451383567886564</v>
          </cell>
          <cell r="AE49">
            <v>3.1551383567886564</v>
          </cell>
          <cell r="AF49">
            <v>5.4451383567886564</v>
          </cell>
          <cell r="AG49">
            <v>3.1551383567886564</v>
          </cell>
          <cell r="AH49">
            <v>1.6073019903109946</v>
          </cell>
          <cell r="AI49">
            <v>-4.3585236470145929</v>
          </cell>
        </row>
        <row r="50">
          <cell r="A50" t="str">
            <v>MBS Holdings, Inc.</v>
          </cell>
          <cell r="B50" t="str">
            <v>Momentum (Term Loan)</v>
          </cell>
          <cell r="C50" t="str">
            <v>Momentum</v>
          </cell>
          <cell r="E50" t="str">
            <v>IT Services</v>
          </cell>
          <cell r="F50" t="str">
            <v>First Lien</v>
          </cell>
          <cell r="G50" t="str">
            <v>FL</v>
          </cell>
          <cell r="H50" t="str">
            <v>Senior Secured</v>
          </cell>
          <cell r="I50" t="str">
            <v>B-*</v>
          </cell>
          <cell r="J50">
            <v>0.01</v>
          </cell>
          <cell r="K50">
            <v>5.7500000000000002E-2</v>
          </cell>
          <cell r="L50">
            <v>46493</v>
          </cell>
          <cell r="M50" t="str">
            <v>USA</v>
          </cell>
          <cell r="N50" t="str">
            <v>USD</v>
          </cell>
          <cell r="O50">
            <v>100</v>
          </cell>
          <cell r="P50" t="str">
            <v>Y</v>
          </cell>
          <cell r="Q50" t="str">
            <v>Y</v>
          </cell>
          <cell r="R50" t="str">
            <v>Maintenance Covenants</v>
          </cell>
          <cell r="S50" t="str">
            <v>No</v>
          </cell>
          <cell r="T50">
            <v>45657</v>
          </cell>
          <cell r="V50">
            <v>5.5018762621517325</v>
          </cell>
          <cell r="W50">
            <v>55.115698999999999</v>
          </cell>
          <cell r="X50">
            <v>270</v>
          </cell>
          <cell r="Y50">
            <v>45.784695363742699</v>
          </cell>
          <cell r="Z50">
            <v>2.5121917895057719</v>
          </cell>
          <cell r="AA50">
            <v>5.7457191297230787</v>
          </cell>
          <cell r="AB50">
            <v>5.7457191297230787</v>
          </cell>
          <cell r="AC50">
            <v>45657</v>
          </cell>
          <cell r="AD50">
            <v>5.5018762621517325</v>
          </cell>
          <cell r="AE50">
            <v>-0.24384286757134621</v>
          </cell>
          <cell r="AF50">
            <v>5.5018762621517325</v>
          </cell>
          <cell r="AG50">
            <v>-0.24384286757134621</v>
          </cell>
          <cell r="AH50">
            <v>1.4913156822673923</v>
          </cell>
          <cell r="AI50">
            <v>-1.0208761072383796</v>
          </cell>
        </row>
        <row r="51">
          <cell r="A51" t="str">
            <v>IDC Infusion Services</v>
          </cell>
          <cell r="B51" t="str">
            <v>IDC Infusion Services (Term Loan)</v>
          </cell>
          <cell r="C51" t="str">
            <v>IDC Infusion Services</v>
          </cell>
          <cell r="E51" t="str">
            <v>Health Care Providers &amp; Services</v>
          </cell>
          <cell r="F51" t="str">
            <v>First Lien</v>
          </cell>
          <cell r="G51" t="str">
            <v>FL</v>
          </cell>
          <cell r="H51" t="str">
            <v>Senior Secured</v>
          </cell>
          <cell r="I51" t="str">
            <v/>
          </cell>
          <cell r="J51">
            <v>0.01</v>
          </cell>
          <cell r="K51">
            <v>0.06</v>
          </cell>
          <cell r="L51">
            <v>46386</v>
          </cell>
          <cell r="M51" t="str">
            <v>USA</v>
          </cell>
          <cell r="N51" t="str">
            <v>USD</v>
          </cell>
          <cell r="O51" t="str">
            <v>TBD</v>
          </cell>
          <cell r="P51" t="str">
            <v>Y</v>
          </cell>
          <cell r="Q51" t="str">
            <v>N</v>
          </cell>
          <cell r="R51" t="str">
            <v>Maintenance Covenants</v>
          </cell>
          <cell r="S51" t="str">
            <v>No</v>
          </cell>
          <cell r="T51">
            <v>45657</v>
          </cell>
          <cell r="V51">
            <v>5.1636259230404198</v>
          </cell>
          <cell r="W51">
            <v>56.002312801104203</v>
          </cell>
          <cell r="X51">
            <v>17.5</v>
          </cell>
          <cell r="Y51">
            <v>4.3415410720535501</v>
          </cell>
          <cell r="Z51">
            <v>3.5441151608600414</v>
          </cell>
          <cell r="AA51">
            <v>4.0308267754616667</v>
          </cell>
          <cell r="AB51">
            <v>4.0308267754616667</v>
          </cell>
          <cell r="AC51">
            <v>45657</v>
          </cell>
          <cell r="AD51">
            <v>0</v>
          </cell>
          <cell r="AE51">
            <v>-4.0308267754616667</v>
          </cell>
          <cell r="AF51">
            <v>5.1636259230404198</v>
          </cell>
          <cell r="AG51">
            <v>1.1327991475787531</v>
          </cell>
          <cell r="AH51">
            <v>1.9535186086249949</v>
          </cell>
          <cell r="AI51">
            <v>-1.5905965522350465</v>
          </cell>
        </row>
        <row r="52">
          <cell r="A52" t="str">
            <v>Wildcat Buyerco, Inc.</v>
          </cell>
          <cell r="B52" t="str">
            <v>Nsi Industries (Term Loan)</v>
          </cell>
          <cell r="C52" t="str">
            <v>Nsi Industries</v>
          </cell>
          <cell r="E52" t="str">
            <v>Electronic Equipment, Instruments &amp; Components</v>
          </cell>
          <cell r="F52" t="str">
            <v>First Lien</v>
          </cell>
          <cell r="G52" t="str">
            <v>FL</v>
          </cell>
          <cell r="H52" t="str">
            <v>Senior Secured</v>
          </cell>
          <cell r="I52" t="str">
            <v>B-*</v>
          </cell>
          <cell r="J52">
            <v>0.01</v>
          </cell>
          <cell r="K52">
            <v>5.5E-2</v>
          </cell>
          <cell r="L52">
            <v>46080</v>
          </cell>
          <cell r="M52" t="str">
            <v>USA</v>
          </cell>
          <cell r="N52" t="str">
            <v>USD</v>
          </cell>
          <cell r="O52">
            <v>100</v>
          </cell>
          <cell r="P52" t="str">
            <v>Y</v>
          </cell>
          <cell r="Q52" t="str">
            <v>N</v>
          </cell>
          <cell r="R52" t="str">
            <v>Maintenance Covenants</v>
          </cell>
          <cell r="S52" t="str">
            <v>No</v>
          </cell>
          <cell r="T52">
            <v>45504</v>
          </cell>
          <cell r="V52">
            <v>4.8023931322025772</v>
          </cell>
          <cell r="W52">
            <v>158.53700000000001</v>
          </cell>
          <cell r="X52">
            <v>210</v>
          </cell>
          <cell r="Y52">
            <v>49.565403000000003</v>
          </cell>
          <cell r="Z52">
            <v>3.0655061770390417</v>
          </cell>
          <cell r="AA52">
            <v>4.5450049099772274</v>
          </cell>
          <cell r="AB52">
            <v>4.5450049099772274</v>
          </cell>
          <cell r="AC52">
            <v>45504</v>
          </cell>
          <cell r="AD52">
            <v>4.8023931322025772</v>
          </cell>
          <cell r="AE52">
            <v>0.25738822222534985</v>
          </cell>
          <cell r="AF52">
            <v>4.8023931322025772</v>
          </cell>
          <cell r="AG52">
            <v>0.25738822222534985</v>
          </cell>
          <cell r="AH52">
            <v>1.8468465320006524</v>
          </cell>
          <cell r="AI52">
            <v>-1.2186596450383893</v>
          </cell>
        </row>
        <row r="53">
          <cell r="A53" t="str">
            <v>Ox</v>
          </cell>
          <cell r="B53" t="str">
            <v>Ox (Term Loan)</v>
          </cell>
          <cell r="C53" t="str">
            <v>Ox</v>
          </cell>
          <cell r="E53" t="e">
            <v>#N/A</v>
          </cell>
          <cell r="F53" t="str">
            <v>First Lien</v>
          </cell>
          <cell r="G53" t="str">
            <v>FL</v>
          </cell>
          <cell r="H53" t="str">
            <v>Senior Secured</v>
          </cell>
          <cell r="I53" t="str">
            <v>B-*</v>
          </cell>
          <cell r="J53">
            <v>0.01</v>
          </cell>
          <cell r="K53">
            <v>0.06</v>
          </cell>
          <cell r="L53">
            <v>46160</v>
          </cell>
          <cell r="M53" t="str">
            <v>USA</v>
          </cell>
          <cell r="N53" t="str">
            <v>USD</v>
          </cell>
          <cell r="O53">
            <v>100</v>
          </cell>
          <cell r="P53" t="str">
            <v>Y</v>
          </cell>
          <cell r="Q53" t="e">
            <v>#N/A</v>
          </cell>
          <cell r="R53" t="str">
            <v>Maintenance Covenants</v>
          </cell>
          <cell r="S53" t="str">
            <v>No</v>
          </cell>
          <cell r="T53" t="e">
            <v>#N/A</v>
          </cell>
          <cell r="V53" t="e">
            <v>#DIV/0!</v>
          </cell>
          <cell r="W53">
            <v>0</v>
          </cell>
          <cell r="X53">
            <v>60</v>
          </cell>
          <cell r="Y53" t="e">
            <v>#N/A</v>
          </cell>
          <cell r="Z53" t="e">
            <v>#N/A</v>
          </cell>
          <cell r="AA53" t="e">
            <v>#N/A</v>
          </cell>
          <cell r="AB53" t="e">
            <v>#N/A</v>
          </cell>
          <cell r="AC53" t="e">
            <v>#N/A</v>
          </cell>
          <cell r="AD53" t="e">
            <v>#N/A</v>
          </cell>
          <cell r="AE53" t="e">
            <v>#N/A</v>
          </cell>
          <cell r="AF53" t="e">
            <v>#N/A</v>
          </cell>
          <cell r="AG53" t="e">
            <v>#N/A</v>
          </cell>
          <cell r="AH53" t="e">
            <v>#N/A</v>
          </cell>
          <cell r="AI53" t="e">
            <v>#N/A</v>
          </cell>
        </row>
        <row r="54">
          <cell r="A54" t="str">
            <v>NBH Group LLC</v>
          </cell>
          <cell r="B54" t="str">
            <v>Nevada Behavioral Health Systems (Term Loan)</v>
          </cell>
          <cell r="C54" t="str">
            <v>Nevada Behavioral Health Systems</v>
          </cell>
          <cell r="E54" t="str">
            <v>Health Care Providers &amp; Services</v>
          </cell>
          <cell r="F54" t="str">
            <v>First Lien</v>
          </cell>
          <cell r="G54" t="str">
            <v>FL</v>
          </cell>
          <cell r="H54" t="str">
            <v>Senior Secured</v>
          </cell>
          <cell r="I54" t="str">
            <v>B*</v>
          </cell>
          <cell r="J54">
            <v>0.01</v>
          </cell>
          <cell r="K54">
            <v>5.5E-2</v>
          </cell>
          <cell r="L54">
            <v>46253</v>
          </cell>
          <cell r="M54" t="str">
            <v>USA</v>
          </cell>
          <cell r="N54" t="str">
            <v>USD</v>
          </cell>
          <cell r="O54" t="str">
            <v>TBD</v>
          </cell>
          <cell r="P54" t="str">
            <v>Y</v>
          </cell>
          <cell r="Q54" t="str">
            <v>N</v>
          </cell>
          <cell r="R54" t="str">
            <v>Maintenance Covenants</v>
          </cell>
          <cell r="S54" t="str">
            <v>No</v>
          </cell>
          <cell r="T54">
            <v>45747</v>
          </cell>
          <cell r="V54">
            <v>3.944497998481638</v>
          </cell>
          <cell r="W54">
            <v>16.859440640000006</v>
          </cell>
          <cell r="X54">
            <v>80</v>
          </cell>
          <cell r="Y54">
            <v>21.248000000000001</v>
          </cell>
          <cell r="Z54">
            <v>4.086153846153846</v>
          </cell>
          <cell r="AA54">
            <v>4.4558003510918676</v>
          </cell>
          <cell r="AB54">
            <v>4.4558003510918676</v>
          </cell>
          <cell r="AC54">
            <v>45747</v>
          </cell>
          <cell r="AD54">
            <v>3.944497998481638</v>
          </cell>
          <cell r="AE54">
            <v>-0.5113023526102296</v>
          </cell>
          <cell r="AF54">
            <v>3.944497998481638</v>
          </cell>
          <cell r="AG54">
            <v>-0.5113023526102296</v>
          </cell>
          <cell r="AH54">
            <v>1.8811237480801419</v>
          </cell>
          <cell r="AI54">
            <v>-2.2050300980737041</v>
          </cell>
        </row>
        <row r="55">
          <cell r="A55" t="str">
            <v>Graffiti Buyer, Inc.</v>
          </cell>
          <cell r="B55" t="str">
            <v>Painters Supply and Equipment (Term Loan)</v>
          </cell>
          <cell r="C55" t="str">
            <v>Painters Supply and Equipment</v>
          </cell>
          <cell r="E55" t="str">
            <v>Distributors</v>
          </cell>
          <cell r="F55" t="str">
            <v>First Lien</v>
          </cell>
          <cell r="G55" t="str">
            <v>FL</v>
          </cell>
          <cell r="H55" t="str">
            <v>Senior Secured</v>
          </cell>
          <cell r="I55" t="str">
            <v>B-*</v>
          </cell>
          <cell r="J55">
            <v>0.01</v>
          </cell>
          <cell r="K55">
            <v>5.7500000000000002E-2</v>
          </cell>
          <cell r="L55">
            <v>46609</v>
          </cell>
          <cell r="M55" t="str">
            <v>USA</v>
          </cell>
          <cell r="N55" t="str">
            <v>USD</v>
          </cell>
          <cell r="O55" t="str">
            <v>TBD</v>
          </cell>
          <cell r="P55" t="str">
            <v>Y</v>
          </cell>
          <cell r="Q55" t="str">
            <v>Y</v>
          </cell>
          <cell r="R55" t="str">
            <v>Maintenance Covenants</v>
          </cell>
          <cell r="S55" t="str">
            <v>No</v>
          </cell>
          <cell r="T55">
            <v>45657</v>
          </cell>
          <cell r="V55">
            <v>6.9894048859037783</v>
          </cell>
          <cell r="W55">
            <v>38.635507681721897</v>
          </cell>
          <cell r="X55">
            <v>134</v>
          </cell>
          <cell r="Y55">
            <v>22.354274519959599</v>
          </cell>
          <cell r="Z55">
            <v>2.4714510248711554</v>
          </cell>
          <cell r="AA55">
            <v>5.9943792799160001</v>
          </cell>
          <cell r="AB55">
            <v>5.9943792799160001</v>
          </cell>
          <cell r="AC55">
            <v>45657</v>
          </cell>
          <cell r="AD55">
            <v>6.9894048859037783</v>
          </cell>
          <cell r="AE55">
            <v>0.99502560598777823</v>
          </cell>
          <cell r="AF55">
            <v>6.9894048859037783</v>
          </cell>
          <cell r="AG55">
            <v>0.99502560598777823</v>
          </cell>
          <cell r="AH55">
            <v>1.5059764673959686</v>
          </cell>
          <cell r="AI55">
            <v>-0.96547455747518685</v>
          </cell>
        </row>
        <row r="56">
          <cell r="A56" t="str">
            <v>Paradigm Oral Surgery</v>
          </cell>
          <cell r="B56" t="str">
            <v>Paradigm Oral Surgery (Term Loan)</v>
          </cell>
          <cell r="C56" t="str">
            <v>Paradigm Oral Surgery</v>
          </cell>
          <cell r="E56" t="str">
            <v>Health Care Providers &amp; Services</v>
          </cell>
          <cell r="F56" t="str">
            <v>First Lien</v>
          </cell>
          <cell r="G56" t="str">
            <v>FL</v>
          </cell>
          <cell r="H56" t="str">
            <v>Senior Secured</v>
          </cell>
          <cell r="I56" t="str">
            <v>B-*</v>
          </cell>
          <cell r="J56">
            <v>0.01</v>
          </cell>
          <cell r="K56">
            <v>4.7500000000000001E-2</v>
          </cell>
          <cell r="L56">
            <v>46212</v>
          </cell>
          <cell r="M56" t="str">
            <v>USA</v>
          </cell>
          <cell r="N56" t="str">
            <v>USD</v>
          </cell>
          <cell r="O56" t="str">
            <v>TBD</v>
          </cell>
          <cell r="P56" t="str">
            <v>Y</v>
          </cell>
          <cell r="Q56" t="str">
            <v>N</v>
          </cell>
          <cell r="R56" t="str">
            <v>Maintenance Covenants</v>
          </cell>
          <cell r="S56" t="str">
            <v>No</v>
          </cell>
          <cell r="T56">
            <v>44742</v>
          </cell>
          <cell r="V56">
            <v>4.9209832179241824</v>
          </cell>
          <cell r="W56">
            <v>37.478974999999998</v>
          </cell>
          <cell r="X56">
            <v>60</v>
          </cell>
          <cell r="Y56">
            <v>14.744755450415127</v>
          </cell>
          <cell r="Z56">
            <v>4.2430950936446408</v>
          </cell>
          <cell r="AA56">
            <v>4.0421151914270652</v>
          </cell>
          <cell r="AB56">
            <v>4.0421151914270652</v>
          </cell>
          <cell r="AC56">
            <v>44742</v>
          </cell>
          <cell r="AD56">
            <v>4.9209832179241824</v>
          </cell>
          <cell r="AE56">
            <v>0.87886802649711715</v>
          </cell>
          <cell r="AF56">
            <v>4.9209832179241824</v>
          </cell>
          <cell r="AG56">
            <v>0.87886802649711715</v>
          </cell>
          <cell r="AH56">
            <v>2.594987150186832</v>
          </cell>
          <cell r="AI56">
            <v>-1.6481079434578088</v>
          </cell>
        </row>
        <row r="57">
          <cell r="A57" t="str">
            <v>PL Acquisitionco, LLC</v>
          </cell>
          <cell r="B57" t="str">
            <v>Pink Lily (Term Loan)</v>
          </cell>
          <cell r="C57" t="str">
            <v>Pink Lily</v>
          </cell>
          <cell r="E57" t="str">
            <v>Textiles, Apparel &amp; Luxury Goods</v>
          </cell>
          <cell r="F57" t="str">
            <v>First Lien</v>
          </cell>
          <cell r="G57" t="str">
            <v>FL</v>
          </cell>
          <cell r="H57" t="str">
            <v>Senior Secured</v>
          </cell>
          <cell r="I57" t="str">
            <v/>
          </cell>
          <cell r="J57">
            <v>0.01</v>
          </cell>
          <cell r="K57">
            <v>6.5000000000000002E-2</v>
          </cell>
          <cell r="L57">
            <v>46707</v>
          </cell>
          <cell r="M57" t="str">
            <v>USA</v>
          </cell>
          <cell r="N57" t="str">
            <v>USD</v>
          </cell>
          <cell r="O57" t="str">
            <v>TBD</v>
          </cell>
          <cell r="P57" t="str">
            <v>Y</v>
          </cell>
          <cell r="Q57" t="str">
            <v>Y</v>
          </cell>
          <cell r="R57" t="str">
            <v>Maintenance Covenants</v>
          </cell>
          <cell r="S57" t="str">
            <v>No</v>
          </cell>
          <cell r="T57">
            <v>45716</v>
          </cell>
          <cell r="V57" t="str">
            <v>NM</v>
          </cell>
          <cell r="W57">
            <v>-3.6486159999999996</v>
          </cell>
          <cell r="X57">
            <v>75</v>
          </cell>
          <cell r="Y57">
            <v>22.128888</v>
          </cell>
          <cell r="Z57">
            <v>3.9340245333333335</v>
          </cell>
          <cell r="AA57">
            <v>3.42</v>
          </cell>
          <cell r="AB57">
            <v>3.42</v>
          </cell>
          <cell r="AC57">
            <v>45716</v>
          </cell>
          <cell r="AD57">
            <v>-18.259800428436428</v>
          </cell>
          <cell r="AE57">
            <v>-21.67980042843643</v>
          </cell>
          <cell r="AF57">
            <v>-18.259800428436428</v>
          </cell>
          <cell r="AG57">
            <v>-21.67980042843643</v>
          </cell>
          <cell r="AH57">
            <v>-0.39253534158149539</v>
          </cell>
          <cell r="AI57">
            <v>-4.3265598749148291</v>
          </cell>
        </row>
        <row r="58">
          <cell r="A58" t="str">
            <v xml:space="preserve">Philadelphia Girard Apartments </v>
          </cell>
          <cell r="B58" t="str">
            <v>Philadelphia Girard Apartments (Term Loan)</v>
          </cell>
          <cell r="C58" t="str">
            <v xml:space="preserve">Philadelphia Girard Apartments </v>
          </cell>
          <cell r="E58" t="e">
            <v>#N/A</v>
          </cell>
          <cell r="F58" t="str">
            <v>First Lien</v>
          </cell>
          <cell r="G58" t="str">
            <v>FL</v>
          </cell>
          <cell r="H58" t="str">
            <v>Senior Secured</v>
          </cell>
          <cell r="I58" t="str">
            <v/>
          </cell>
          <cell r="J58" t="str">
            <v>NA</v>
          </cell>
          <cell r="K58">
            <v>0.14000000000000001</v>
          </cell>
          <cell r="L58">
            <v>44982</v>
          </cell>
          <cell r="M58" t="str">
            <v>USA</v>
          </cell>
          <cell r="N58" t="str">
            <v>USD</v>
          </cell>
          <cell r="O58" t="str">
            <v>TBD</v>
          </cell>
          <cell r="P58" t="str">
            <v>Y</v>
          </cell>
          <cell r="Q58" t="e">
            <v>#N/A</v>
          </cell>
          <cell r="R58" t="str">
            <v>Maintenance Covenants</v>
          </cell>
          <cell r="S58" t="str">
            <v>No</v>
          </cell>
          <cell r="T58" t="e">
            <v>#N/A</v>
          </cell>
          <cell r="V58" t="e">
            <v>#DIV/0!</v>
          </cell>
          <cell r="W58">
            <v>0</v>
          </cell>
          <cell r="X58">
            <v>19.25</v>
          </cell>
          <cell r="Y58" t="e">
            <v>#N/A</v>
          </cell>
          <cell r="Z58" t="e">
            <v>#N/A</v>
          </cell>
          <cell r="AA58" t="e">
            <v>#N/A</v>
          </cell>
          <cell r="AB58" t="e">
            <v>#N/A</v>
          </cell>
          <cell r="AC58" t="e">
            <v>#N/A</v>
          </cell>
          <cell r="AD58" t="e">
            <v>#N/A</v>
          </cell>
          <cell r="AE58" t="e">
            <v>#N/A</v>
          </cell>
          <cell r="AF58" t="e">
            <v>#N/A</v>
          </cell>
          <cell r="AG58" t="e">
            <v>#N/A</v>
          </cell>
          <cell r="AH58" t="e">
            <v>#N/A</v>
          </cell>
          <cell r="AI58" t="e">
            <v>#N/A</v>
          </cell>
        </row>
        <row r="59">
          <cell r="A59" t="str">
            <v>PlayPower</v>
          </cell>
          <cell r="B59" t="str">
            <v>PlayPower (Term Loan)</v>
          </cell>
          <cell r="C59" t="str">
            <v>PlayPower</v>
          </cell>
          <cell r="E59" t="str">
            <v>Leisure Products</v>
          </cell>
          <cell r="F59" t="str">
            <v>First Lien</v>
          </cell>
          <cell r="G59" t="str">
            <v>FL</v>
          </cell>
          <cell r="H59" t="str">
            <v>Senior Secured</v>
          </cell>
          <cell r="I59" t="str">
            <v>B-</v>
          </cell>
          <cell r="J59">
            <v>0</v>
          </cell>
          <cell r="K59">
            <v>5.5E-2</v>
          </cell>
          <cell r="L59">
            <v>46152</v>
          </cell>
          <cell r="M59" t="str">
            <v>USA</v>
          </cell>
          <cell r="N59" t="str">
            <v>USD</v>
          </cell>
          <cell r="O59">
            <v>100</v>
          </cell>
          <cell r="P59" t="str">
            <v>Y</v>
          </cell>
          <cell r="Q59" t="str">
            <v>N</v>
          </cell>
          <cell r="R59" t="str">
            <v>Maintenance Covenants</v>
          </cell>
          <cell r="S59" t="str">
            <v>No</v>
          </cell>
          <cell r="T59">
            <v>45657</v>
          </cell>
          <cell r="V59">
            <v>3.7675426843273869</v>
          </cell>
          <cell r="W59">
            <v>104.488</v>
          </cell>
          <cell r="X59">
            <v>425</v>
          </cell>
          <cell r="Y59">
            <v>86.5</v>
          </cell>
          <cell r="Z59">
            <v>2.6291793313069909</v>
          </cell>
          <cell r="AA59">
            <v>4.5005780346820812</v>
          </cell>
          <cell r="AB59">
            <v>4.5005780346820812</v>
          </cell>
          <cell r="AC59">
            <v>45657</v>
          </cell>
          <cell r="AD59">
            <v>3.7675426843273869</v>
          </cell>
          <cell r="AE59">
            <v>-0.73303535035469425</v>
          </cell>
          <cell r="AF59">
            <v>3.7675426843273869</v>
          </cell>
          <cell r="AG59">
            <v>-0.73303535035469425</v>
          </cell>
          <cell r="AH59">
            <v>2.0808953856571009</v>
          </cell>
          <cell r="AI59">
            <v>-0.54828394564989003</v>
          </cell>
        </row>
        <row r="60">
          <cell r="A60" t="str">
            <v>Inception Fertility Ventures, LLC</v>
          </cell>
          <cell r="B60" t="str">
            <v>Prelude (Term Loan)</v>
          </cell>
          <cell r="C60" t="str">
            <v>Prelude</v>
          </cell>
          <cell r="E60" t="str">
            <v>Health Care Providers &amp; Services</v>
          </cell>
          <cell r="F60" t="str">
            <v>First Lien</v>
          </cell>
          <cell r="G60" t="str">
            <v>FL</v>
          </cell>
          <cell r="H60" t="str">
            <v>Senior Secured</v>
          </cell>
          <cell r="J60">
            <v>0.01</v>
          </cell>
          <cell r="K60">
            <v>7.0000000000000007E-2</v>
          </cell>
          <cell r="L60">
            <v>45633</v>
          </cell>
          <cell r="M60" t="str">
            <v>USA</v>
          </cell>
          <cell r="N60" t="str">
            <v>USD</v>
          </cell>
          <cell r="O60" t="str">
            <v>TBD</v>
          </cell>
          <cell r="P60" t="str">
            <v>Y</v>
          </cell>
          <cell r="Q60" t="str">
            <v>N</v>
          </cell>
          <cell r="R60" t="str">
            <v>Maintenance Covenants</v>
          </cell>
          <cell r="S60" t="str">
            <v>No</v>
          </cell>
          <cell r="T60">
            <v>45291</v>
          </cell>
          <cell r="V60">
            <v>4.1778714887198838</v>
          </cell>
          <cell r="W60">
            <v>73.48745789216521</v>
          </cell>
          <cell r="X60">
            <v>96.078000000000003</v>
          </cell>
          <cell r="Y60">
            <v>23.2</v>
          </cell>
          <cell r="Z60">
            <v>4.029587649798235</v>
          </cell>
          <cell r="AA60">
            <v>3.9</v>
          </cell>
          <cell r="AB60">
            <v>3.9</v>
          </cell>
          <cell r="AC60">
            <v>45291</v>
          </cell>
          <cell r="AD60">
            <v>4.1778714887198838</v>
          </cell>
          <cell r="AE60">
            <v>0.27787148871988387</v>
          </cell>
          <cell r="AF60">
            <v>4.1778714887198838</v>
          </cell>
          <cell r="AG60">
            <v>0.27787148871988387</v>
          </cell>
          <cell r="AH60">
            <v>1.5121583075287377</v>
          </cell>
          <cell r="AI60">
            <v>-2.5174293422694971</v>
          </cell>
        </row>
        <row r="61">
          <cell r="A61" t="str">
            <v>Quantic Electronics</v>
          </cell>
          <cell r="B61" t="str">
            <v>Quantic Electronics (Term Loan)</v>
          </cell>
          <cell r="C61" t="str">
            <v>Quantic Electronics</v>
          </cell>
          <cell r="E61" t="str">
            <v>Aerospace &amp; Defense</v>
          </cell>
          <cell r="F61" t="str">
            <v>First Lien</v>
          </cell>
          <cell r="G61" t="str">
            <v>FL</v>
          </cell>
          <cell r="H61" t="str">
            <v>Senior Secured</v>
          </cell>
          <cell r="I61" t="str">
            <v>B-</v>
          </cell>
          <cell r="J61">
            <v>0.01</v>
          </cell>
          <cell r="K61">
            <v>6.25E-2</v>
          </cell>
          <cell r="L61">
            <v>46345</v>
          </cell>
          <cell r="M61" t="str">
            <v>USA</v>
          </cell>
          <cell r="N61" t="str">
            <v>USD</v>
          </cell>
          <cell r="O61" t="str">
            <v>TBD</v>
          </cell>
          <cell r="P61" t="str">
            <v>Y</v>
          </cell>
          <cell r="Q61" t="str">
            <v>Y</v>
          </cell>
          <cell r="R61" t="str">
            <v>Cov-Lite</v>
          </cell>
          <cell r="S61" t="str">
            <v>No</v>
          </cell>
          <cell r="T61">
            <v>45565</v>
          </cell>
          <cell r="V61">
            <v>5.445312116782592</v>
          </cell>
          <cell r="W61">
            <v>101.93300000000001</v>
          </cell>
          <cell r="X61">
            <v>426.61250000000001</v>
          </cell>
          <cell r="Y61">
            <v>75.324082000000004</v>
          </cell>
          <cell r="Z61">
            <v>2.1416740553426554</v>
          </cell>
          <cell r="AA61">
            <v>6.6816214235441995</v>
          </cell>
          <cell r="AB61">
            <v>6.6816214235441995</v>
          </cell>
          <cell r="AC61">
            <v>45565</v>
          </cell>
          <cell r="AD61">
            <v>5.445312116782592</v>
          </cell>
          <cell r="AE61">
            <v>-1.2363093067616076</v>
          </cell>
          <cell r="AF61">
            <v>5.445312116782592</v>
          </cell>
          <cell r="AG61">
            <v>-1.2363093067616076</v>
          </cell>
          <cell r="AH61">
            <v>1.4360603541792876</v>
          </cell>
          <cell r="AI61">
            <v>-0.70561370116336786</v>
          </cell>
        </row>
        <row r="62">
          <cell r="A62" t="str">
            <v>Radius Aerospace</v>
          </cell>
          <cell r="B62" t="str">
            <v>Radius Aerospace (Term Loan)</v>
          </cell>
          <cell r="C62" t="str">
            <v>Radius Aerospace</v>
          </cell>
          <cell r="E62" t="str">
            <v>Aerospace &amp; Defense</v>
          </cell>
          <cell r="F62" t="str">
            <v>First Lien</v>
          </cell>
          <cell r="G62" t="str">
            <v>FL</v>
          </cell>
          <cell r="H62" t="str">
            <v>Senior Secured</v>
          </cell>
          <cell r="I62" t="str">
            <v/>
          </cell>
          <cell r="J62">
            <v>0.01</v>
          </cell>
          <cell r="K62">
            <v>5.7500000000000002E-2</v>
          </cell>
          <cell r="L62">
            <v>46475</v>
          </cell>
          <cell r="M62" t="str">
            <v>USA</v>
          </cell>
          <cell r="N62" t="str">
            <v>USD</v>
          </cell>
          <cell r="O62">
            <v>100</v>
          </cell>
          <cell r="P62" t="str">
            <v>Y</v>
          </cell>
          <cell r="Q62" t="str">
            <v>Y</v>
          </cell>
          <cell r="R62" t="str">
            <v>Maintenance Covenants</v>
          </cell>
          <cell r="S62" t="str">
            <v>No</v>
          </cell>
          <cell r="T62">
            <v>45747</v>
          </cell>
          <cell r="V62">
            <v>5.4995528020169191</v>
          </cell>
          <cell r="W62">
            <v>23.997</v>
          </cell>
          <cell r="X62">
            <v>90</v>
          </cell>
          <cell r="Y62">
            <v>19.7</v>
          </cell>
          <cell r="Z62">
            <v>2.5601039636127352</v>
          </cell>
          <cell r="AA62">
            <v>4.5685279187817258</v>
          </cell>
          <cell r="AB62">
            <v>4.5685279187817258</v>
          </cell>
          <cell r="AC62">
            <v>45747</v>
          </cell>
          <cell r="AD62">
            <v>5.4995528020169191</v>
          </cell>
          <cell r="AE62">
            <v>0.93102488323519328</v>
          </cell>
          <cell r="AF62">
            <v>5.4995528020169191</v>
          </cell>
          <cell r="AG62">
            <v>0.93102488323519328</v>
          </cell>
          <cell r="AH62">
            <v>1.3285168576648398</v>
          </cell>
          <cell r="AI62">
            <v>-1.2315871059478953</v>
          </cell>
        </row>
        <row r="63">
          <cell r="A63" t="str">
            <v>Rancho Medical</v>
          </cell>
          <cell r="B63" t="str">
            <v>Rancho (TL)</v>
          </cell>
          <cell r="C63" t="str">
            <v>Rancho Medical</v>
          </cell>
          <cell r="E63" t="str">
            <v>Health Care Providers &amp; Services</v>
          </cell>
          <cell r="F63" t="str">
            <v>First Lien</v>
          </cell>
          <cell r="G63" t="str">
            <v>FL</v>
          </cell>
          <cell r="H63" t="str">
            <v>Senior Secured</v>
          </cell>
          <cell r="I63" t="str">
            <v>B-*</v>
          </cell>
          <cell r="J63">
            <v>0.01</v>
          </cell>
          <cell r="K63">
            <v>5.7500000000000002E-2</v>
          </cell>
          <cell r="L63">
            <v>47289</v>
          </cell>
          <cell r="M63" t="str">
            <v>USA</v>
          </cell>
          <cell r="N63" t="str">
            <v>USD</v>
          </cell>
          <cell r="O63" t="str">
            <v>TBD</v>
          </cell>
          <cell r="P63" t="str">
            <v>Y</v>
          </cell>
          <cell r="Q63" t="str">
            <v>N</v>
          </cell>
          <cell r="R63" t="str">
            <v>Maintenance Covenants</v>
          </cell>
          <cell r="S63" t="str">
            <v>No</v>
          </cell>
          <cell r="T63">
            <v>45716</v>
          </cell>
          <cell r="V63">
            <v>3.4026920276318626</v>
          </cell>
          <cell r="W63">
            <v>18.840077097018</v>
          </cell>
          <cell r="X63">
            <v>35</v>
          </cell>
          <cell r="Y63">
            <v>9.1189999999999998</v>
          </cell>
          <cell r="Z63">
            <v>3.8598941798941802</v>
          </cell>
          <cell r="AA63">
            <v>3.2448887728917648</v>
          </cell>
          <cell r="AB63">
            <v>3.2448887728917648</v>
          </cell>
          <cell r="AC63">
            <v>45716</v>
          </cell>
          <cell r="AD63">
            <v>3.4026920276318626</v>
          </cell>
          <cell r="AE63">
            <v>0.15780325474009782</v>
          </cell>
          <cell r="AF63">
            <v>3.4026920276318626</v>
          </cell>
          <cell r="AG63">
            <v>0.15780325474009782</v>
          </cell>
          <cell r="AH63">
            <v>2.3644280495758343</v>
          </cell>
          <cell r="AI63">
            <v>-1.4954661303183459</v>
          </cell>
        </row>
        <row r="64">
          <cell r="A64" t="str">
            <v>Recteq</v>
          </cell>
          <cell r="B64" t="str">
            <v>Recteq (TL)</v>
          </cell>
          <cell r="C64" t="str">
            <v>Recteq</v>
          </cell>
          <cell r="E64" t="str">
            <v>Leisure Products</v>
          </cell>
          <cell r="F64" t="str">
            <v>First Lien</v>
          </cell>
          <cell r="G64" t="str">
            <v>FL</v>
          </cell>
          <cell r="H64" t="str">
            <v>Senior Secured</v>
          </cell>
          <cell r="I64" t="str">
            <v>B-*</v>
          </cell>
          <cell r="J64">
            <v>0.01</v>
          </cell>
          <cell r="K64">
            <v>6.25E-2</v>
          </cell>
          <cell r="L64">
            <v>46051</v>
          </cell>
          <cell r="M64" t="str">
            <v>USA</v>
          </cell>
          <cell r="N64" t="str">
            <v>USD</v>
          </cell>
          <cell r="O64">
            <v>100</v>
          </cell>
          <cell r="P64" t="str">
            <v>Y</v>
          </cell>
          <cell r="Q64" t="str">
            <v>N</v>
          </cell>
          <cell r="R64" t="str">
            <v>Maintenance Covenants</v>
          </cell>
          <cell r="S64" t="str">
            <v>No</v>
          </cell>
          <cell r="T64">
            <v>45716</v>
          </cell>
          <cell r="V64">
            <v>3.3009368110403319</v>
          </cell>
          <cell r="W64">
            <v>13.182924270000001</v>
          </cell>
          <cell r="X64">
            <v>43.5</v>
          </cell>
          <cell r="Y64">
            <v>29.265999999999998</v>
          </cell>
          <cell r="Z64">
            <v>4.3421364985163198</v>
          </cell>
          <cell r="AA64">
            <v>1.1383516708808856</v>
          </cell>
          <cell r="AB64">
            <v>2.3919907059386318</v>
          </cell>
          <cell r="AC64">
            <v>45716</v>
          </cell>
          <cell r="AD64">
            <v>3.3009368110403319</v>
          </cell>
          <cell r="AE64">
            <v>2.1625851401594463</v>
          </cell>
          <cell r="AF64">
            <v>7.298608262429167</v>
          </cell>
          <cell r="AG64">
            <v>4.9066175564905352</v>
          </cell>
          <cell r="AH64">
            <v>2.3769612603394266</v>
          </cell>
          <cell r="AI64">
            <v>-1.9651752381768932</v>
          </cell>
        </row>
        <row r="65">
          <cell r="A65" t="str">
            <v>Research Now / SSI</v>
          </cell>
          <cell r="B65" t="str">
            <v>Research Now / SSI (FOTL)</v>
          </cell>
          <cell r="C65" t="str">
            <v>Research Now/SSI</v>
          </cell>
          <cell r="D65" t="str">
            <v>Research Now Group, Inc. and Survey Sampling International LLC</v>
          </cell>
          <cell r="E65" t="str">
            <v>Diversified Consumer Services</v>
          </cell>
          <cell r="F65" t="str">
            <v>First Lien</v>
          </cell>
          <cell r="G65" t="str">
            <v>FL</v>
          </cell>
          <cell r="H65" t="str">
            <v>Senior Secured</v>
          </cell>
          <cell r="I65" t="str">
            <v>B-</v>
          </cell>
          <cell r="J65">
            <v>0.01</v>
          </cell>
          <cell r="K65">
            <v>0.05</v>
          </cell>
          <cell r="L65">
            <v>46949</v>
          </cell>
          <cell r="M65" t="str">
            <v>USA</v>
          </cell>
          <cell r="N65" t="str">
            <v>USD</v>
          </cell>
          <cell r="O65">
            <v>100</v>
          </cell>
          <cell r="P65" t="str">
            <v>Y</v>
          </cell>
          <cell r="Q65" t="str">
            <v>Y</v>
          </cell>
          <cell r="R65" t="str">
            <v>Maintenance Covenants</v>
          </cell>
          <cell r="S65" t="str">
            <v>Yes</v>
          </cell>
          <cell r="T65">
            <v>45657</v>
          </cell>
          <cell r="V65">
            <v>4.4571243547748232</v>
          </cell>
          <cell r="W65">
            <v>159.053</v>
          </cell>
          <cell r="X65">
            <v>694</v>
          </cell>
          <cell r="Y65">
            <v>203</v>
          </cell>
          <cell r="Z65">
            <v>2.8116343490304709</v>
          </cell>
          <cell r="AA65">
            <v>3.3596059113300494</v>
          </cell>
          <cell r="AB65">
            <v>4.5911330049261085</v>
          </cell>
          <cell r="AC65">
            <v>45657</v>
          </cell>
          <cell r="AD65">
            <v>4.4571243547748232</v>
          </cell>
          <cell r="AE65">
            <v>1.0975184434447738</v>
          </cell>
          <cell r="AF65">
            <v>4.4571243547748232</v>
          </cell>
          <cell r="AG65">
            <v>-0.13400865015128538</v>
          </cell>
          <cell r="AH65">
            <v>1.2681831953946003</v>
          </cell>
          <cell r="AI65">
            <v>-1.5434511536358706</v>
          </cell>
        </row>
        <row r="66">
          <cell r="A66" t="str">
            <v>Research Now / SSI</v>
          </cell>
          <cell r="B66" t="str">
            <v>Research Now / SSI (SOTL)</v>
          </cell>
          <cell r="C66" t="str">
            <v>Research Now/SSI</v>
          </cell>
          <cell r="D66" t="str">
            <v>Research Now Group, Inc. and Survey Sampling International LLC</v>
          </cell>
          <cell r="E66" t="str">
            <v>Diversified Consumer Services</v>
          </cell>
          <cell r="F66" t="str">
            <v>First Lien</v>
          </cell>
          <cell r="G66" t="str">
            <v>FL</v>
          </cell>
          <cell r="H66" t="str">
            <v>Senior Secured</v>
          </cell>
          <cell r="I66" t="str">
            <v>B-</v>
          </cell>
          <cell r="J66">
            <v>0.01</v>
          </cell>
          <cell r="K66">
            <v>5.5E-2</v>
          </cell>
          <cell r="L66">
            <v>47041</v>
          </cell>
          <cell r="M66" t="str">
            <v>USA</v>
          </cell>
          <cell r="N66" t="str">
            <v>USD</v>
          </cell>
          <cell r="O66">
            <v>100</v>
          </cell>
          <cell r="P66" t="str">
            <v>Y</v>
          </cell>
          <cell r="Q66" t="str">
            <v>Y</v>
          </cell>
          <cell r="R66" t="str">
            <v>Maintenance Covenants</v>
          </cell>
          <cell r="S66" t="str">
            <v>Yes</v>
          </cell>
          <cell r="T66">
            <v>45657</v>
          </cell>
          <cell r="V66">
            <v>4.4571243547748232</v>
          </cell>
          <cell r="W66">
            <v>159.053</v>
          </cell>
          <cell r="X66">
            <v>82</v>
          </cell>
          <cell r="Y66">
            <v>203</v>
          </cell>
          <cell r="Z66">
            <v>2.8116343490304709</v>
          </cell>
          <cell r="AA66">
            <v>3.3596059113300494</v>
          </cell>
          <cell r="AB66">
            <v>4.5911330049261085</v>
          </cell>
          <cell r="AC66">
            <v>45657</v>
          </cell>
          <cell r="AD66">
            <v>4.4571243547748232</v>
          </cell>
          <cell r="AE66">
            <v>1.0975184434447738</v>
          </cell>
          <cell r="AF66">
            <v>4.4571243547748232</v>
          </cell>
          <cell r="AG66">
            <v>-0.13400865015128538</v>
          </cell>
          <cell r="AH66">
            <v>1.2681831953946003</v>
          </cell>
          <cell r="AI66">
            <v>-1.5434511536358706</v>
          </cell>
        </row>
        <row r="67">
          <cell r="A67" t="str">
            <v>Riverpoint</v>
          </cell>
          <cell r="B67" t="str">
            <v>Riverpoint Medical (TL)</v>
          </cell>
          <cell r="C67" t="str">
            <v>Riverpoint</v>
          </cell>
          <cell r="E67" t="str">
            <v>Health Care Equipment &amp; Supplies</v>
          </cell>
          <cell r="F67" t="str">
            <v>First Lien</v>
          </cell>
          <cell r="G67" t="str">
            <v>FL</v>
          </cell>
          <cell r="H67" t="str">
            <v>Senior Secured</v>
          </cell>
          <cell r="I67" t="str">
            <v>B-*</v>
          </cell>
          <cell r="J67">
            <v>0.01</v>
          </cell>
          <cell r="K67">
            <v>5.5E-2</v>
          </cell>
          <cell r="L67">
            <v>45829</v>
          </cell>
          <cell r="M67" t="str">
            <v>USA</v>
          </cell>
          <cell r="N67" t="str">
            <v>USD</v>
          </cell>
          <cell r="O67">
            <v>100</v>
          </cell>
          <cell r="P67" t="str">
            <v>Y</v>
          </cell>
          <cell r="Q67" t="str">
            <v>N</v>
          </cell>
          <cell r="R67" t="str">
            <v>Maintenance Covenants</v>
          </cell>
          <cell r="S67" t="str">
            <v>No</v>
          </cell>
          <cell r="T67">
            <v>45747</v>
          </cell>
          <cell r="V67">
            <v>4.9683151794448319</v>
          </cell>
          <cell r="W67">
            <v>43.821741000000003</v>
          </cell>
          <cell r="X67">
            <v>110</v>
          </cell>
          <cell r="Y67">
            <v>20.21</v>
          </cell>
          <cell r="Z67">
            <v>2.2958734486382046</v>
          </cell>
          <cell r="AA67">
            <v>5.1045958436417616</v>
          </cell>
          <cell r="AB67">
            <v>5.1045958436417616</v>
          </cell>
          <cell r="AC67">
            <v>45747</v>
          </cell>
          <cell r="AD67">
            <v>4.9683151794448319</v>
          </cell>
          <cell r="AE67">
            <v>-0.13628066419692964</v>
          </cell>
          <cell r="AF67">
            <v>4.9683151794448319</v>
          </cell>
          <cell r="AG67">
            <v>-0.13628066419692964</v>
          </cell>
          <cell r="AH67">
            <v>1.8424999670995221</v>
          </cell>
          <cell r="AI67">
            <v>-0.45337348153868251</v>
          </cell>
        </row>
        <row r="68">
          <cell r="A68" t="str">
            <v>Riverside Insights</v>
          </cell>
          <cell r="B68" t="str">
            <v>Riverside Insights (FLLO)</v>
          </cell>
          <cell r="C68" t="str">
            <v>Riverside Insights</v>
          </cell>
          <cell r="E68" t="str">
            <v>Professional Services</v>
          </cell>
          <cell r="F68" t="str">
            <v>First Lien</v>
          </cell>
          <cell r="G68" t="str">
            <v>FL</v>
          </cell>
          <cell r="H68" t="str">
            <v>Senior Secured</v>
          </cell>
          <cell r="I68" t="str">
            <v/>
          </cell>
          <cell r="J68">
            <v>0.01</v>
          </cell>
          <cell r="K68">
            <v>0.06</v>
          </cell>
          <cell r="L68">
            <v>45725</v>
          </cell>
          <cell r="M68" t="str">
            <v>USA</v>
          </cell>
          <cell r="N68" t="str">
            <v>USD</v>
          </cell>
          <cell r="O68">
            <v>100</v>
          </cell>
          <cell r="P68" t="str">
            <v>Y</v>
          </cell>
          <cell r="Q68" t="str">
            <v>Y</v>
          </cell>
          <cell r="R68" t="str">
            <v>Maintenance Covenants</v>
          </cell>
          <cell r="S68" t="str">
            <v>No</v>
          </cell>
          <cell r="T68">
            <v>45322</v>
          </cell>
          <cell r="V68">
            <v>4.8333746739647401</v>
          </cell>
          <cell r="W68">
            <v>37.328570320000019</v>
          </cell>
          <cell r="X68">
            <v>117.5</v>
          </cell>
          <cell r="Y68">
            <v>35.703000000000003</v>
          </cell>
          <cell r="Z68">
            <v>1.6090518973026531</v>
          </cell>
          <cell r="AA68">
            <v>3.0325182757751441</v>
          </cell>
          <cell r="AB68">
            <v>5.2218170888683497</v>
          </cell>
          <cell r="AC68">
            <v>45322</v>
          </cell>
          <cell r="AD68">
            <v>4.8333746739647401</v>
          </cell>
          <cell r="AE68">
            <v>1.800856398189596</v>
          </cell>
          <cell r="AF68">
            <v>5.2218170888683497</v>
          </cell>
          <cell r="AG68">
            <v>0</v>
          </cell>
          <cell r="AH68">
            <v>1.6090518973026531</v>
          </cell>
          <cell r="AI68">
            <v>0</v>
          </cell>
        </row>
        <row r="69">
          <cell r="A69" t="str">
            <v>SBI</v>
          </cell>
          <cell r="B69" t="str">
            <v>Sales Benchmark Index (TL)</v>
          </cell>
          <cell r="C69" t="str">
            <v>Sales Benchmark Index (SBI)</v>
          </cell>
          <cell r="E69" t="str">
            <v>Professional Services</v>
          </cell>
          <cell r="F69" t="str">
            <v>First Lien</v>
          </cell>
          <cell r="G69" t="str">
            <v>FL</v>
          </cell>
          <cell r="H69" t="str">
            <v>Senior Secured</v>
          </cell>
          <cell r="I69" t="str">
            <v>B-*</v>
          </cell>
          <cell r="J69">
            <v>0.01</v>
          </cell>
          <cell r="K69">
            <v>0.06</v>
          </cell>
          <cell r="L69">
            <v>46210</v>
          </cell>
          <cell r="M69" t="str">
            <v>USA</v>
          </cell>
          <cell r="N69" t="str">
            <v>USD</v>
          </cell>
          <cell r="O69">
            <v>100</v>
          </cell>
          <cell r="P69" t="str">
            <v>Y</v>
          </cell>
          <cell r="Q69" t="str">
            <v>N</v>
          </cell>
          <cell r="R69" t="str">
            <v>Maintenance Covenants</v>
          </cell>
          <cell r="S69" t="str">
            <v>No</v>
          </cell>
          <cell r="T69">
            <v>45716</v>
          </cell>
          <cell r="V69">
            <v>2.4866730974260038</v>
          </cell>
          <cell r="W69">
            <v>19.696999999999999</v>
          </cell>
          <cell r="X69">
            <v>65</v>
          </cell>
          <cell r="Y69">
            <v>18.329000000000001</v>
          </cell>
          <cell r="Z69">
            <v>3.5524244198295216</v>
          </cell>
          <cell r="AA69">
            <v>3.4098968847182061</v>
          </cell>
          <cell r="AB69">
            <v>3.4098968847182061</v>
          </cell>
          <cell r="AC69">
            <v>45716</v>
          </cell>
          <cell r="AD69">
            <v>2.4866730974260038</v>
          </cell>
          <cell r="AE69">
            <v>-0.92322378729220222</v>
          </cell>
          <cell r="AF69">
            <v>2.4866730974260038</v>
          </cell>
          <cell r="AG69">
            <v>-0.92322378729220222</v>
          </cell>
          <cell r="AH69">
            <v>3.0982840442382797</v>
          </cell>
          <cell r="AI69">
            <v>-0.45414037559124187</v>
          </cell>
        </row>
        <row r="70">
          <cell r="A70" t="str">
            <v>Sargent &amp; Greenleaf</v>
          </cell>
          <cell r="B70" t="str">
            <v>Sargent &amp; Greenleaf (Term Loan)</v>
          </cell>
          <cell r="C70" t="str">
            <v>Sargent &amp; Greenleaf</v>
          </cell>
          <cell r="E70" t="str">
            <v>Electronic Equipment, Instruments &amp; Components</v>
          </cell>
          <cell r="F70" t="str">
            <v>First Lien</v>
          </cell>
          <cell r="G70" t="str">
            <v>FL</v>
          </cell>
          <cell r="H70" t="str">
            <v>Senior Secured</v>
          </cell>
          <cell r="I70" t="str">
            <v>B-*</v>
          </cell>
          <cell r="J70">
            <v>1.4999999999999999E-2</v>
          </cell>
          <cell r="K70">
            <v>5.5E-2</v>
          </cell>
          <cell r="L70">
            <v>45646</v>
          </cell>
          <cell r="M70" t="str">
            <v>USA</v>
          </cell>
          <cell r="N70" t="str">
            <v>USD</v>
          </cell>
          <cell r="O70">
            <v>100</v>
          </cell>
          <cell r="P70" t="str">
            <v>Y</v>
          </cell>
          <cell r="Q70" t="str">
            <v>Y</v>
          </cell>
          <cell r="R70" t="str">
            <v>Maintenance Covenants</v>
          </cell>
          <cell r="S70" t="str">
            <v>No</v>
          </cell>
          <cell r="T70">
            <v>45596</v>
          </cell>
          <cell r="V70">
            <v>5.1717322144834776</v>
          </cell>
          <cell r="W70">
            <v>16.212363</v>
          </cell>
          <cell r="X70">
            <v>92.5</v>
          </cell>
          <cell r="Y70">
            <v>21.7666062390925</v>
          </cell>
          <cell r="Z70">
            <v>3.1742306817436381</v>
          </cell>
          <cell r="AA70">
            <v>4.2496289492236681</v>
          </cell>
          <cell r="AB70">
            <v>4.2496289492236681</v>
          </cell>
          <cell r="AC70">
            <v>45596</v>
          </cell>
          <cell r="AD70">
            <v>5.1717322144834776</v>
          </cell>
          <cell r="AE70">
            <v>0.92210326525980957</v>
          </cell>
          <cell r="AF70">
            <v>5.1717322144834776</v>
          </cell>
          <cell r="AG70">
            <v>0.92210326525980957</v>
          </cell>
          <cell r="AH70">
            <v>1.6681509605775426</v>
          </cell>
          <cell r="AI70">
            <v>-1.5060797211660955</v>
          </cell>
        </row>
        <row r="71">
          <cell r="A71" t="str">
            <v>Signature Systems Group</v>
          </cell>
          <cell r="B71" t="str">
            <v>Signature Systems Group (TL)</v>
          </cell>
          <cell r="C71" t="str">
            <v>Signature Systems Group</v>
          </cell>
          <cell r="E71" t="str">
            <v>Commercial Services &amp; Supplies</v>
          </cell>
          <cell r="F71" t="str">
            <v>First Lien</v>
          </cell>
          <cell r="G71" t="str">
            <v>FL</v>
          </cell>
          <cell r="H71" t="str">
            <v>Senior Secured</v>
          </cell>
          <cell r="I71" t="str">
            <v>B-*</v>
          </cell>
          <cell r="J71">
            <v>0.01</v>
          </cell>
          <cell r="K71">
            <v>6.5000000000000002E-2</v>
          </cell>
          <cell r="L71">
            <v>45415</v>
          </cell>
          <cell r="M71" t="str">
            <v>USA</v>
          </cell>
          <cell r="N71" t="str">
            <v>USD</v>
          </cell>
          <cell r="O71">
            <v>100</v>
          </cell>
          <cell r="P71" t="str">
            <v>Y</v>
          </cell>
          <cell r="Q71" t="str">
            <v>N</v>
          </cell>
          <cell r="R71" t="str">
            <v>Maintenance Covenants</v>
          </cell>
          <cell r="S71" t="str">
            <v>No</v>
          </cell>
          <cell r="T71">
            <v>45260</v>
          </cell>
          <cell r="V71">
            <v>1.2696481499187304</v>
          </cell>
          <cell r="W71">
            <v>41.835999999999999</v>
          </cell>
          <cell r="X71">
            <v>93</v>
          </cell>
          <cell r="Y71">
            <v>22.003136600000001</v>
          </cell>
          <cell r="Z71">
            <v>2.5999216117216122</v>
          </cell>
          <cell r="AA71">
            <v>4.28</v>
          </cell>
          <cell r="AB71">
            <v>4.28</v>
          </cell>
          <cell r="AC71">
            <v>45260</v>
          </cell>
          <cell r="AD71">
            <v>1.2696481499187304</v>
          </cell>
          <cell r="AE71">
            <v>-3.0103518500812698</v>
          </cell>
          <cell r="AF71">
            <v>1.2696481499187304</v>
          </cell>
          <cell r="AG71">
            <v>-3.0103518500812698</v>
          </cell>
          <cell r="AH71">
            <v>4.5150010792143318</v>
          </cell>
          <cell r="AI71">
            <v>1.9150794674927196</v>
          </cell>
        </row>
        <row r="72">
          <cell r="A72" t="str">
            <v>HoldcoSands</v>
          </cell>
          <cell r="B72" t="str">
            <v>Smartronix / Trident (TL)</v>
          </cell>
          <cell r="C72" t="str">
            <v>Smartronix / Trident</v>
          </cell>
          <cell r="E72" t="str">
            <v>Aerospace &amp; Defense</v>
          </cell>
          <cell r="F72" t="str">
            <v>First Lien</v>
          </cell>
          <cell r="G72" t="str">
            <v>FL</v>
          </cell>
          <cell r="H72" t="str">
            <v>Senior Secured</v>
          </cell>
          <cell r="I72" t="str">
            <v>B-*</v>
          </cell>
          <cell r="J72">
            <v>0.01</v>
          </cell>
          <cell r="K72">
            <v>0.06</v>
          </cell>
          <cell r="L72">
            <v>47080</v>
          </cell>
          <cell r="M72" t="str">
            <v>USA</v>
          </cell>
          <cell r="N72" t="str">
            <v>USD</v>
          </cell>
          <cell r="O72">
            <v>100</v>
          </cell>
          <cell r="P72" t="str">
            <v>Y</v>
          </cell>
          <cell r="Q72" t="str">
            <v>Y</v>
          </cell>
          <cell r="R72" t="str">
            <v>Maintenance Covenants</v>
          </cell>
          <cell r="S72" t="str">
            <v>No</v>
          </cell>
          <cell r="T72">
            <v>45565</v>
          </cell>
          <cell r="V72">
            <v>5.155109720835128</v>
          </cell>
          <cell r="W72">
            <v>106.00101600000001</v>
          </cell>
          <cell r="X72">
            <v>425</v>
          </cell>
          <cell r="Y72">
            <v>54.4</v>
          </cell>
          <cell r="Z72">
            <v>2.2113821138211378</v>
          </cell>
          <cell r="AA72">
            <v>4.26</v>
          </cell>
          <cell r="AB72">
            <v>5.09</v>
          </cell>
          <cell r="AC72">
            <v>45565</v>
          </cell>
          <cell r="AD72">
            <v>5.155109720835128</v>
          </cell>
          <cell r="AE72">
            <v>0.89510972083512819</v>
          </cell>
          <cell r="AF72">
            <v>5.155109720835128</v>
          </cell>
          <cell r="AG72">
            <v>6.5109720835128115E-2</v>
          </cell>
          <cell r="AH72">
            <v>1.544335952322319</v>
          </cell>
          <cell r="AI72">
            <v>-0.66704616149881879</v>
          </cell>
        </row>
        <row r="73">
          <cell r="A73" t="str">
            <v>Solutionreach, Inc.</v>
          </cell>
          <cell r="B73" t="str">
            <v>Solutionreach (TL)</v>
          </cell>
          <cell r="C73" t="str">
            <v>Solutionreach</v>
          </cell>
          <cell r="D73" t="str">
            <v>Solutionreach, Inc.</v>
          </cell>
          <cell r="E73" t="str">
            <v>IT Services</v>
          </cell>
          <cell r="F73" t="str">
            <v>First Lien</v>
          </cell>
          <cell r="G73" t="str">
            <v>FL</v>
          </cell>
          <cell r="H73" t="str">
            <v>Senior Secured</v>
          </cell>
          <cell r="I73" t="str">
            <v>B-*</v>
          </cell>
          <cell r="J73">
            <v>0.01</v>
          </cell>
          <cell r="K73">
            <v>5.7500000000000002E-2</v>
          </cell>
          <cell r="L73">
            <v>45855</v>
          </cell>
          <cell r="M73" t="str">
            <v>USA</v>
          </cell>
          <cell r="N73" t="str">
            <v>USD</v>
          </cell>
          <cell r="O73">
            <v>100</v>
          </cell>
          <cell r="P73" t="str">
            <v>Y</v>
          </cell>
          <cell r="Q73" t="str">
            <v>Y</v>
          </cell>
          <cell r="R73" t="str">
            <v>Maintenance Covenants</v>
          </cell>
          <cell r="S73" t="str">
            <v>No</v>
          </cell>
          <cell r="T73">
            <v>45716</v>
          </cell>
          <cell r="V73">
            <v>4.05698214722426</v>
          </cell>
          <cell r="W73">
            <v>12.266999999999999</v>
          </cell>
          <cell r="X73">
            <v>80</v>
          </cell>
          <cell r="Y73">
            <v>22.6</v>
          </cell>
          <cell r="Z73">
            <v>3.3002336448598131</v>
          </cell>
          <cell r="AA73">
            <v>3.4513274336283182</v>
          </cell>
          <cell r="AB73">
            <v>3.4513274336283182</v>
          </cell>
          <cell r="AC73">
            <v>45716</v>
          </cell>
          <cell r="AD73">
            <v>4.05698214722426</v>
          </cell>
          <cell r="AE73">
            <v>0.60565471359594181</v>
          </cell>
          <cell r="AF73">
            <v>4.05698214722426</v>
          </cell>
          <cell r="AG73">
            <v>0.60565471359594181</v>
          </cell>
          <cell r="AH73">
            <v>1.616844602609727</v>
          </cell>
          <cell r="AI73">
            <v>-1.6833890422500861</v>
          </cell>
        </row>
        <row r="74">
          <cell r="A74" t="str">
            <v>StrataTech</v>
          </cell>
          <cell r="B74" t="str">
            <v>StrataTech (Term Loan)</v>
          </cell>
          <cell r="C74" t="str">
            <v>StrataTech</v>
          </cell>
          <cell r="E74" t="str">
            <v>Diversified Consumer Services</v>
          </cell>
          <cell r="F74" t="str">
            <v>First Lien</v>
          </cell>
          <cell r="G74" t="str">
            <v>FL</v>
          </cell>
          <cell r="H74" t="str">
            <v>Senior Secured</v>
          </cell>
          <cell r="I74" t="str">
            <v>B-*</v>
          </cell>
          <cell r="J74">
            <v>0.01</v>
          </cell>
          <cell r="K74">
            <v>6.25E-2</v>
          </cell>
          <cell r="L74">
            <v>45824</v>
          </cell>
          <cell r="M74" t="str">
            <v>USA</v>
          </cell>
          <cell r="N74" t="str">
            <v>USD</v>
          </cell>
          <cell r="O74">
            <v>100</v>
          </cell>
          <cell r="P74" t="str">
            <v>Y</v>
          </cell>
          <cell r="Q74" t="str">
            <v>N</v>
          </cell>
          <cell r="R74" t="str">
            <v>Maintenance Covenants</v>
          </cell>
          <cell r="S74" t="str">
            <v>No</v>
          </cell>
          <cell r="T74">
            <v>45626</v>
          </cell>
          <cell r="V74" t="str">
            <v>NM</v>
          </cell>
          <cell r="W74">
            <v>38.729901729999995</v>
          </cell>
          <cell r="X74">
            <v>43</v>
          </cell>
          <cell r="Y74">
            <v>15.191984</v>
          </cell>
          <cell r="Z74">
            <v>4.0147949260042282</v>
          </cell>
          <cell r="AA74">
            <v>2.9620884276866013</v>
          </cell>
          <cell r="AB74">
            <v>2.9620884276866013</v>
          </cell>
          <cell r="AC74">
            <v>45626</v>
          </cell>
          <cell r="AD74">
            <v>-8.639380299301111E-2</v>
          </cell>
          <cell r="AE74">
            <v>-3.0484822306796122</v>
          </cell>
          <cell r="AF74">
            <v>-8.639380299301111E-2</v>
          </cell>
          <cell r="AG74">
            <v>-3.0484822306796122</v>
          </cell>
          <cell r="AH74">
            <v>17.441692104220969</v>
          </cell>
          <cell r="AI74">
            <v>13.426897178216741</v>
          </cell>
        </row>
        <row r="75">
          <cell r="A75" t="str">
            <v>STV</v>
          </cell>
          <cell r="B75" t="str">
            <v>STV Group (TL)</v>
          </cell>
          <cell r="C75" t="str">
            <v>STV Group</v>
          </cell>
          <cell r="E75" t="str">
            <v>Construction &amp; Engineering</v>
          </cell>
          <cell r="F75" t="str">
            <v>First Lien</v>
          </cell>
          <cell r="G75" t="str">
            <v>FL</v>
          </cell>
          <cell r="H75" t="str">
            <v>Senior Secured</v>
          </cell>
          <cell r="I75" t="str">
            <v>B+</v>
          </cell>
          <cell r="J75">
            <v>0</v>
          </cell>
          <cell r="K75">
            <v>5.2499999999999998E-2</v>
          </cell>
          <cell r="L75">
            <v>46369</v>
          </cell>
          <cell r="M75" t="str">
            <v>USA</v>
          </cell>
          <cell r="N75" t="str">
            <v>USD</v>
          </cell>
          <cell r="O75">
            <v>100</v>
          </cell>
          <cell r="P75" t="str">
            <v>Y</v>
          </cell>
          <cell r="Q75" t="str">
            <v>N</v>
          </cell>
          <cell r="R75" t="str">
            <v>Maintenance Covenants</v>
          </cell>
          <cell r="S75" t="str">
            <v>No</v>
          </cell>
          <cell r="T75">
            <v>45291</v>
          </cell>
          <cell r="V75">
            <v>4.566168639053255</v>
          </cell>
          <cell r="W75">
            <v>67.599999999999994</v>
          </cell>
          <cell r="X75">
            <v>225</v>
          </cell>
          <cell r="Y75">
            <v>51.5</v>
          </cell>
          <cell r="Z75">
            <v>3.1543976768565538</v>
          </cell>
          <cell r="AA75">
            <v>4.3106796116504853</v>
          </cell>
          <cell r="AB75">
            <v>4.3106796116504853</v>
          </cell>
          <cell r="AC75">
            <v>45291</v>
          </cell>
          <cell r="AD75">
            <v>4.566168639053255</v>
          </cell>
          <cell r="AE75">
            <v>0.25548902740276969</v>
          </cell>
          <cell r="AF75">
            <v>4.566168639053255</v>
          </cell>
          <cell r="AG75">
            <v>0.25548902740276969</v>
          </cell>
          <cell r="AH75">
            <v>2.1173964793585167</v>
          </cell>
          <cell r="AI75">
            <v>-1.0370011974980371</v>
          </cell>
        </row>
        <row r="76">
          <cell r="A76" t="str">
            <v>Targeted Pet Care</v>
          </cell>
          <cell r="B76" t="str">
            <v>Targeted Pet Care (Term Loan)</v>
          </cell>
          <cell r="C76" t="str">
            <v>Targeted Pet Care</v>
          </cell>
          <cell r="E76" t="str">
            <v>Household Products</v>
          </cell>
          <cell r="F76" t="str">
            <v>First Lien</v>
          </cell>
          <cell r="G76" t="str">
            <v>FL</v>
          </cell>
          <cell r="H76" t="str">
            <v>Senior Secured</v>
          </cell>
          <cell r="I76" t="str">
            <v>B-*</v>
          </cell>
          <cell r="J76">
            <v>0.01</v>
          </cell>
          <cell r="K76">
            <v>5.2499999999999998E-2</v>
          </cell>
          <cell r="L76">
            <v>45983</v>
          </cell>
          <cell r="M76" t="str">
            <v>Canada</v>
          </cell>
          <cell r="N76" t="str">
            <v>USD</v>
          </cell>
          <cell r="O76">
            <v>100</v>
          </cell>
          <cell r="P76" t="str">
            <v>Y</v>
          </cell>
          <cell r="Q76" t="str">
            <v>Y</v>
          </cell>
          <cell r="R76" t="str">
            <v>Maintenance Covenants</v>
          </cell>
          <cell r="S76" t="str">
            <v>No</v>
          </cell>
          <cell r="T76">
            <v>45747</v>
          </cell>
          <cell r="V76">
            <v>5.0005863966366482</v>
          </cell>
          <cell r="W76">
            <v>32.241975663895715</v>
          </cell>
          <cell r="X76">
            <v>79</v>
          </cell>
          <cell r="Y76">
            <v>19.729334323062822</v>
          </cell>
          <cell r="Z76">
            <v>2.3200745933338611</v>
          </cell>
          <cell r="AA76">
            <v>4.0041898376496201</v>
          </cell>
          <cell r="AB76">
            <v>5.499425283354225</v>
          </cell>
          <cell r="AC76">
            <v>45747</v>
          </cell>
          <cell r="AD76">
            <v>5.0005863966366482</v>
          </cell>
          <cell r="AE76">
            <v>0.99639655898702806</v>
          </cell>
          <cell r="AF76">
            <v>6.0072854558699671</v>
          </cell>
          <cell r="AG76">
            <v>0.50786017251574211</v>
          </cell>
          <cell r="AH76">
            <v>1.3438492754334899</v>
          </cell>
          <cell r="AI76">
            <v>-0.97622531790037126</v>
          </cell>
        </row>
        <row r="77">
          <cell r="A77" t="str">
            <v>Teleguam</v>
          </cell>
          <cell r="B77" t="str">
            <v>Teleguam</v>
          </cell>
          <cell r="C77" t="str">
            <v>Teleguam</v>
          </cell>
          <cell r="E77" t="str">
            <v>Diversified Telecommunication Services</v>
          </cell>
          <cell r="F77" t="str">
            <v>First Lien</v>
          </cell>
          <cell r="G77" t="str">
            <v>FL</v>
          </cell>
          <cell r="H77" t="str">
            <v>Senior Secured</v>
          </cell>
          <cell r="I77" t="str">
            <v>B+</v>
          </cell>
          <cell r="J77">
            <v>0.01</v>
          </cell>
          <cell r="K77">
            <v>0.05</v>
          </cell>
          <cell r="L77">
            <v>45132</v>
          </cell>
          <cell r="M77" t="str">
            <v>USA</v>
          </cell>
          <cell r="N77" t="str">
            <v>USD</v>
          </cell>
          <cell r="O77">
            <v>100</v>
          </cell>
          <cell r="P77" t="str">
            <v>Y</v>
          </cell>
          <cell r="Q77" t="str">
            <v>N</v>
          </cell>
          <cell r="R77" t="str">
            <v>Maintenance Covenants</v>
          </cell>
          <cell r="S77" t="str">
            <v>No</v>
          </cell>
          <cell r="T77">
            <v>44712</v>
          </cell>
          <cell r="V77">
            <v>2.9540828402845896</v>
          </cell>
          <cell r="W77">
            <v>39.527532000000001</v>
          </cell>
          <cell r="X77">
            <v>130</v>
          </cell>
          <cell r="Y77">
            <v>40.5</v>
          </cell>
          <cell r="Z77">
            <v>4.0099009900990099</v>
          </cell>
          <cell r="AA77">
            <v>3.5</v>
          </cell>
          <cell r="AB77">
            <v>3.5</v>
          </cell>
          <cell r="AC77">
            <v>44712</v>
          </cell>
          <cell r="AD77">
            <v>2.9540828402845896</v>
          </cell>
          <cell r="AE77">
            <v>-0.54591715971541044</v>
          </cell>
          <cell r="AF77">
            <v>2.9540828402845896</v>
          </cell>
          <cell r="AG77">
            <v>-0.54591715971541044</v>
          </cell>
          <cell r="AH77">
            <v>5.6038329037691073</v>
          </cell>
          <cell r="AI77">
            <v>1.5939319136700973</v>
          </cell>
        </row>
        <row r="78">
          <cell r="A78" t="str">
            <v>Teneo</v>
          </cell>
          <cell r="B78" t="str">
            <v>Teneo (TL)</v>
          </cell>
          <cell r="C78" t="str">
            <v>Teneo</v>
          </cell>
          <cell r="E78" t="str">
            <v>Professional Services</v>
          </cell>
          <cell r="F78" t="str">
            <v>First Lien</v>
          </cell>
          <cell r="G78" t="str">
            <v>FL</v>
          </cell>
          <cell r="H78" t="str">
            <v>Senior Secured</v>
          </cell>
          <cell r="I78" t="str">
            <v>B</v>
          </cell>
          <cell r="J78">
            <v>0.01</v>
          </cell>
          <cell r="K78">
            <v>4.7500000000000001E-2</v>
          </cell>
          <cell r="L78">
            <v>47920</v>
          </cell>
          <cell r="M78" t="str">
            <v>USA</v>
          </cell>
          <cell r="N78" t="str">
            <v>USD</v>
          </cell>
          <cell r="O78">
            <v>100</v>
          </cell>
          <cell r="P78" t="str">
            <v>Y</v>
          </cell>
          <cell r="Q78" t="str">
            <v>N</v>
          </cell>
          <cell r="R78" t="str">
            <v>Cov-Lite</v>
          </cell>
          <cell r="S78" t="str">
            <v>Yes</v>
          </cell>
          <cell r="T78">
            <v>45747</v>
          </cell>
          <cell r="V78">
            <v>4.5260321100917436</v>
          </cell>
          <cell r="W78">
            <v>174.4</v>
          </cell>
          <cell r="X78">
            <v>370</v>
          </cell>
          <cell r="Y78">
            <v>71</v>
          </cell>
          <cell r="Z78">
            <v>2.5315553020038504</v>
          </cell>
          <cell r="AA78">
            <v>4.929577464788732</v>
          </cell>
          <cell r="AB78">
            <v>4.929577464788732</v>
          </cell>
          <cell r="AC78">
            <v>45747</v>
          </cell>
          <cell r="AD78">
            <v>4.5260321100917436</v>
          </cell>
          <cell r="AE78">
            <v>-0.40354535469698849</v>
          </cell>
          <cell r="AF78">
            <v>4.5260321100917436</v>
          </cell>
          <cell r="AG78">
            <v>-0.40354535469698849</v>
          </cell>
          <cell r="AH78">
            <v>2.2626723925425227</v>
          </cell>
          <cell r="AI78">
            <v>-0.26888290946132765</v>
          </cell>
        </row>
        <row r="79">
          <cell r="A79" t="str">
            <v xml:space="preserve">TVC Enterprises, LLC </v>
          </cell>
          <cell r="B79" t="str">
            <v>TVC (TL)</v>
          </cell>
          <cell r="C79" t="str">
            <v>TVC</v>
          </cell>
          <cell r="D79" t="str">
            <v>TVC Enterprises, LLC</v>
          </cell>
          <cell r="E79" t="str">
            <v>Commercial Services &amp; Supplies</v>
          </cell>
          <cell r="F79" t="str">
            <v>First Lien</v>
          </cell>
          <cell r="G79" t="str">
            <v>FL</v>
          </cell>
          <cell r="H79" t="str">
            <v>Senior Secured</v>
          </cell>
          <cell r="I79" t="str">
            <v>B-*</v>
          </cell>
          <cell r="J79">
            <v>0.01</v>
          </cell>
          <cell r="K79">
            <v>0.06</v>
          </cell>
          <cell r="L79">
            <v>46107</v>
          </cell>
          <cell r="M79" t="str">
            <v>USA</v>
          </cell>
          <cell r="N79" t="str">
            <v>USD</v>
          </cell>
          <cell r="O79">
            <v>100</v>
          </cell>
          <cell r="P79" t="str">
            <v>Y</v>
          </cell>
          <cell r="Q79" t="str">
            <v>Y</v>
          </cell>
          <cell r="R79" t="str">
            <v>Maintenance Covenants</v>
          </cell>
          <cell r="S79" t="str">
            <v>No</v>
          </cell>
          <cell r="T79">
            <v>45169</v>
          </cell>
          <cell r="V79">
            <v>5.1404138831684163</v>
          </cell>
          <cell r="W79">
            <v>39.817999999999998</v>
          </cell>
          <cell r="X79">
            <v>222.5</v>
          </cell>
          <cell r="Y79">
            <v>15.635</v>
          </cell>
          <cell r="Z79">
            <v>3.1744883134974002</v>
          </cell>
          <cell r="AA79">
            <v>3.93</v>
          </cell>
          <cell r="AB79">
            <v>3.93</v>
          </cell>
          <cell r="AC79">
            <v>45169</v>
          </cell>
          <cell r="AD79">
            <v>5.1404138831684163</v>
          </cell>
          <cell r="AE79">
            <v>1.2104138831684161</v>
          </cell>
          <cell r="AF79">
            <v>5.1404138831684163</v>
          </cell>
          <cell r="AG79">
            <v>1.2104138831684161</v>
          </cell>
          <cell r="AH79">
            <v>1.7778273875965531</v>
          </cell>
          <cell r="AI79">
            <v>-1.3966609259008471</v>
          </cell>
        </row>
        <row r="80">
          <cell r="A80" t="str">
            <v>UBEO</v>
          </cell>
          <cell r="B80" t="str">
            <v>UBEO (TL)</v>
          </cell>
          <cell r="C80" t="str">
            <v>UBEO</v>
          </cell>
          <cell r="E80" t="str">
            <v>Commercial Services &amp; Supplies</v>
          </cell>
          <cell r="F80" t="str">
            <v>First Lien</v>
          </cell>
          <cell r="G80" t="str">
            <v>FL</v>
          </cell>
          <cell r="H80" t="str">
            <v>Senior Secured</v>
          </cell>
          <cell r="I80" t="str">
            <v>CCC+*</v>
          </cell>
          <cell r="J80">
            <v>0.01</v>
          </cell>
          <cell r="K80">
            <v>4.4999999999999998E-2</v>
          </cell>
          <cell r="L80">
            <v>45385</v>
          </cell>
          <cell r="M80" t="str">
            <v>USA</v>
          </cell>
          <cell r="N80" t="str">
            <v>USD</v>
          </cell>
          <cell r="O80">
            <v>100</v>
          </cell>
          <cell r="P80" t="str">
            <v>Y</v>
          </cell>
          <cell r="Q80" t="str">
            <v>N</v>
          </cell>
          <cell r="R80" t="str">
            <v>Maintenance Covenants</v>
          </cell>
          <cell r="S80" t="str">
            <v>No</v>
          </cell>
          <cell r="T80">
            <v>45077</v>
          </cell>
          <cell r="V80">
            <v>3.7936535243427532</v>
          </cell>
          <cell r="W80">
            <v>63.941000000000003</v>
          </cell>
          <cell r="X80">
            <v>56.5</v>
          </cell>
          <cell r="Y80">
            <v>36.963999999999999</v>
          </cell>
          <cell r="Z80">
            <v>2.5905835190558286</v>
          </cell>
          <cell r="AA80">
            <v>3.863597013310248</v>
          </cell>
          <cell r="AB80">
            <v>4.9890163402229195</v>
          </cell>
          <cell r="AC80">
            <v>45077</v>
          </cell>
          <cell r="AD80">
            <v>3.7936535243427532</v>
          </cell>
          <cell r="AE80">
            <v>-6.9943488967494805E-2</v>
          </cell>
          <cell r="AF80">
            <v>4.5347586055895279</v>
          </cell>
          <cell r="AG80">
            <v>-0.45425773463339159</v>
          </cell>
          <cell r="AH80">
            <v>2.1803519061583576</v>
          </cell>
          <cell r="AI80">
            <v>-0.41023161289747101</v>
          </cell>
        </row>
        <row r="81">
          <cell r="A81" t="str">
            <v>Vertex</v>
          </cell>
          <cell r="B81" t="str">
            <v>Vertex (Term Loan)</v>
          </cell>
          <cell r="C81" t="str">
            <v>Vertex</v>
          </cell>
          <cell r="E81" t="str">
            <v>Construction &amp; Engineering</v>
          </cell>
          <cell r="F81" t="str">
            <v>First Lien</v>
          </cell>
          <cell r="G81" t="str">
            <v>FL</v>
          </cell>
          <cell r="H81" t="str">
            <v>Senior Secured</v>
          </cell>
          <cell r="I81" t="str">
            <v>B-*</v>
          </cell>
          <cell r="J81">
            <v>0.01</v>
          </cell>
          <cell r="K81">
            <v>5.5E-2</v>
          </cell>
          <cell r="L81">
            <v>46630</v>
          </cell>
          <cell r="M81" t="str">
            <v>USA</v>
          </cell>
          <cell r="N81" t="str">
            <v>USD</v>
          </cell>
          <cell r="O81" t="str">
            <v>TBD</v>
          </cell>
          <cell r="P81" t="str">
            <v>Y</v>
          </cell>
          <cell r="Q81" t="str">
            <v>N</v>
          </cell>
          <cell r="R81" t="str">
            <v>Maintenance Covenants</v>
          </cell>
          <cell r="S81" t="str">
            <v>No</v>
          </cell>
          <cell r="T81">
            <v>45747</v>
          </cell>
          <cell r="V81">
            <v>5.4134313023444074</v>
          </cell>
          <cell r="W81">
            <v>32.119</v>
          </cell>
          <cell r="X81">
            <v>87.9</v>
          </cell>
          <cell r="Y81">
            <v>12.618246884917289</v>
          </cell>
          <cell r="Z81">
            <v>2.8040548633149531</v>
          </cell>
          <cell r="AA81">
            <v>5.5069456663635004</v>
          </cell>
          <cell r="AB81">
            <v>5.5069456663635004</v>
          </cell>
          <cell r="AC81">
            <v>45747</v>
          </cell>
          <cell r="AD81">
            <v>5.4134313023444074</v>
          </cell>
          <cell r="AE81">
            <v>-9.3514364019092966E-2</v>
          </cell>
          <cell r="AF81">
            <v>5.4134313023444074</v>
          </cell>
          <cell r="AG81">
            <v>-9.3514364019092966E-2</v>
          </cell>
          <cell r="AH81">
            <v>2.7064182110878119</v>
          </cell>
          <cell r="AI81">
            <v>-9.7636652227141241E-2</v>
          </cell>
        </row>
        <row r="82">
          <cell r="A82" t="str">
            <v>Vision Purchaser Corporation</v>
          </cell>
          <cell r="B82" t="str">
            <v>Vision Integrated (TL)</v>
          </cell>
          <cell r="C82" t="str">
            <v>Vision Integrated</v>
          </cell>
          <cell r="E82" t="str">
            <v>Media</v>
          </cell>
          <cell r="F82" t="str">
            <v>First Lien</v>
          </cell>
          <cell r="G82" t="str">
            <v>FL</v>
          </cell>
          <cell r="H82" t="str">
            <v>Senior Secured</v>
          </cell>
          <cell r="I82" t="str">
            <v>B-*</v>
          </cell>
          <cell r="J82">
            <v>0.01</v>
          </cell>
          <cell r="K82">
            <v>6.25E-2</v>
          </cell>
          <cell r="L82">
            <v>45818</v>
          </cell>
          <cell r="M82" t="str">
            <v>USA</v>
          </cell>
          <cell r="N82" t="str">
            <v>USD</v>
          </cell>
          <cell r="O82">
            <v>100</v>
          </cell>
          <cell r="P82" t="str">
            <v>Y</v>
          </cell>
          <cell r="Q82" t="str">
            <v>Y</v>
          </cell>
          <cell r="R82" t="str">
            <v>Maintenance Covenants</v>
          </cell>
          <cell r="S82" t="str">
            <v>No</v>
          </cell>
          <cell r="T82">
            <v>45716</v>
          </cell>
          <cell r="V82">
            <v>4.0486433518033644</v>
          </cell>
          <cell r="W82">
            <v>38.704322999999995</v>
          </cell>
          <cell r="X82">
            <v>75</v>
          </cell>
          <cell r="Y82">
            <v>21.719323313075027</v>
          </cell>
          <cell r="Z82">
            <v>2.4197107077846507</v>
          </cell>
          <cell r="AA82">
            <v>3.3763022421538689</v>
          </cell>
          <cell r="AB82">
            <v>4.4444754842747969</v>
          </cell>
          <cell r="AC82">
            <v>45716</v>
          </cell>
          <cell r="AD82">
            <v>4.0486433518033644</v>
          </cell>
          <cell r="AE82">
            <v>0.67234110964949556</v>
          </cell>
          <cell r="AF82">
            <v>6.0923427080742387</v>
          </cell>
          <cell r="AG82">
            <v>1.6478672237994418</v>
          </cell>
          <cell r="AH82">
            <v>1.3027896941745158</v>
          </cell>
          <cell r="AI82">
            <v>-1.1169210136101348</v>
          </cell>
        </row>
        <row r="83">
          <cell r="A83" t="str">
            <v>Zips Car Wash, LLC</v>
          </cell>
          <cell r="B83" t="str">
            <v>Zips (DDTL)</v>
          </cell>
          <cell r="C83" t="e">
            <v>#N/A</v>
          </cell>
          <cell r="E83" t="e">
            <v>#N/A</v>
          </cell>
          <cell r="F83" t="e">
            <v>#N/A</v>
          </cell>
          <cell r="G83" t="str">
            <v>FL</v>
          </cell>
          <cell r="H83" t="str">
            <v>Senior Secured</v>
          </cell>
          <cell r="I83" t="str">
            <v/>
          </cell>
          <cell r="J83" t="e">
            <v>#N/A</v>
          </cell>
          <cell r="K83" t="e">
            <v>#N/A</v>
          </cell>
          <cell r="L83" t="e">
            <v>#N/A</v>
          </cell>
          <cell r="M83" t="str">
            <v>USA</v>
          </cell>
          <cell r="N83" t="e">
            <v>#N/A</v>
          </cell>
          <cell r="O83" t="str">
            <v>TBD</v>
          </cell>
          <cell r="P83" t="str">
            <v>Y</v>
          </cell>
          <cell r="Q83" t="e">
            <v>#N/A</v>
          </cell>
          <cell r="R83" t="str">
            <v>Maintenance Covenants</v>
          </cell>
          <cell r="S83" t="e">
            <v>#N/A</v>
          </cell>
          <cell r="T83" t="e">
            <v>#N/A</v>
          </cell>
          <cell r="V83" t="e">
            <v>#N/A</v>
          </cell>
          <cell r="W83" t="e">
            <v>#N/A</v>
          </cell>
          <cell r="X83" t="e">
            <v>#N/A</v>
          </cell>
          <cell r="Y83">
            <v>71.046999999999997</v>
          </cell>
          <cell r="Z83">
            <v>2.3519850367047641</v>
          </cell>
          <cell r="AA83">
            <v>5.3640688558278322</v>
          </cell>
          <cell r="AB83">
            <v>5.8115588098019622</v>
          </cell>
          <cell r="AC83" t="e">
            <v>#N/A</v>
          </cell>
          <cell r="AD83" t="e">
            <v>#N/A</v>
          </cell>
          <cell r="AE83" t="e">
            <v>#N/A</v>
          </cell>
          <cell r="AF83" t="e">
            <v>#N/A</v>
          </cell>
          <cell r="AG83" t="e">
            <v>#N/A</v>
          </cell>
          <cell r="AH83" t="e">
            <v>#N/A</v>
          </cell>
          <cell r="AI83" t="e">
            <v>#N/A</v>
          </cell>
        </row>
        <row r="84">
          <cell r="A84" t="str">
            <v xml:space="preserve">Tyto Athene </v>
          </cell>
          <cell r="B84" t="str">
            <v>Tyto Athene (Term Loan)</v>
          </cell>
          <cell r="C84" t="str">
            <v>Tyto Athene</v>
          </cell>
          <cell r="E84" t="str">
            <v>IT Services</v>
          </cell>
          <cell r="F84" t="str">
            <v>First Lien</v>
          </cell>
          <cell r="G84" t="str">
            <v>FL</v>
          </cell>
          <cell r="H84" t="str">
            <v>Senior Secured</v>
          </cell>
          <cell r="I84" t="str">
            <v>B-*</v>
          </cell>
          <cell r="J84">
            <v>7.4999999999999997E-3</v>
          </cell>
          <cell r="K84">
            <v>5.5E-2</v>
          </cell>
          <cell r="L84">
            <v>46846</v>
          </cell>
          <cell r="M84" t="str">
            <v>USA</v>
          </cell>
          <cell r="N84" t="str">
            <v>USD</v>
          </cell>
          <cell r="O84">
            <v>100</v>
          </cell>
          <cell r="P84" t="str">
            <v>Y</v>
          </cell>
          <cell r="Q84" t="str">
            <v>Y</v>
          </cell>
          <cell r="R84" t="str">
            <v>Maintenance Covenants</v>
          </cell>
          <cell r="S84" t="str">
            <v>No</v>
          </cell>
          <cell r="T84">
            <v>45657</v>
          </cell>
          <cell r="V84">
            <v>4.6546771906643265</v>
          </cell>
          <cell r="W84">
            <v>52.222994</v>
          </cell>
          <cell r="X84">
            <v>220</v>
          </cell>
          <cell r="Y84">
            <v>54.896716000000005</v>
          </cell>
          <cell r="Z84">
            <v>2.8704165228758174</v>
          </cell>
          <cell r="AA84">
            <v>3.6965979349292946</v>
          </cell>
          <cell r="AB84">
            <v>4.60739922949125</v>
          </cell>
          <cell r="AC84">
            <v>45657</v>
          </cell>
          <cell r="AD84">
            <v>4.6546771906643265</v>
          </cell>
          <cell r="AE84">
            <v>0.95807925573503194</v>
          </cell>
          <cell r="AF84">
            <v>5.9950829130937988</v>
          </cell>
          <cell r="AG84">
            <v>1.3876836836025488</v>
          </cell>
          <cell r="AH84">
            <v>1.3869243057085023</v>
          </cell>
          <cell r="AI84">
            <v>-1.4834922171673151</v>
          </cell>
        </row>
        <row r="85">
          <cell r="A85" t="str">
            <v>Reception Purchaser, LLC</v>
          </cell>
          <cell r="B85" t="str">
            <v>STG (TL)</v>
          </cell>
          <cell r="C85" t="str">
            <v>STG Logistics</v>
          </cell>
          <cell r="E85" t="str">
            <v>Air Freight and Logistics</v>
          </cell>
          <cell r="F85" t="str">
            <v>First Lien</v>
          </cell>
          <cell r="G85" t="str">
            <v>FL</v>
          </cell>
          <cell r="H85" t="str">
            <v>Senior Secured</v>
          </cell>
          <cell r="I85" t="str">
            <v>B</v>
          </cell>
          <cell r="J85">
            <v>7.4999999999999997E-3</v>
          </cell>
          <cell r="K85">
            <v>0.06</v>
          </cell>
          <cell r="L85">
            <v>46871</v>
          </cell>
          <cell r="M85" t="str">
            <v>USA</v>
          </cell>
          <cell r="N85" t="str">
            <v>USD</v>
          </cell>
          <cell r="O85" t="str">
            <v>TBD</v>
          </cell>
          <cell r="P85" t="str">
            <v>Y</v>
          </cell>
          <cell r="Q85" t="str">
            <v>Y</v>
          </cell>
          <cell r="R85" t="str">
            <v>Maintenance Covenants</v>
          </cell>
          <cell r="S85" t="str">
            <v>No</v>
          </cell>
          <cell r="T85">
            <v>45657</v>
          </cell>
          <cell r="V85">
            <v>165.14773045329511</v>
          </cell>
          <cell r="W85">
            <v>5.4489999999999998</v>
          </cell>
          <cell r="X85">
            <v>750</v>
          </cell>
          <cell r="Y85">
            <v>193.1</v>
          </cell>
          <cell r="Z85">
            <v>3.91</v>
          </cell>
          <cell r="AA85">
            <v>3.82</v>
          </cell>
          <cell r="AB85">
            <v>3.82</v>
          </cell>
          <cell r="AC85">
            <v>45657</v>
          </cell>
          <cell r="AD85">
            <v>165.14773045329511</v>
          </cell>
          <cell r="AE85">
            <v>161.32773045329512</v>
          </cell>
          <cell r="AF85">
            <v>165.14773045329511</v>
          </cell>
          <cell r="AG85">
            <v>161.32773045329512</v>
          </cell>
          <cell r="AH85">
            <v>4.5334664503515122E-2</v>
          </cell>
          <cell r="AI85">
            <v>-3.8646653354964848</v>
          </cell>
        </row>
        <row r="86">
          <cell r="A86" t="str">
            <v>Exigo</v>
          </cell>
          <cell r="B86" t="str">
            <v>Exigo (Term Loan)</v>
          </cell>
          <cell r="C86" t="str">
            <v>Exigo</v>
          </cell>
          <cell r="D86" t="str">
            <v>Exigo LLC</v>
          </cell>
          <cell r="E86" t="str">
            <v>Internet Software &amp; Services</v>
          </cell>
          <cell r="F86" t="str">
            <v>First Lien</v>
          </cell>
          <cell r="G86" t="str">
            <v>FL</v>
          </cell>
          <cell r="H86" t="str">
            <v>Senior Secured</v>
          </cell>
          <cell r="I86" t="str">
            <v/>
          </cell>
          <cell r="J86">
            <v>0.01</v>
          </cell>
          <cell r="K86">
            <v>5.7520000000000002E-2</v>
          </cell>
          <cell r="L86">
            <v>46462</v>
          </cell>
          <cell r="M86" t="str">
            <v>USA</v>
          </cell>
          <cell r="N86" t="str">
            <v>USD</v>
          </cell>
          <cell r="O86" t="str">
            <v>TBD</v>
          </cell>
          <cell r="P86" t="str">
            <v>Y</v>
          </cell>
          <cell r="Q86" t="str">
            <v>Y</v>
          </cell>
          <cell r="R86" t="str">
            <v>Maintenance Covenants</v>
          </cell>
          <cell r="S86" t="str">
            <v>No</v>
          </cell>
          <cell r="T86">
            <v>45747</v>
          </cell>
          <cell r="V86">
            <v>6.0462566435089533</v>
          </cell>
          <cell r="W86">
            <v>18.287210999999999</v>
          </cell>
          <cell r="X86">
            <v>120</v>
          </cell>
          <cell r="Y86">
            <v>20.399999999999999</v>
          </cell>
          <cell r="Z86">
            <v>2.5185185185185186</v>
          </cell>
          <cell r="AA86">
            <v>5.882352941176471</v>
          </cell>
          <cell r="AB86">
            <v>5.882352941176471</v>
          </cell>
          <cell r="AC86">
            <v>45747</v>
          </cell>
          <cell r="AD86">
            <v>6.0462566435089533</v>
          </cell>
          <cell r="AE86">
            <v>0.1639037023324823</v>
          </cell>
          <cell r="AF86">
            <v>6.1056985671571242</v>
          </cell>
          <cell r="AG86">
            <v>0.22334562598065322</v>
          </cell>
          <cell r="AH86">
            <v>1.3433842961825906</v>
          </cell>
          <cell r="AI86">
            <v>-1.175134222335928</v>
          </cell>
        </row>
        <row r="87">
          <cell r="A87" t="str">
            <v>Watterson</v>
          </cell>
          <cell r="B87" t="str">
            <v>Watterson (TL)</v>
          </cell>
          <cell r="C87" t="str">
            <v>Watterson</v>
          </cell>
          <cell r="E87" t="str">
            <v>Professional Services</v>
          </cell>
          <cell r="F87" t="str">
            <v>First Lien</v>
          </cell>
          <cell r="G87" t="str">
            <v>FL</v>
          </cell>
          <cell r="H87" t="str">
            <v>Senior Secured</v>
          </cell>
          <cell r="I87" t="str">
            <v/>
          </cell>
          <cell r="J87">
            <v>0.01</v>
          </cell>
          <cell r="K87">
            <v>0.06</v>
          </cell>
          <cell r="L87">
            <v>46373</v>
          </cell>
          <cell r="M87" t="str">
            <v>USA</v>
          </cell>
          <cell r="N87" t="str">
            <v>USD</v>
          </cell>
          <cell r="O87" t="str">
            <v>TBD</v>
          </cell>
          <cell r="P87" t="str">
            <v>Y</v>
          </cell>
          <cell r="Q87" t="str">
            <v>Y</v>
          </cell>
          <cell r="R87" t="str">
            <v>Maintenance Covenants</v>
          </cell>
          <cell r="S87" t="str">
            <v>No</v>
          </cell>
          <cell r="T87">
            <v>45716</v>
          </cell>
          <cell r="V87">
            <v>13.366389168008665</v>
          </cell>
          <cell r="W87">
            <v>8.8660474800207592</v>
          </cell>
          <cell r="X87">
            <v>117</v>
          </cell>
          <cell r="Y87">
            <v>27.15523460836944</v>
          </cell>
          <cell r="Z87">
            <v>3.1424751363242351</v>
          </cell>
          <cell r="AA87">
            <v>4.0677240168416526</v>
          </cell>
          <cell r="AB87">
            <v>4.0677240168416526</v>
          </cell>
          <cell r="AC87">
            <v>45716</v>
          </cell>
          <cell r="AD87">
            <v>13.366389168008665</v>
          </cell>
          <cell r="AE87">
            <v>9.2986651511670111</v>
          </cell>
          <cell r="AF87">
            <v>13.366389168008665</v>
          </cell>
          <cell r="AG87">
            <v>9.2986651511670111</v>
          </cell>
          <cell r="AH87">
            <v>0.5653776891539134</v>
          </cell>
          <cell r="AI87">
            <v>-2.5770974471703219</v>
          </cell>
        </row>
        <row r="88">
          <cell r="A88" t="str">
            <v>Beta+</v>
          </cell>
          <cell r="B88" t="str">
            <v>Beta+ (TL)</v>
          </cell>
          <cell r="C88" t="str">
            <v>Beta+</v>
          </cell>
          <cell r="E88" t="str">
            <v>Software</v>
          </cell>
          <cell r="F88" t="str">
            <v>First Lien</v>
          </cell>
          <cell r="G88" t="str">
            <v>FL</v>
          </cell>
          <cell r="H88" t="str">
            <v>Senior Secured</v>
          </cell>
          <cell r="I88" t="str">
            <v/>
          </cell>
          <cell r="J88">
            <v>5.0000000000000001E-3</v>
          </cell>
          <cell r="K88">
            <v>5.7500000000000002E-2</v>
          </cell>
          <cell r="L88">
            <v>47301</v>
          </cell>
          <cell r="M88" t="str">
            <v>USA</v>
          </cell>
          <cell r="N88" t="str">
            <v>USD</v>
          </cell>
          <cell r="O88" t="str">
            <v>TBD</v>
          </cell>
          <cell r="P88" t="str">
            <v>Y</v>
          </cell>
          <cell r="Q88" t="str">
            <v>Y</v>
          </cell>
          <cell r="R88" t="str">
            <v>Maintenance Covenants</v>
          </cell>
          <cell r="S88" t="str">
            <v>No</v>
          </cell>
          <cell r="T88">
            <v>45565</v>
          </cell>
          <cell r="V88">
            <v>6.1355848240613327</v>
          </cell>
          <cell r="W88">
            <v>127.175</v>
          </cell>
          <cell r="X88">
            <v>750</v>
          </cell>
          <cell r="Y88">
            <v>135</v>
          </cell>
          <cell r="Z88">
            <v>2.9411764705882355</v>
          </cell>
          <cell r="AA88">
            <v>5.1851851851851851</v>
          </cell>
          <cell r="AB88">
            <v>5.1851851851851851</v>
          </cell>
          <cell r="AC88">
            <v>45565</v>
          </cell>
          <cell r="AD88">
            <v>6.1355848240613327</v>
          </cell>
          <cell r="AE88">
            <v>0.95039963887614753</v>
          </cell>
          <cell r="AF88">
            <v>6.1355848240613327</v>
          </cell>
          <cell r="AG88">
            <v>0.95039963887614753</v>
          </cell>
          <cell r="AH88">
            <v>1.4569251918891051</v>
          </cell>
          <cell r="AI88">
            <v>-1.4842512786991304</v>
          </cell>
        </row>
        <row r="89">
          <cell r="A89" t="str">
            <v>IDC Infusion Services</v>
          </cell>
          <cell r="B89" t="str">
            <v>IDC Infusion Services (Term Loan)</v>
          </cell>
          <cell r="C89" t="str">
            <v>IDC Infusion Services</v>
          </cell>
          <cell r="D89" t="str">
            <v>IDC Infusion Services, Inc.</v>
          </cell>
          <cell r="E89" t="str">
            <v>Health Care Providers &amp; Services</v>
          </cell>
          <cell r="F89" t="str">
            <v>First Lien</v>
          </cell>
          <cell r="G89" t="str">
            <v>FL</v>
          </cell>
          <cell r="H89" t="str">
            <v>Senior Secured</v>
          </cell>
          <cell r="I89" t="str">
            <v/>
          </cell>
          <cell r="J89">
            <v>0.01</v>
          </cell>
          <cell r="K89">
            <v>0.06</v>
          </cell>
          <cell r="L89">
            <v>46386</v>
          </cell>
          <cell r="M89" t="str">
            <v>USA</v>
          </cell>
          <cell r="N89" t="str">
            <v>USD</v>
          </cell>
          <cell r="O89" t="str">
            <v>TBD</v>
          </cell>
          <cell r="P89" t="str">
            <v>Y</v>
          </cell>
          <cell r="Q89" t="str">
            <v>N</v>
          </cell>
          <cell r="R89" t="str">
            <v>Maintenance Covenants</v>
          </cell>
          <cell r="S89" t="str">
            <v>No</v>
          </cell>
          <cell r="T89">
            <v>45657</v>
          </cell>
          <cell r="V89">
            <v>5.1636259230404198</v>
          </cell>
          <cell r="W89">
            <v>56.002312801104203</v>
          </cell>
          <cell r="X89">
            <v>17.5</v>
          </cell>
          <cell r="Y89">
            <v>4.3415410720535501</v>
          </cell>
          <cell r="Z89">
            <v>3.5441151608600414</v>
          </cell>
          <cell r="AA89">
            <v>4.0308267754616667</v>
          </cell>
          <cell r="AB89">
            <v>4.0308267754616667</v>
          </cell>
          <cell r="AC89">
            <v>45657</v>
          </cell>
          <cell r="AD89">
            <v>0</v>
          </cell>
          <cell r="AE89">
            <v>-4.0308267754616667</v>
          </cell>
          <cell r="AF89">
            <v>5.1636259230404198</v>
          </cell>
          <cell r="AG89">
            <v>1.1327991475787531</v>
          </cell>
          <cell r="AH89">
            <v>1.9535186086249949</v>
          </cell>
          <cell r="AI89">
            <v>-1.5905965522350465</v>
          </cell>
        </row>
        <row r="90">
          <cell r="A90" t="str">
            <v>Cartessa</v>
          </cell>
          <cell r="B90" t="str">
            <v>Cartessa (TL)</v>
          </cell>
          <cell r="C90" t="str">
            <v>Cartessa</v>
          </cell>
          <cell r="D90" t="str">
            <v>Cartessa Aesthetics, LLC</v>
          </cell>
          <cell r="E90" t="str">
            <v>Distributors</v>
          </cell>
          <cell r="F90" t="str">
            <v>First Lien</v>
          </cell>
          <cell r="G90" t="str">
            <v>FL</v>
          </cell>
          <cell r="H90" t="str">
            <v>Senior Secured</v>
          </cell>
          <cell r="J90">
            <v>0.01</v>
          </cell>
          <cell r="K90">
            <v>0.06</v>
          </cell>
          <cell r="L90">
            <v>46918</v>
          </cell>
          <cell r="M90" t="str">
            <v>USA</v>
          </cell>
          <cell r="N90" t="str">
            <v>USD</v>
          </cell>
          <cell r="O90" t="str">
            <v>TBD</v>
          </cell>
          <cell r="P90" t="str">
            <v>Y</v>
          </cell>
          <cell r="Q90" t="str">
            <v>N</v>
          </cell>
          <cell r="R90" t="str">
            <v>Maintenance Covenants</v>
          </cell>
          <cell r="S90" t="str">
            <v>No</v>
          </cell>
          <cell r="T90">
            <v>45716</v>
          </cell>
          <cell r="V90">
            <v>3.2680580859332187</v>
          </cell>
          <cell r="W90">
            <v>19.711492299253582</v>
          </cell>
          <cell r="X90">
            <v>80</v>
          </cell>
          <cell r="Y90">
            <v>22.8</v>
          </cell>
          <cell r="Z90">
            <v>3.6190476190476191</v>
          </cell>
          <cell r="AA90">
            <v>2.99</v>
          </cell>
          <cell r="AB90">
            <v>2.99</v>
          </cell>
          <cell r="AC90">
            <v>45716</v>
          </cell>
          <cell r="AD90">
            <v>3.2680580859332187</v>
          </cell>
          <cell r="AE90">
            <v>0.27805808593321846</v>
          </cell>
          <cell r="AF90">
            <v>3.2680580859332187</v>
          </cell>
          <cell r="AG90">
            <v>0.27805808593321846</v>
          </cell>
          <cell r="AH90">
            <v>2.5267405100399336</v>
          </cell>
          <cell r="AI90">
            <v>-1.0923071090076855</v>
          </cell>
        </row>
        <row r="91">
          <cell r="A91" t="str">
            <v>Unique Indoor Comfort</v>
          </cell>
          <cell r="B91" t="str">
            <v>Unique Indoor Comfort (TL)</v>
          </cell>
          <cell r="C91" t="str">
            <v>Unique Indoor Comfort</v>
          </cell>
          <cell r="D91" t="str">
            <v>Unique Indoor Comfort, LLC</v>
          </cell>
          <cell r="E91" t="str">
            <v>Energy Equipment &amp; Services</v>
          </cell>
          <cell r="F91" t="str">
            <v>First Lien</v>
          </cell>
          <cell r="G91" t="str">
            <v>FL</v>
          </cell>
          <cell r="H91" t="str">
            <v>Senior Secured</v>
          </cell>
          <cell r="J91">
            <v>0.01</v>
          </cell>
          <cell r="K91">
            <v>5.2499999999999998E-2</v>
          </cell>
          <cell r="L91">
            <v>46531</v>
          </cell>
          <cell r="M91" t="str">
            <v>USA</v>
          </cell>
          <cell r="N91" t="str">
            <v>USD</v>
          </cell>
          <cell r="O91" t="str">
            <v>TBD</v>
          </cell>
          <cell r="P91" t="str">
            <v>Y</v>
          </cell>
          <cell r="Q91" t="str">
            <v>N</v>
          </cell>
          <cell r="R91" t="str">
            <v>Maintenance Covenants</v>
          </cell>
          <cell r="S91" t="str">
            <v>No</v>
          </cell>
          <cell r="T91">
            <v>44834</v>
          </cell>
          <cell r="V91">
            <v>2.7673367384731251</v>
          </cell>
          <cell r="W91">
            <v>15.306469</v>
          </cell>
          <cell r="X91">
            <v>28.5</v>
          </cell>
          <cell r="Y91">
            <v>10</v>
          </cell>
          <cell r="Z91">
            <v>5.5555555555555554</v>
          </cell>
          <cell r="AA91">
            <v>2.4500000000000002</v>
          </cell>
          <cell r="AB91">
            <v>2.4500000000000002</v>
          </cell>
          <cell r="AC91">
            <v>44834</v>
          </cell>
          <cell r="AD91">
            <v>2.7673367384731251</v>
          </cell>
          <cell r="AE91">
            <v>0.31733673847312494</v>
          </cell>
          <cell r="AF91">
            <v>2.7673367384731251</v>
          </cell>
          <cell r="AG91">
            <v>0.31733673847312494</v>
          </cell>
          <cell r="AH91">
            <v>4.7515886745321634</v>
          </cell>
          <cell r="AI91">
            <v>-0.80396688102339198</v>
          </cell>
        </row>
        <row r="92">
          <cell r="A92" t="str">
            <v>Fairbanks Morse Defense</v>
          </cell>
          <cell r="B92" t="str">
            <v>Fairbanks Morse Defense (Term Loan)</v>
          </cell>
          <cell r="C92" t="e">
            <v>#N/A</v>
          </cell>
          <cell r="D92" t="str">
            <v>Arcline FM Holdings, LLC</v>
          </cell>
          <cell r="E92" t="e">
            <v>#N/A</v>
          </cell>
          <cell r="F92" t="e">
            <v>#N/A</v>
          </cell>
          <cell r="G92" t="str">
            <v>FL</v>
          </cell>
          <cell r="H92" t="str">
            <v>Senior Secured</v>
          </cell>
          <cell r="I92" t="str">
            <v/>
          </cell>
          <cell r="J92" t="e">
            <v>#N/A</v>
          </cell>
          <cell r="K92" t="e">
            <v>#N/A</v>
          </cell>
          <cell r="L92" t="e">
            <v>#N/A</v>
          </cell>
          <cell r="M92" t="str">
            <v>USA</v>
          </cell>
          <cell r="N92" t="e">
            <v>#N/A</v>
          </cell>
          <cell r="O92" t="str">
            <v>TBD</v>
          </cell>
          <cell r="P92" t="str">
            <v>Y</v>
          </cell>
          <cell r="Q92" t="e">
            <v>#N/A</v>
          </cell>
          <cell r="R92" t="str">
            <v>Cov-Lite</v>
          </cell>
          <cell r="S92" t="e">
            <v>#N/A</v>
          </cell>
          <cell r="T92" t="e">
            <v>#N/A</v>
          </cell>
          <cell r="V92" t="e">
            <v>#N/A</v>
          </cell>
          <cell r="W92" t="e">
            <v>#N/A</v>
          </cell>
          <cell r="X92" t="e">
            <v>#N/A</v>
          </cell>
          <cell r="Y92">
            <v>177.95499999999998</v>
          </cell>
          <cell r="Z92">
            <v>2.9990562380976451</v>
          </cell>
          <cell r="AA92">
            <v>5.397830912309292</v>
          </cell>
          <cell r="AB92">
            <v>6.8167289483296338</v>
          </cell>
          <cell r="AC92" t="e">
            <v>#N/A</v>
          </cell>
          <cell r="AD92" t="e">
            <v>#N/A</v>
          </cell>
          <cell r="AE92" t="e">
            <v>#N/A</v>
          </cell>
          <cell r="AF92" t="e">
            <v>#N/A</v>
          </cell>
          <cell r="AG92" t="e">
            <v>#N/A</v>
          </cell>
          <cell r="AH92" t="e">
            <v>#N/A</v>
          </cell>
          <cell r="AI92" t="e">
            <v>#N/A</v>
          </cell>
        </row>
        <row r="93">
          <cell r="A93" t="str">
            <v>McAfee</v>
          </cell>
          <cell r="B93" t="str">
            <v>McAfee (First Lien)</v>
          </cell>
          <cell r="C93" t="str">
            <v>McAfee</v>
          </cell>
          <cell r="D93" t="str">
            <v>Magenta Buyer, LLC</v>
          </cell>
          <cell r="E93" t="str">
            <v>Software</v>
          </cell>
          <cell r="F93" t="str">
            <v>First Lien</v>
          </cell>
          <cell r="G93" t="str">
            <v>FL</v>
          </cell>
          <cell r="H93" t="str">
            <v>Senior Secured</v>
          </cell>
          <cell r="I93" t="str">
            <v>B</v>
          </cell>
          <cell r="J93">
            <v>7.4999999999999997E-3</v>
          </cell>
          <cell r="K93">
            <v>0.05</v>
          </cell>
          <cell r="L93">
            <v>46965</v>
          </cell>
          <cell r="M93" t="str">
            <v>USA</v>
          </cell>
          <cell r="N93" t="str">
            <v>USD</v>
          </cell>
          <cell r="O93" t="str">
            <v>TBD</v>
          </cell>
          <cell r="P93" t="str">
            <v>Y</v>
          </cell>
          <cell r="Q93" t="str">
            <v>Y</v>
          </cell>
          <cell r="R93" t="str">
            <v>Cov-Lite</v>
          </cell>
          <cell r="S93" t="str">
            <v>Yes</v>
          </cell>
          <cell r="T93">
            <v>45657</v>
          </cell>
          <cell r="V93">
            <v>6.0668896321070234</v>
          </cell>
          <cell r="W93">
            <v>598</v>
          </cell>
          <cell r="X93">
            <v>2175</v>
          </cell>
          <cell r="Y93">
            <v>462</v>
          </cell>
          <cell r="Z93">
            <v>2.8170731707317072</v>
          </cell>
          <cell r="AA93">
            <v>4.49</v>
          </cell>
          <cell r="AB93">
            <v>5.79</v>
          </cell>
          <cell r="AC93">
            <v>45657</v>
          </cell>
          <cell r="AD93">
            <v>6.0668896321070234</v>
          </cell>
          <cell r="AE93">
            <v>1.5768896321070232</v>
          </cell>
          <cell r="AF93">
            <v>6.0668896321070234</v>
          </cell>
          <cell r="AG93">
            <v>0.27688963210702333</v>
          </cell>
          <cell r="AH93">
            <v>1.2329896907216495</v>
          </cell>
          <cell r="AI93">
            <v>-1.5840834800100576</v>
          </cell>
        </row>
        <row r="94">
          <cell r="A94" t="str">
            <v>TEAM Services Group</v>
          </cell>
          <cell r="B94" t="str">
            <v>TEAM Services Group (First Lien Term Loan)</v>
          </cell>
          <cell r="C94" t="str">
            <v>TEAM Services Group</v>
          </cell>
          <cell r="D94" t="str">
            <v>Team Services Group, LLC</v>
          </cell>
          <cell r="E94" t="str">
            <v>Health Care Providers &amp; Services</v>
          </cell>
          <cell r="F94" t="str">
            <v>First Lien</v>
          </cell>
          <cell r="G94" t="str">
            <v>FL</v>
          </cell>
          <cell r="H94" t="str">
            <v>Senior Secured</v>
          </cell>
          <cell r="I94" t="str">
            <v>B-</v>
          </cell>
          <cell r="J94">
            <v>0.01</v>
          </cell>
          <cell r="K94">
            <v>0.05</v>
          </cell>
          <cell r="L94">
            <v>46741</v>
          </cell>
          <cell r="M94" t="str">
            <v>USA</v>
          </cell>
          <cell r="N94" t="str">
            <v>USD</v>
          </cell>
          <cell r="O94" t="str">
            <v>TBD</v>
          </cell>
          <cell r="P94" t="str">
            <v>Y</v>
          </cell>
          <cell r="Q94" t="str">
            <v>N</v>
          </cell>
          <cell r="R94" t="str">
            <v>Maintenance Covenants</v>
          </cell>
          <cell r="S94" t="str">
            <v>No</v>
          </cell>
          <cell r="T94">
            <v>45565</v>
          </cell>
          <cell r="V94">
            <v>3.6794723700695746</v>
          </cell>
          <cell r="W94">
            <v>225.08199999999999</v>
          </cell>
          <cell r="X94">
            <v>283</v>
          </cell>
          <cell r="Y94">
            <v>64.400000000000006</v>
          </cell>
          <cell r="Z94">
            <v>2.3435225618631734</v>
          </cell>
          <cell r="AA94">
            <v>3.9285714285714284</v>
          </cell>
          <cell r="AB94">
            <v>5.5590062111801242</v>
          </cell>
          <cell r="AC94">
            <v>45565</v>
          </cell>
          <cell r="AD94">
            <v>3.6794723700695746</v>
          </cell>
          <cell r="AE94">
            <v>-0.24909905850185377</v>
          </cell>
          <cell r="AF94">
            <v>4.2348255302511975</v>
          </cell>
          <cell r="AG94">
            <v>-1.3241806809289267</v>
          </cell>
          <cell r="AH94">
            <v>2.3192853021185393</v>
          </cell>
          <cell r="AI94">
            <v>-2.4237259744634088E-2</v>
          </cell>
        </row>
        <row r="95">
          <cell r="A95" t="str">
            <v>Summit Behavioral Healthcare</v>
          </cell>
          <cell r="B95" t="str">
            <v>Summit Behavioral Healthcare</v>
          </cell>
          <cell r="C95" t="str">
            <v>Summit Behavioral Healthcare</v>
          </cell>
          <cell r="D95" t="str">
            <v>SFP Holding, Inc.</v>
          </cell>
          <cell r="E95" t="str">
            <v>Health Care Providers &amp; Services</v>
          </cell>
          <cell r="F95" t="str">
            <v>First Lien</v>
          </cell>
          <cell r="G95" t="str">
            <v>FL</v>
          </cell>
          <cell r="H95" t="str">
            <v>Senior Secured</v>
          </cell>
          <cell r="I95" t="str">
            <v>B-</v>
          </cell>
          <cell r="J95">
            <v>7.4999999999999997E-3</v>
          </cell>
          <cell r="K95">
            <v>4.2500000000000003E-2</v>
          </cell>
          <cell r="L95">
            <v>47081</v>
          </cell>
          <cell r="M95" t="str">
            <v>USA</v>
          </cell>
          <cell r="N95" t="str">
            <v>USD</v>
          </cell>
          <cell r="O95" t="str">
            <v>TBD</v>
          </cell>
          <cell r="P95" t="str">
            <v>Y</v>
          </cell>
          <cell r="Q95" t="str">
            <v>N</v>
          </cell>
          <cell r="R95" t="str">
            <v>Maintenance Covenants</v>
          </cell>
          <cell r="S95" t="str">
            <v>Yes</v>
          </cell>
          <cell r="T95">
            <v>45657</v>
          </cell>
          <cell r="V95">
            <v>5.5292947359553111</v>
          </cell>
          <cell r="W95">
            <v>154.31100000000001</v>
          </cell>
          <cell r="X95">
            <v>796</v>
          </cell>
          <cell r="Y95">
            <v>94.3</v>
          </cell>
          <cell r="Z95">
            <v>2.3016841591408346</v>
          </cell>
          <cell r="AA95">
            <v>4.8674443266171794</v>
          </cell>
          <cell r="AB95">
            <v>6.8292682926829267</v>
          </cell>
          <cell r="AC95">
            <v>45657</v>
          </cell>
          <cell r="AD95">
            <v>5.5292947359553111</v>
          </cell>
          <cell r="AE95">
            <v>0.66185040933813166</v>
          </cell>
          <cell r="AF95">
            <v>5.5292947359553111</v>
          </cell>
          <cell r="AG95">
            <v>-1.2999735567276156</v>
          </cell>
          <cell r="AH95">
            <v>2.2239821287021688</v>
          </cell>
          <cell r="AI95">
            <v>-7.7702030438665748E-2</v>
          </cell>
        </row>
        <row r="96">
          <cell r="A96" t="str">
            <v>BBB Industries</v>
          </cell>
          <cell r="B96" t="str">
            <v>BBB Industries (First Lien Term Loan)</v>
          </cell>
          <cell r="C96" t="str">
            <v>BBB Industries</v>
          </cell>
          <cell r="D96" t="str">
            <v>Burgess Point Purchaser Corporation</v>
          </cell>
          <cell r="E96" t="str">
            <v>Auto Components</v>
          </cell>
          <cell r="F96" t="str">
            <v>First Lien</v>
          </cell>
          <cell r="G96" t="str">
            <v>FL</v>
          </cell>
          <cell r="H96" t="str">
            <v>Senior Secured</v>
          </cell>
          <cell r="I96" t="str">
            <v>B-</v>
          </cell>
          <cell r="J96">
            <v>5.0000000000000001E-3</v>
          </cell>
          <cell r="K96">
            <v>5.2499999999999998E-2</v>
          </cell>
          <cell r="L96">
            <v>47324</v>
          </cell>
          <cell r="M96" t="str">
            <v>USA</v>
          </cell>
          <cell r="N96" t="str">
            <v>USD</v>
          </cell>
          <cell r="O96" t="str">
            <v>TBD</v>
          </cell>
          <cell r="P96" t="str">
            <v>Y</v>
          </cell>
          <cell r="Q96" t="str">
            <v>Y</v>
          </cell>
          <cell r="R96" t="str">
            <v>Maintenance Covenants</v>
          </cell>
          <cell r="S96" t="str">
            <v>No</v>
          </cell>
          <cell r="T96">
            <v>45565</v>
          </cell>
          <cell r="V96">
            <v>5.6274247491638789</v>
          </cell>
          <cell r="W96">
            <v>299</v>
          </cell>
          <cell r="X96">
            <v>1225.7</v>
          </cell>
          <cell r="Y96">
            <v>241.8</v>
          </cell>
          <cell r="Z96">
            <v>2.1473053227507353</v>
          </cell>
          <cell r="AA96">
            <v>5.074291372746071</v>
          </cell>
          <cell r="AB96">
            <v>6.5424468731596352</v>
          </cell>
          <cell r="AC96">
            <v>45565</v>
          </cell>
          <cell r="AD96">
            <v>5.6274247491638789</v>
          </cell>
          <cell r="AE96">
            <v>0.55313337641780791</v>
          </cell>
          <cell r="AF96">
            <v>6.8197324414715714</v>
          </cell>
          <cell r="AG96">
            <v>0.27728556831193618</v>
          </cell>
          <cell r="AH96">
            <v>1.3906976744186046</v>
          </cell>
          <cell r="AI96">
            <v>-0.75660764833213068</v>
          </cell>
        </row>
        <row r="97">
          <cell r="A97" t="str">
            <v>Electro Rent</v>
          </cell>
          <cell r="B97" t="str">
            <v>Electro Rent (1L)</v>
          </cell>
          <cell r="C97" t="str">
            <v>Electro Rent</v>
          </cell>
          <cell r="D97" t="str">
            <v>Electro Rent Corporation</v>
          </cell>
          <cell r="E97" t="str">
            <v>Electronic Equipment, Instruments &amp; Components</v>
          </cell>
          <cell r="F97" t="str">
            <v>First Lien</v>
          </cell>
          <cell r="G97" t="str">
            <v>FL</v>
          </cell>
          <cell r="H97" t="str">
            <v>Senior Secured</v>
          </cell>
          <cell r="I97" t="str">
            <v/>
          </cell>
          <cell r="J97">
            <v>0.01</v>
          </cell>
          <cell r="K97">
            <v>5.5E-2</v>
          </cell>
          <cell r="L97">
            <v>45597</v>
          </cell>
          <cell r="M97" t="str">
            <v>USA</v>
          </cell>
          <cell r="N97" t="str">
            <v>USD</v>
          </cell>
          <cell r="O97" t="str">
            <v>TBD</v>
          </cell>
          <cell r="P97" t="str">
            <v>Y</v>
          </cell>
          <cell r="Q97" t="str">
            <v>N</v>
          </cell>
          <cell r="R97" t="str">
            <v>Maintenance Covenants</v>
          </cell>
          <cell r="S97" t="str">
            <v>No</v>
          </cell>
          <cell r="T97">
            <v>45199</v>
          </cell>
          <cell r="V97">
            <v>3.2090265486725666</v>
          </cell>
          <cell r="W97">
            <v>169.5</v>
          </cell>
          <cell r="X97">
            <v>528.9</v>
          </cell>
          <cell r="Y97">
            <v>177.96100000000001</v>
          </cell>
          <cell r="Z97">
            <v>3.2026958931720837</v>
          </cell>
          <cell r="AA97">
            <v>2.8618910884969178</v>
          </cell>
          <cell r="AB97">
            <v>3.7665836896848179</v>
          </cell>
          <cell r="AC97">
            <v>45199</v>
          </cell>
          <cell r="AD97">
            <v>3.2090265486725666</v>
          </cell>
          <cell r="AE97">
            <v>0.34713546017564889</v>
          </cell>
          <cell r="AF97">
            <v>4.1588790560471978</v>
          </cell>
          <cell r="AG97">
            <v>0.39229536636237983</v>
          </cell>
          <cell r="AH97">
            <v>1.9177896201758258</v>
          </cell>
          <cell r="AI97">
            <v>-1.2849062729962579</v>
          </cell>
        </row>
        <row r="98">
          <cell r="A98" t="str">
            <v>EDS Buyers, LLC</v>
          </cell>
          <cell r="B98" t="str">
            <v>Epiq (TL)</v>
          </cell>
          <cell r="C98" t="str">
            <v>Epiq</v>
          </cell>
          <cell r="D98" t="str">
            <v>Epiq</v>
          </cell>
          <cell r="E98" t="str">
            <v>Electronic Equipment, Instruments &amp; Components</v>
          </cell>
          <cell r="F98" t="str">
            <v>First Lien</v>
          </cell>
          <cell r="G98" t="str">
            <v>FL</v>
          </cell>
          <cell r="H98" t="str">
            <v>Senior Secured</v>
          </cell>
          <cell r="I98" t="str">
            <v/>
          </cell>
          <cell r="J98">
            <v>0.01</v>
          </cell>
          <cell r="K98">
            <v>5.7500000000000002E-2</v>
          </cell>
          <cell r="L98">
            <v>47109</v>
          </cell>
          <cell r="M98" t="str">
            <v>USA</v>
          </cell>
          <cell r="N98" t="str">
            <v>USD</v>
          </cell>
          <cell r="O98" t="str">
            <v>TBD</v>
          </cell>
          <cell r="P98" t="str">
            <v>Y</v>
          </cell>
          <cell r="Q98" t="str">
            <v>N</v>
          </cell>
          <cell r="R98" t="str">
            <v>Maintenance Covenants</v>
          </cell>
          <cell r="S98" t="str">
            <v>No</v>
          </cell>
          <cell r="T98">
            <v>45716</v>
          </cell>
          <cell r="V98">
            <v>3.1697908482059343</v>
          </cell>
          <cell r="W98">
            <v>26.726999999999997</v>
          </cell>
          <cell r="X98">
            <v>80.5</v>
          </cell>
          <cell r="Y98">
            <v>11.982000000000001</v>
          </cell>
          <cell r="Z98">
            <v>2.3114317682009342</v>
          </cell>
          <cell r="AA98">
            <v>3.630445668502754</v>
          </cell>
          <cell r="AB98">
            <v>3.630445668502754</v>
          </cell>
          <cell r="AC98">
            <v>45716</v>
          </cell>
          <cell r="AD98">
            <v>3.1697908482059343</v>
          </cell>
          <cell r="AE98">
            <v>-0.4606548202968197</v>
          </cell>
          <cell r="AF98">
            <v>3.1697908482059343</v>
          </cell>
          <cell r="AG98">
            <v>-0.4606548202968197</v>
          </cell>
          <cell r="AH98">
            <v>2.3344396890558126</v>
          </cell>
          <cell r="AI98">
            <v>2.300792085487835E-2</v>
          </cell>
        </row>
        <row r="99">
          <cell r="A99" t="str">
            <v>Infinity Home Services Holdco, Inc.</v>
          </cell>
          <cell r="B99" t="str">
            <v>Infinity Home Services (Term Loan)</v>
          </cell>
          <cell r="C99" t="str">
            <v>Infinity Home Services</v>
          </cell>
          <cell r="D99" t="str">
            <v>Infinity Home Services</v>
          </cell>
          <cell r="E99" t="str">
            <v>Diversified Consumer Services</v>
          </cell>
          <cell r="F99" t="str">
            <v>First Lien</v>
          </cell>
          <cell r="G99" t="str">
            <v>FL</v>
          </cell>
          <cell r="H99" t="str">
            <v>Senior Secured</v>
          </cell>
          <cell r="I99" t="str">
            <v/>
          </cell>
          <cell r="J99">
            <v>0.01</v>
          </cell>
          <cell r="K99">
            <v>6.7500000000000004E-2</v>
          </cell>
          <cell r="L99">
            <v>47115</v>
          </cell>
          <cell r="M99" t="str">
            <v>USA</v>
          </cell>
          <cell r="N99" t="str">
            <v>USD</v>
          </cell>
          <cell r="O99" t="str">
            <v>TBD</v>
          </cell>
          <cell r="P99" t="str">
            <v>Y</v>
          </cell>
          <cell r="Q99" t="str">
            <v>N</v>
          </cell>
          <cell r="R99" t="str">
            <v>Maintenance Covenants</v>
          </cell>
          <cell r="S99" t="str">
            <v>No</v>
          </cell>
          <cell r="T99">
            <v>45716</v>
          </cell>
          <cell r="V99">
            <v>5.1442628656404734</v>
          </cell>
          <cell r="W99">
            <v>63.210999999999999</v>
          </cell>
          <cell r="X99">
            <v>150</v>
          </cell>
          <cell r="Y99">
            <v>35.462000000000003</v>
          </cell>
          <cell r="Z99">
            <v>2.1396485406139227</v>
          </cell>
          <cell r="AA99">
            <v>3.9237907312052336</v>
          </cell>
          <cell r="AB99">
            <v>3.9237907312052336</v>
          </cell>
          <cell r="AC99">
            <v>45716</v>
          </cell>
          <cell r="AD99">
            <v>5.1442628656404734</v>
          </cell>
          <cell r="AE99">
            <v>1.2204721344352398</v>
          </cell>
          <cell r="AF99">
            <v>5.1442628656404734</v>
          </cell>
          <cell r="AG99">
            <v>1.2204721344352398</v>
          </cell>
          <cell r="AH99">
            <v>2.0660565451871222</v>
          </cell>
          <cell r="AI99">
            <v>-7.3591995426800505E-2</v>
          </cell>
        </row>
        <row r="100">
          <cell r="A100" t="str">
            <v>A1 Garage Merger Sub, LLC</v>
          </cell>
          <cell r="B100" t="str">
            <v>A1 Garage (Term Loan)</v>
          </cell>
          <cell r="C100" t="str">
            <v>A1 Garage</v>
          </cell>
          <cell r="D100" t="str">
            <v>A1 Garage</v>
          </cell>
          <cell r="E100" t="str">
            <v>Diversified Consumer Services</v>
          </cell>
          <cell r="F100" t="str">
            <v>First Lien</v>
          </cell>
          <cell r="G100" t="str">
            <v>FL</v>
          </cell>
          <cell r="H100" t="str">
            <v>Senior Secured</v>
          </cell>
          <cell r="I100" t="str">
            <v/>
          </cell>
          <cell r="J100">
            <v>0.01</v>
          </cell>
          <cell r="K100">
            <v>4.7500000000000001E-2</v>
          </cell>
          <cell r="L100">
            <v>47109</v>
          </cell>
          <cell r="M100" t="str">
            <v>USA</v>
          </cell>
          <cell r="N100" t="str">
            <v>USD</v>
          </cell>
          <cell r="O100" t="str">
            <v>TBD</v>
          </cell>
          <cell r="P100" t="str">
            <v>Y</v>
          </cell>
          <cell r="Q100" t="str">
            <v>N</v>
          </cell>
          <cell r="R100" t="str">
            <v>Maintenance Covenants</v>
          </cell>
          <cell r="S100" t="str">
            <v>No</v>
          </cell>
          <cell r="T100">
            <v>45716</v>
          </cell>
          <cell r="V100">
            <v>2.3958955949234078</v>
          </cell>
          <cell r="W100">
            <v>60.906999999999996</v>
          </cell>
          <cell r="X100">
            <v>123</v>
          </cell>
          <cell r="Y100">
            <v>26.534049578333601</v>
          </cell>
          <cell r="Z100">
            <v>1.8629211862758333</v>
          </cell>
          <cell r="AA100">
            <v>4.9219776881189494</v>
          </cell>
          <cell r="AB100">
            <v>4.9219776881189494</v>
          </cell>
          <cell r="AC100">
            <v>45716</v>
          </cell>
          <cell r="AD100">
            <v>2.3958955949234078</v>
          </cell>
          <cell r="AE100">
            <v>-2.5260820931955417</v>
          </cell>
          <cell r="AF100">
            <v>2.3958955949234078</v>
          </cell>
          <cell r="AG100">
            <v>-2.5260820931955417</v>
          </cell>
          <cell r="AH100">
            <v>3.1669614791473308</v>
          </cell>
          <cell r="AI100">
            <v>1.3040402928714976</v>
          </cell>
        </row>
        <row r="101">
          <cell r="A101" t="str">
            <v>LJ Avalon Holdings, LLC</v>
          </cell>
          <cell r="B101" t="str">
            <v>Ardurra (Term Loan)</v>
          </cell>
          <cell r="C101" t="str">
            <v>Ardurra</v>
          </cell>
          <cell r="D101" t="str">
            <v>Ardurra</v>
          </cell>
          <cell r="E101" t="str">
            <v>Commercial Services &amp; Supplies</v>
          </cell>
          <cell r="F101" t="str">
            <v>First Lien</v>
          </cell>
          <cell r="G101" t="str">
            <v>FL</v>
          </cell>
          <cell r="H101" t="str">
            <v>Senior Secured</v>
          </cell>
          <cell r="I101" t="str">
            <v/>
          </cell>
          <cell r="J101">
            <v>0.01</v>
          </cell>
          <cell r="K101">
            <v>5.2499999999999998E-2</v>
          </cell>
          <cell r="L101">
            <v>47515</v>
          </cell>
          <cell r="M101" t="str">
            <v>USA</v>
          </cell>
          <cell r="N101" t="str">
            <v>USD</v>
          </cell>
          <cell r="O101" t="str">
            <v>TBD</v>
          </cell>
          <cell r="P101" t="str">
            <v>Y</v>
          </cell>
          <cell r="Q101" t="str">
            <v>N</v>
          </cell>
          <cell r="R101" t="str">
            <v>Maintenance Covenants</v>
          </cell>
          <cell r="S101" t="str">
            <v>No</v>
          </cell>
          <cell r="T101">
            <v>45657</v>
          </cell>
          <cell r="V101">
            <v>3.8684923925797952</v>
          </cell>
          <cell r="W101">
            <v>58.006917999999999</v>
          </cell>
          <cell r="X101">
            <v>185</v>
          </cell>
          <cell r="Y101">
            <v>38.299999999999997</v>
          </cell>
          <cell r="Z101">
            <v>1.9246231155778895</v>
          </cell>
          <cell r="AA101">
            <v>4.8302872062663189</v>
          </cell>
          <cell r="AB101">
            <v>4.8302872062663189</v>
          </cell>
          <cell r="AC101">
            <v>45657</v>
          </cell>
          <cell r="AD101">
            <v>3.8684923925797952</v>
          </cell>
          <cell r="AE101">
            <v>-0.96179481368652375</v>
          </cell>
          <cell r="AF101">
            <v>3.8684923925797952</v>
          </cell>
          <cell r="AG101">
            <v>-0.96179481368652375</v>
          </cell>
          <cell r="AH101">
            <v>1.9043591261255348</v>
          </cell>
          <cell r="AI101">
            <v>-2.0263989452354636E-2</v>
          </cell>
        </row>
        <row r="102">
          <cell r="A102" t="str">
            <v>CRANE 1 SERVICES, INC.</v>
          </cell>
          <cell r="B102" t="str">
            <v>Crane 1 (Term Loan)</v>
          </cell>
          <cell r="C102" t="str">
            <v>Crane 1</v>
          </cell>
          <cell r="D102" t="str">
            <v>CRANE 1 SERVICES, INC.</v>
          </cell>
          <cell r="E102" t="str">
            <v>Commercial Services &amp; Supplies</v>
          </cell>
          <cell r="F102" t="str">
            <v>First Lien</v>
          </cell>
          <cell r="G102" t="str">
            <v>FL</v>
          </cell>
          <cell r="H102" t="str">
            <v>Senior Secured</v>
          </cell>
          <cell r="I102" t="str">
            <v>B-*</v>
          </cell>
          <cell r="J102">
            <v>0.01</v>
          </cell>
          <cell r="K102">
            <v>5.7500000000000002E-2</v>
          </cell>
          <cell r="L102">
            <v>46615</v>
          </cell>
          <cell r="M102" t="str">
            <v>USA</v>
          </cell>
          <cell r="N102" t="str">
            <v>USD</v>
          </cell>
          <cell r="O102" t="str">
            <v>TBD</v>
          </cell>
          <cell r="P102" t="str">
            <v>Y</v>
          </cell>
          <cell r="Q102" t="str">
            <v>N</v>
          </cell>
          <cell r="R102" t="str">
            <v>Maintenance Covenants</v>
          </cell>
          <cell r="S102" t="str">
            <v>No</v>
          </cell>
          <cell r="T102">
            <v>45747</v>
          </cell>
          <cell r="V102">
            <v>4.9018235336348628</v>
          </cell>
          <cell r="W102">
            <v>27.858000000000001</v>
          </cell>
          <cell r="X102">
            <v>67.5</v>
          </cell>
          <cell r="Y102">
            <v>18.091999999999999</v>
          </cell>
          <cell r="Z102">
            <v>2.2708673277268732</v>
          </cell>
          <cell r="AA102">
            <v>4.6786977669688268</v>
          </cell>
          <cell r="AB102">
            <v>4.6786977669688268</v>
          </cell>
          <cell r="AC102">
            <v>45747</v>
          </cell>
          <cell r="AD102">
            <v>4.9018235336348628</v>
          </cell>
          <cell r="AE102">
            <v>0.22312576666603601</v>
          </cell>
          <cell r="AF102">
            <v>4.9018235336348628</v>
          </cell>
          <cell r="AG102">
            <v>0.22312576666603601</v>
          </cell>
          <cell r="AH102">
            <v>2.1485423415085609</v>
          </cell>
          <cell r="AI102">
            <v>-0.12232498621831223</v>
          </cell>
        </row>
        <row r="103">
          <cell r="A103" t="str">
            <v>NORA ACQUISITION, LLC</v>
          </cell>
          <cell r="B103" t="str">
            <v>NORA (Term Loan)</v>
          </cell>
          <cell r="C103" t="str">
            <v>NORA</v>
          </cell>
          <cell r="D103" t="str">
            <v>CRANE 1 SERVICES, INC.</v>
          </cell>
          <cell r="E103" t="str">
            <v>Health Care Providers &amp; Services</v>
          </cell>
          <cell r="F103" t="str">
            <v>First Lien</v>
          </cell>
          <cell r="G103" t="str">
            <v>FL</v>
          </cell>
          <cell r="H103" t="str">
            <v>Senior Secured</v>
          </cell>
          <cell r="I103" t="str">
            <v/>
          </cell>
          <cell r="J103">
            <v>0.01</v>
          </cell>
          <cell r="K103">
            <v>6.25E-2</v>
          </cell>
          <cell r="L103">
            <v>47361</v>
          </cell>
          <cell r="M103" t="str">
            <v>USA</v>
          </cell>
          <cell r="N103" t="str">
            <v>USD</v>
          </cell>
          <cell r="O103" t="str">
            <v>TBD</v>
          </cell>
          <cell r="P103" t="str">
            <v>Y</v>
          </cell>
          <cell r="Q103" t="str">
            <v>N</v>
          </cell>
          <cell r="R103" t="str">
            <v>Maintenance Covenants</v>
          </cell>
          <cell r="S103" t="str">
            <v>No</v>
          </cell>
          <cell r="T103">
            <v>45716</v>
          </cell>
          <cell r="V103">
            <v>5.7973625052135462</v>
          </cell>
          <cell r="W103">
            <v>13.08931194</v>
          </cell>
          <cell r="X103">
            <v>80</v>
          </cell>
          <cell r="Y103">
            <v>21.293252379330102</v>
          </cell>
          <cell r="Z103">
            <v>2.2766519381548895</v>
          </cell>
          <cell r="AA103">
            <v>3.6631322735702212</v>
          </cell>
          <cell r="AB103">
            <v>3.6764069121723724</v>
          </cell>
          <cell r="AC103">
            <v>45716</v>
          </cell>
          <cell r="AD103">
            <v>5.7973625052135462</v>
          </cell>
          <cell r="AE103">
            <v>2.134230231643325</v>
          </cell>
          <cell r="AF103">
            <v>6.1551500842297129</v>
          </cell>
          <cell r="AG103">
            <v>2.4787431720573405</v>
          </cell>
          <cell r="AH103">
            <v>1.3657583189681013</v>
          </cell>
          <cell r="AI103">
            <v>-0.91089361918678824</v>
          </cell>
        </row>
        <row r="104">
          <cell r="A104" t="str">
            <v>SpendMend Holdings, LLC</v>
          </cell>
          <cell r="B104" t="str">
            <v>SpendMend (Term Loan)</v>
          </cell>
          <cell r="C104" t="str">
            <v>SpendMend</v>
          </cell>
          <cell r="D104" t="str">
            <v>SPENDMEND HOLDINGS LLC</v>
          </cell>
          <cell r="E104" t="str">
            <v>Health Care Technology</v>
          </cell>
          <cell r="F104" t="str">
            <v>First Lien</v>
          </cell>
          <cell r="G104" t="str">
            <v>FL</v>
          </cell>
          <cell r="H104" t="str">
            <v>Senior Secured</v>
          </cell>
          <cell r="I104" t="str">
            <v/>
          </cell>
          <cell r="J104">
            <v>0.01</v>
          </cell>
          <cell r="K104">
            <v>5.7500000000000002E-2</v>
          </cell>
          <cell r="L104">
            <v>46813</v>
          </cell>
          <cell r="M104" t="str">
            <v>USA</v>
          </cell>
          <cell r="N104" t="str">
            <v>USD</v>
          </cell>
          <cell r="O104" t="str">
            <v>TBD</v>
          </cell>
          <cell r="P104" t="str">
            <v>Y</v>
          </cell>
          <cell r="Q104" t="str">
            <v>N</v>
          </cell>
          <cell r="R104" t="str">
            <v>Maintenance Covenants</v>
          </cell>
          <cell r="S104" t="str">
            <v>No</v>
          </cell>
          <cell r="T104">
            <v>45716</v>
          </cell>
          <cell r="V104">
            <v>4.3720934350821006</v>
          </cell>
          <cell r="W104">
            <v>31.3589573657923</v>
          </cell>
          <cell r="X104">
            <v>115</v>
          </cell>
          <cell r="Y104">
            <v>26.591694677668801</v>
          </cell>
          <cell r="Z104">
            <v>1.9896087005320597</v>
          </cell>
          <cell r="AA104">
            <v>5.1002623455922489</v>
          </cell>
          <cell r="AB104">
            <v>6.1352471532025898</v>
          </cell>
          <cell r="AC104">
            <v>45716</v>
          </cell>
          <cell r="AD104">
            <v>4.3720934350821006</v>
          </cell>
          <cell r="AE104">
            <v>-0.72816891051014832</v>
          </cell>
          <cell r="AF104">
            <v>5.4768993852886236</v>
          </cell>
          <cell r="AG104">
            <v>-0.65834776791396621</v>
          </cell>
          <cell r="AH104">
            <v>2.0091714541424275</v>
          </cell>
          <cell r="AI104">
            <v>1.9562753610367745E-2</v>
          </cell>
        </row>
        <row r="105">
          <cell r="A105" t="str">
            <v>BioDerm, Inc.</v>
          </cell>
          <cell r="B105" t="str">
            <v>BioDerm (Term Loan)</v>
          </cell>
          <cell r="C105" t="str">
            <v>BioDerm</v>
          </cell>
          <cell r="D105" t="str">
            <v>BioDerm, Inc.</v>
          </cell>
          <cell r="E105" t="str">
            <v>Health Care Equipment &amp; Supplies</v>
          </cell>
          <cell r="F105" t="str">
            <v>First Lien</v>
          </cell>
          <cell r="G105" t="str">
            <v>FL</v>
          </cell>
          <cell r="H105" t="str">
            <v>Senior Secured</v>
          </cell>
          <cell r="I105" t="str">
            <v/>
          </cell>
          <cell r="J105">
            <v>0.01</v>
          </cell>
          <cell r="K105">
            <v>6.5000000000000002E-2</v>
          </cell>
          <cell r="L105">
            <v>46783</v>
          </cell>
          <cell r="M105" t="str">
            <v>USA</v>
          </cell>
          <cell r="N105" t="str">
            <v>USD</v>
          </cell>
          <cell r="O105" t="str">
            <v>TBD</v>
          </cell>
          <cell r="P105" t="str">
            <v>Y</v>
          </cell>
          <cell r="Q105" t="str">
            <v>N</v>
          </cell>
          <cell r="R105" t="str">
            <v>Maintenance Covenants</v>
          </cell>
          <cell r="S105" t="str">
            <v>No</v>
          </cell>
          <cell r="T105">
            <v>45716</v>
          </cell>
          <cell r="V105">
            <v>4.8347458136870332</v>
          </cell>
          <cell r="W105">
            <v>21.312931964187403</v>
          </cell>
          <cell r="X105">
            <v>96</v>
          </cell>
          <cell r="Y105">
            <v>20.572000000000003</v>
          </cell>
          <cell r="Z105">
            <v>2.0283167692065001</v>
          </cell>
          <cell r="AA105">
            <v>4.5214855142912693</v>
          </cell>
          <cell r="AB105">
            <v>4.5214855142912693</v>
          </cell>
          <cell r="AC105">
            <v>45716</v>
          </cell>
          <cell r="AD105">
            <v>4.8347458136870332</v>
          </cell>
          <cell r="AE105">
            <v>0.31326029939576383</v>
          </cell>
          <cell r="AF105">
            <v>4.8347458136870332</v>
          </cell>
          <cell r="AG105">
            <v>0.31326029939576383</v>
          </cell>
          <cell r="AH105">
            <v>1.797733782042702</v>
          </cell>
          <cell r="AI105">
            <v>-0.2305829871637981</v>
          </cell>
        </row>
        <row r="106">
          <cell r="A106" t="str">
            <v>UROLOGY MANAGEMENT HOLDINGS, INC.</v>
          </cell>
          <cell r="B106" t="str">
            <v>Solaris Health (Term Loan)</v>
          </cell>
          <cell r="C106" t="str">
            <v>Solaris Health</v>
          </cell>
          <cell r="D106" t="str">
            <v>UROLOGY MANAGEMENT HOLDINGS, INC.</v>
          </cell>
          <cell r="E106" t="str">
            <v>Health Care Providers &amp; Services</v>
          </cell>
          <cell r="F106" t="str">
            <v>First Lien</v>
          </cell>
          <cell r="G106" t="str">
            <v>FL</v>
          </cell>
          <cell r="H106" t="str">
            <v>Senior Secured</v>
          </cell>
          <cell r="I106" t="str">
            <v/>
          </cell>
          <cell r="J106">
            <v>0.01</v>
          </cell>
          <cell r="K106">
            <v>5.5E-2</v>
          </cell>
          <cell r="L106">
            <v>46553</v>
          </cell>
          <cell r="M106" t="str">
            <v>USA</v>
          </cell>
          <cell r="N106" t="str">
            <v>USD</v>
          </cell>
          <cell r="O106" t="str">
            <v>TBD</v>
          </cell>
          <cell r="P106" t="str">
            <v>Y</v>
          </cell>
          <cell r="Q106" t="str">
            <v>N</v>
          </cell>
          <cell r="R106" t="str">
            <v>Maintenance Covenants</v>
          </cell>
          <cell r="S106" t="str">
            <v>No</v>
          </cell>
          <cell r="T106">
            <v>45657</v>
          </cell>
          <cell r="V106">
            <v>4.3827134179275724</v>
          </cell>
          <cell r="W106">
            <v>115.77626012333199</v>
          </cell>
          <cell r="X106">
            <v>100</v>
          </cell>
          <cell r="Y106">
            <v>86.645686333884868</v>
          </cell>
          <cell r="Z106">
            <v>1.8948622917357196</v>
          </cell>
          <cell r="AA106">
            <v>5.5124383014231118</v>
          </cell>
          <cell r="AB106">
            <v>5.5124383014231118</v>
          </cell>
          <cell r="AC106">
            <v>45657</v>
          </cell>
          <cell r="AD106">
            <v>4.3827134179275724</v>
          </cell>
          <cell r="AE106">
            <v>-1.1297248834955393</v>
          </cell>
          <cell r="AF106">
            <v>4.3827134179275724</v>
          </cell>
          <cell r="AG106">
            <v>-1.1297248834955393</v>
          </cell>
          <cell r="AH106">
            <v>1.6708015821571267</v>
          </cell>
          <cell r="AI106">
            <v>-0.22406070957859292</v>
          </cell>
        </row>
        <row r="107">
          <cell r="A107" t="str">
            <v>One Stop Mailing, LLC</v>
          </cell>
          <cell r="B107" t="str">
            <v>OSM (Term Loan)</v>
          </cell>
          <cell r="C107" t="str">
            <v>OSM</v>
          </cell>
          <cell r="D107" t="str">
            <v>OSM</v>
          </cell>
          <cell r="E107" t="str">
            <v>Air Freight and Logistics</v>
          </cell>
          <cell r="F107" t="str">
            <v>First Lien</v>
          </cell>
          <cell r="G107" t="str">
            <v>FL</v>
          </cell>
          <cell r="H107" t="str">
            <v>Senior Secured</v>
          </cell>
          <cell r="I107" t="str">
            <v>B-*</v>
          </cell>
          <cell r="J107">
            <v>0.01</v>
          </cell>
          <cell r="K107">
            <v>6.25E-2</v>
          </cell>
          <cell r="L107">
            <v>46514</v>
          </cell>
          <cell r="M107" t="str">
            <v>USA</v>
          </cell>
          <cell r="N107" t="str">
            <v>USD</v>
          </cell>
          <cell r="O107" t="str">
            <v>TBD</v>
          </cell>
          <cell r="P107" t="str">
            <v>Y</v>
          </cell>
          <cell r="Q107" t="str">
            <v>N</v>
          </cell>
          <cell r="R107" t="str">
            <v>Maintenance Covenants</v>
          </cell>
          <cell r="S107" t="str">
            <v>No</v>
          </cell>
          <cell r="T107">
            <v>45716</v>
          </cell>
          <cell r="V107">
            <v>3.2116991546805846</v>
          </cell>
          <cell r="W107">
            <v>54.760247</v>
          </cell>
          <cell r="X107">
            <v>175</v>
          </cell>
          <cell r="Y107">
            <v>54.760247</v>
          </cell>
          <cell r="Z107">
            <v>3.1371969012520879</v>
          </cell>
          <cell r="AA107">
            <v>3.3633973377376361</v>
          </cell>
          <cell r="AB107">
            <v>3.3633973377376361</v>
          </cell>
          <cell r="AC107">
            <v>45716</v>
          </cell>
          <cell r="AD107">
            <v>3.2116991546805846</v>
          </cell>
          <cell r="AE107">
            <v>-0.15169818305705141</v>
          </cell>
          <cell r="AF107">
            <v>3.2116991546805846</v>
          </cell>
          <cell r="AG107">
            <v>-0.15169818305705141</v>
          </cell>
          <cell r="AH107">
            <v>2.6982465369250859</v>
          </cell>
          <cell r="AI107">
            <v>-0.43895036432700207</v>
          </cell>
        </row>
        <row r="108">
          <cell r="A108" t="str">
            <v>NEPTUNE FLOOD INCORPORATED</v>
          </cell>
          <cell r="B108" t="str">
            <v>Neptune Flood (Term Loan)</v>
          </cell>
          <cell r="C108" t="str">
            <v>Neptune Flood</v>
          </cell>
          <cell r="D108" t="str">
            <v>NEPTUNE FLOOD INCORPORATED</v>
          </cell>
          <cell r="E108" t="str">
            <v>Insurance</v>
          </cell>
          <cell r="F108" t="str">
            <v>First Lien</v>
          </cell>
          <cell r="G108" t="str">
            <v>FL</v>
          </cell>
          <cell r="H108" t="str">
            <v>Senior Secured</v>
          </cell>
          <cell r="I108" t="str">
            <v>B-*</v>
          </cell>
          <cell r="J108">
            <v>0.01</v>
          </cell>
          <cell r="K108">
            <v>6.5000000000000002E-2</v>
          </cell>
          <cell r="L108">
            <v>47247</v>
          </cell>
          <cell r="M108" t="str">
            <v>USA</v>
          </cell>
          <cell r="N108" t="str">
            <v>USD</v>
          </cell>
          <cell r="O108" t="str">
            <v>TBD</v>
          </cell>
          <cell r="P108" t="str">
            <v>Y</v>
          </cell>
          <cell r="Q108" t="str">
            <v>N</v>
          </cell>
          <cell r="R108" t="str">
            <v>Maintenance Covenants</v>
          </cell>
          <cell r="S108" t="str">
            <v>No</v>
          </cell>
          <cell r="T108">
            <v>45351</v>
          </cell>
          <cell r="V108">
            <v>3.2967442955812873</v>
          </cell>
          <cell r="W108">
            <v>49.995490396666703</v>
          </cell>
          <cell r="X108">
            <v>190</v>
          </cell>
          <cell r="Y108">
            <v>41.113902449999998</v>
          </cell>
          <cell r="Z108">
            <v>1.8603996674132899</v>
          </cell>
          <cell r="AA108">
            <v>4.4880764739957204</v>
          </cell>
          <cell r="AB108">
            <v>4.4880764739957204</v>
          </cell>
          <cell r="AC108">
            <v>45351</v>
          </cell>
          <cell r="AD108">
            <v>3.2967442955812873</v>
          </cell>
          <cell r="AE108">
            <v>-1.1913321784144331</v>
          </cell>
          <cell r="AF108">
            <v>3.2967442955812873</v>
          </cell>
          <cell r="AG108">
            <v>-1.1913321784144331</v>
          </cell>
          <cell r="AH108">
            <v>2.1590687996586007</v>
          </cell>
          <cell r="AI108">
            <v>0.29866913224531078</v>
          </cell>
        </row>
        <row r="109">
          <cell r="A109" t="str">
            <v>Pequod Merger Sub, Inc./Simplicity</v>
          </cell>
          <cell r="B109" t="str">
            <v>Simplicity Group (TL)</v>
          </cell>
          <cell r="C109" t="str">
            <v>Simplicity Group</v>
          </cell>
          <cell r="D109" t="str">
            <v>Pequod Merger Sub Inc.</v>
          </cell>
          <cell r="E109" t="str">
            <v>Diversified Financial Services</v>
          </cell>
          <cell r="F109" t="str">
            <v>First Lien</v>
          </cell>
          <cell r="G109" t="str">
            <v>FL</v>
          </cell>
          <cell r="H109" t="str">
            <v>Senior Secured</v>
          </cell>
          <cell r="I109" t="str">
            <v/>
          </cell>
          <cell r="J109">
            <v>0.01</v>
          </cell>
          <cell r="K109">
            <v>6.25E-2</v>
          </cell>
          <cell r="L109">
            <v>46358</v>
          </cell>
          <cell r="M109" t="str">
            <v>USA</v>
          </cell>
          <cell r="N109" t="str">
            <v>USD</v>
          </cell>
          <cell r="O109" t="str">
            <v>TBD</v>
          </cell>
          <cell r="P109" t="str">
            <v>Y</v>
          </cell>
          <cell r="Q109" t="str">
            <v>N</v>
          </cell>
          <cell r="R109" t="str">
            <v>Maintenance Covenants</v>
          </cell>
          <cell r="S109" t="str">
            <v>No</v>
          </cell>
          <cell r="T109">
            <v>45596</v>
          </cell>
          <cell r="V109">
            <v>4.5392994631407895</v>
          </cell>
          <cell r="W109">
            <v>133.55115071666674</v>
          </cell>
          <cell r="X109">
            <v>147.80952381</v>
          </cell>
          <cell r="Y109">
            <v>133.55115071666674</v>
          </cell>
          <cell r="Z109">
            <v>1.7790580112302701</v>
          </cell>
          <cell r="AA109">
            <v>4.7671581913045395</v>
          </cell>
          <cell r="AB109">
            <v>4.7671581913045395</v>
          </cell>
          <cell r="AC109">
            <v>45596</v>
          </cell>
          <cell r="AD109">
            <v>4.5392994631407895</v>
          </cell>
          <cell r="AE109">
            <v>-0.22785872816375008</v>
          </cell>
          <cell r="AF109">
            <v>4.5392994631407895</v>
          </cell>
          <cell r="AG109">
            <v>-0.22785872816375008</v>
          </cell>
          <cell r="AH109">
            <v>1.7007596150707627</v>
          </cell>
          <cell r="AI109">
            <v>-7.82983961595074E-2</v>
          </cell>
        </row>
        <row r="110">
          <cell r="A110" t="str">
            <v>Engine &amp; Transmission Exchange</v>
          </cell>
          <cell r="B110" t="str">
            <v>Engine &amp; Transmission Exchange (Term Loan)</v>
          </cell>
          <cell r="C110" t="str">
            <v>Engine &amp; Transmission Exchange</v>
          </cell>
          <cell r="D110" t="str">
            <v>Pequod Merger Sub Inc.</v>
          </cell>
          <cell r="E110" t="str">
            <v>Auto Components</v>
          </cell>
          <cell r="F110" t="str">
            <v>First Lien</v>
          </cell>
          <cell r="G110" t="str">
            <v>FL</v>
          </cell>
          <cell r="H110" t="str">
            <v>Senior Secured</v>
          </cell>
          <cell r="I110" t="str">
            <v/>
          </cell>
          <cell r="J110">
            <v>0.01</v>
          </cell>
          <cell r="K110">
            <v>6.5000000000000002E-2</v>
          </cell>
          <cell r="L110">
            <v>47264</v>
          </cell>
          <cell r="M110" t="str">
            <v>USA</v>
          </cell>
          <cell r="N110" t="str">
            <v>USD</v>
          </cell>
          <cell r="O110" t="str">
            <v>TBD</v>
          </cell>
          <cell r="P110" t="str">
            <v>Y</v>
          </cell>
          <cell r="Q110" t="str">
            <v>N</v>
          </cell>
          <cell r="R110" t="str">
            <v>Maintenance Covenants</v>
          </cell>
          <cell r="S110" t="str">
            <v>No</v>
          </cell>
          <cell r="T110">
            <v>45747</v>
          </cell>
          <cell r="V110">
            <v>3.8021684088126242</v>
          </cell>
          <cell r="W110">
            <v>34.224266</v>
          </cell>
          <cell r="X110">
            <v>125</v>
          </cell>
          <cell r="Y110">
            <v>29.614999999999995</v>
          </cell>
          <cell r="Z110">
            <v>1.9672512289092596</v>
          </cell>
          <cell r="AA110">
            <v>4.3896673982779006</v>
          </cell>
          <cell r="AB110">
            <v>4.3896673982779006</v>
          </cell>
          <cell r="AC110">
            <v>45747</v>
          </cell>
          <cell r="AD110">
            <v>3.8021684088126242</v>
          </cell>
          <cell r="AE110">
            <v>-0.58749898946527646</v>
          </cell>
          <cell r="AF110">
            <v>4.1628019896463604</v>
          </cell>
          <cell r="AG110">
            <v>-0.22686540863154026</v>
          </cell>
          <cell r="AH110">
            <v>2.1874131407388471</v>
          </cell>
          <cell r="AI110">
            <v>0.22016191182958744</v>
          </cell>
        </row>
        <row r="111">
          <cell r="A111" t="str">
            <v xml:space="preserve">ACP Falcon Buyer, Inc. </v>
          </cell>
          <cell r="B111" t="str">
            <v>Integrated Data Services (TL)</v>
          </cell>
          <cell r="C111" t="str">
            <v>Integrated Data Services</v>
          </cell>
          <cell r="D111" t="str">
            <v>ACP Falcon Buyer, Inc.</v>
          </cell>
          <cell r="E111" t="str">
            <v>IT Services</v>
          </cell>
          <cell r="F111" t="str">
            <v>First Lien</v>
          </cell>
          <cell r="G111" t="str">
            <v>FL</v>
          </cell>
          <cell r="H111" t="str">
            <v>Senior Secured</v>
          </cell>
          <cell r="J111">
            <v>0.01</v>
          </cell>
          <cell r="K111">
            <v>5.5E-2</v>
          </cell>
          <cell r="L111">
            <v>47331</v>
          </cell>
          <cell r="M111" t="str">
            <v>USA</v>
          </cell>
          <cell r="N111" t="str">
            <v>USD</v>
          </cell>
          <cell r="O111" t="str">
            <v>TBD</v>
          </cell>
          <cell r="P111" t="str">
            <v>Y</v>
          </cell>
          <cell r="Q111" t="str">
            <v>Y</v>
          </cell>
          <cell r="R111" t="str">
            <v>Maintenance Covenants</v>
          </cell>
          <cell r="S111" t="str">
            <v>No</v>
          </cell>
          <cell r="T111">
            <v>45716</v>
          </cell>
          <cell r="V111">
            <v>5.1105535377824944</v>
          </cell>
          <cell r="W111">
            <v>23.22996895</v>
          </cell>
          <cell r="X111">
            <v>130</v>
          </cell>
          <cell r="Y111">
            <v>24.716999999999999</v>
          </cell>
          <cell r="Z111">
            <v>1.6154901960784311</v>
          </cell>
          <cell r="AA111">
            <v>5.0999999999999996</v>
          </cell>
          <cell r="AB111">
            <v>5.0999999999999996</v>
          </cell>
          <cell r="AC111">
            <v>45716</v>
          </cell>
          <cell r="AD111">
            <v>5.1105535377824944</v>
          </cell>
          <cell r="AE111">
            <v>1.0553537782494793E-2</v>
          </cell>
          <cell r="AF111">
            <v>5.1105535377824944</v>
          </cell>
          <cell r="AG111">
            <v>1.0553537782494793E-2</v>
          </cell>
          <cell r="AH111">
            <v>1.5796148325419042</v>
          </cell>
          <cell r="AI111">
            <v>-3.5875363536526983E-2</v>
          </cell>
        </row>
        <row r="112">
          <cell r="A112" t="str">
            <v xml:space="preserve">Inventus Power Inc.  </v>
          </cell>
          <cell r="B112" t="str">
            <v>Inventus (TL)</v>
          </cell>
          <cell r="C112" t="str">
            <v>Inventus</v>
          </cell>
          <cell r="D112" t="str">
            <v>Inventus Power, Inc.</v>
          </cell>
          <cell r="E112" t="str">
            <v>Electronic Equipment, Instruments &amp; Components</v>
          </cell>
          <cell r="F112" t="str">
            <v>First Lien</v>
          </cell>
          <cell r="G112" t="str">
            <v>FL</v>
          </cell>
          <cell r="H112" t="str">
            <v>Senior Secured</v>
          </cell>
          <cell r="J112">
            <v>0.01</v>
          </cell>
          <cell r="K112">
            <v>7.4999999999999997E-2</v>
          </cell>
          <cell r="L112">
            <v>45838</v>
          </cell>
          <cell r="M112" t="str">
            <v>USA</v>
          </cell>
          <cell r="N112" t="str">
            <v>USD</v>
          </cell>
          <cell r="O112" t="str">
            <v>TBD</v>
          </cell>
          <cell r="P112" t="str">
            <v>Y</v>
          </cell>
          <cell r="Q112" t="str">
            <v>N</v>
          </cell>
          <cell r="R112" t="str">
            <v>Maintenance Covenants</v>
          </cell>
          <cell r="S112" t="str">
            <v>No</v>
          </cell>
          <cell r="T112">
            <v>45716</v>
          </cell>
          <cell r="V112">
            <v>4.9069445238279146</v>
          </cell>
          <cell r="W112">
            <v>51.787999999999997</v>
          </cell>
          <cell r="X112">
            <v>265</v>
          </cell>
          <cell r="Y112">
            <v>54.5</v>
          </cell>
          <cell r="Z112">
            <v>1.5820029027576197</v>
          </cell>
          <cell r="AA112">
            <v>4.7908256880733946</v>
          </cell>
          <cell r="AB112">
            <v>4.7908256880733946</v>
          </cell>
          <cell r="AC112">
            <v>45716</v>
          </cell>
          <cell r="AD112">
            <v>4.9069445238279146</v>
          </cell>
          <cell r="AE112">
            <v>0.11611883575451998</v>
          </cell>
          <cell r="AF112">
            <v>4.9069445238279146</v>
          </cell>
          <cell r="AG112">
            <v>0.11611883575451998</v>
          </cell>
          <cell r="AH112">
            <v>1.4563554555680538</v>
          </cell>
          <cell r="AI112">
            <v>-0.12564744718956589</v>
          </cell>
        </row>
        <row r="113">
          <cell r="A113" t="str">
            <v>Sigma Defense</v>
          </cell>
          <cell r="B113" t="str">
            <v>Sigma Defense (Term Loan)</v>
          </cell>
          <cell r="C113" t="str">
            <v>Sigma Defense</v>
          </cell>
          <cell r="D113" t="str">
            <v>Sigma Defense Systems, Inc. - Term Loan</v>
          </cell>
          <cell r="E113" t="str">
            <v>Aerospace &amp; Defense</v>
          </cell>
          <cell r="F113" t="str">
            <v>First Lien</v>
          </cell>
          <cell r="G113" t="str">
            <v>FL</v>
          </cell>
          <cell r="H113" t="str">
            <v>Senior Secured</v>
          </cell>
          <cell r="J113">
            <v>0.01</v>
          </cell>
          <cell r="K113">
            <v>7.0000000000000007E-2</v>
          </cell>
          <cell r="L113">
            <v>46741</v>
          </cell>
          <cell r="M113" t="str">
            <v>USA</v>
          </cell>
          <cell r="N113" t="str">
            <v>USD</v>
          </cell>
          <cell r="O113" t="str">
            <v>TBD</v>
          </cell>
          <cell r="P113" t="str">
            <v>Y</v>
          </cell>
          <cell r="Q113" t="str">
            <v>N</v>
          </cell>
          <cell r="R113" t="str">
            <v>Maintenance Covenants</v>
          </cell>
          <cell r="S113" t="str">
            <v>No</v>
          </cell>
          <cell r="T113">
            <v>45716</v>
          </cell>
          <cell r="V113">
            <v>4.3893982675291987</v>
          </cell>
          <cell r="W113">
            <v>30.719017000000001</v>
          </cell>
          <cell r="X113">
            <v>103.17262500000001</v>
          </cell>
          <cell r="Y113">
            <v>17.809999999999999</v>
          </cell>
          <cell r="Z113">
            <v>1.6490740740740739</v>
          </cell>
          <cell r="AA113">
            <v>6.05</v>
          </cell>
          <cell r="AB113">
            <v>6.3</v>
          </cell>
          <cell r="AC113">
            <v>45716</v>
          </cell>
          <cell r="AD113">
            <v>4.3893982675291987</v>
          </cell>
          <cell r="AE113">
            <v>-1.6606017324708011</v>
          </cell>
          <cell r="AF113">
            <v>6.3288483482397888</v>
          </cell>
          <cell r="AG113">
            <v>2.884834823978899E-2</v>
          </cell>
          <cell r="AH113">
            <v>1.880712541031702</v>
          </cell>
          <cell r="AI113">
            <v>0.23163846695762813</v>
          </cell>
        </row>
        <row r="114">
          <cell r="A114" t="str">
            <v>Security 101</v>
          </cell>
          <cell r="B114" t="str">
            <v>Security 101 (TL)</v>
          </cell>
          <cell r="C114" t="e">
            <v>#N/A</v>
          </cell>
          <cell r="D114" t="str">
            <v>S101 ACQUISITION, INC.</v>
          </cell>
          <cell r="E114" t="e">
            <v>#N/A</v>
          </cell>
          <cell r="F114" t="e">
            <v>#N/A</v>
          </cell>
          <cell r="G114" t="str">
            <v>FL</v>
          </cell>
          <cell r="H114" t="str">
            <v>Senior Secured</v>
          </cell>
          <cell r="J114" t="e">
            <v>#N/A</v>
          </cell>
          <cell r="K114" t="e">
            <v>#N/A</v>
          </cell>
          <cell r="L114" t="e">
            <v>#N/A</v>
          </cell>
          <cell r="M114" t="str">
            <v>USA</v>
          </cell>
          <cell r="N114" t="e">
            <v>#N/A</v>
          </cell>
          <cell r="O114" t="str">
            <v>TBD</v>
          </cell>
          <cell r="P114" t="str">
            <v>Y</v>
          </cell>
          <cell r="Q114" t="e">
            <v>#N/A</v>
          </cell>
          <cell r="R114" t="str">
            <v>Maintenance Covenants</v>
          </cell>
          <cell r="S114" t="e">
            <v>#N/A</v>
          </cell>
          <cell r="T114" t="e">
            <v>#N/A</v>
          </cell>
          <cell r="V114" t="e">
            <v>#N/A</v>
          </cell>
          <cell r="W114" t="e">
            <v>#N/A</v>
          </cell>
          <cell r="X114" t="e">
            <v>#N/A</v>
          </cell>
          <cell r="Y114" t="e">
            <v>#N/A</v>
          </cell>
          <cell r="Z114" t="e">
            <v>#N/A</v>
          </cell>
          <cell r="AA114" t="e">
            <v>#N/A</v>
          </cell>
          <cell r="AB114" t="e">
            <v>#N/A</v>
          </cell>
          <cell r="AC114" t="e">
            <v>#N/A</v>
          </cell>
          <cell r="AD114" t="e">
            <v>#N/A</v>
          </cell>
          <cell r="AE114" t="e">
            <v>#N/A</v>
          </cell>
          <cell r="AF114" t="e">
            <v>#N/A</v>
          </cell>
          <cell r="AG114" t="e">
            <v>#N/A</v>
          </cell>
          <cell r="AH114" t="e">
            <v>#N/A</v>
          </cell>
          <cell r="AI114" t="e">
            <v>#N/A</v>
          </cell>
        </row>
        <row r="115">
          <cell r="A115" t="str">
            <v>ProSearch</v>
          </cell>
          <cell r="B115" t="str">
            <v>ProSearch (TL)</v>
          </cell>
          <cell r="C115" t="str">
            <v>ProSearch</v>
          </cell>
          <cell r="D115" t="str">
            <v xml:space="preserve">Pacific Purchaser, LLC </v>
          </cell>
          <cell r="E115" t="str">
            <v>Services: Business</v>
          </cell>
          <cell r="F115" t="str">
            <v>First Lien</v>
          </cell>
          <cell r="G115" t="str">
            <v>FL</v>
          </cell>
          <cell r="H115" t="str">
            <v>Senior Secured</v>
          </cell>
          <cell r="J115">
            <v>0.01</v>
          </cell>
          <cell r="K115">
            <v>6.25E-2</v>
          </cell>
          <cell r="L115">
            <v>47028</v>
          </cell>
          <cell r="M115" t="str">
            <v>USA</v>
          </cell>
          <cell r="N115" t="str">
            <v>USD</v>
          </cell>
          <cell r="O115" t="str">
            <v>TBD</v>
          </cell>
          <cell r="P115" t="str">
            <v>Y</v>
          </cell>
          <cell r="Q115" t="str">
            <v>N</v>
          </cell>
          <cell r="R115" t="str">
            <v>Maintenance Covenants</v>
          </cell>
          <cell r="S115" t="str">
            <v>No</v>
          </cell>
          <cell r="T115">
            <v>45657</v>
          </cell>
          <cell r="V115">
            <v>2.7884927279334195</v>
          </cell>
          <cell r="W115">
            <v>17.738973999999999</v>
          </cell>
          <cell r="X115">
            <v>56</v>
          </cell>
          <cell r="Y115">
            <v>18.716000000000001</v>
          </cell>
          <cell r="Z115">
            <v>2.8462234793128425</v>
          </cell>
          <cell r="AA115">
            <v>2.992092327420389</v>
          </cell>
          <cell r="AB115">
            <v>2.992092327420389</v>
          </cell>
          <cell r="AC115">
            <v>45657</v>
          </cell>
          <cell r="AD115">
            <v>2.7884927279334195</v>
          </cell>
          <cell r="AE115">
            <v>-0.20359959948696948</v>
          </cell>
          <cell r="AF115">
            <v>2.7884927279334195</v>
          </cell>
          <cell r="AG115">
            <v>-0.20359959948696948</v>
          </cell>
          <cell r="AH115">
            <v>2.5006236414230978</v>
          </cell>
          <cell r="AI115">
            <v>-0.34559983788974469</v>
          </cell>
        </row>
        <row r="116">
          <cell r="A116" t="str">
            <v>ACP Avenu Buyer</v>
          </cell>
          <cell r="B116" t="str">
            <v>Avenu (TL)</v>
          </cell>
          <cell r="C116" t="str">
            <v>Avenu</v>
          </cell>
          <cell r="D116" t="str">
            <v xml:space="preserve">Pacific Purchaser, LLC </v>
          </cell>
          <cell r="E116" t="str">
            <v>Services: Business</v>
          </cell>
          <cell r="F116" t="str">
            <v>First Lien</v>
          </cell>
          <cell r="G116" t="str">
            <v>FL</v>
          </cell>
          <cell r="H116" t="str">
            <v>Senior Secured</v>
          </cell>
          <cell r="J116">
            <v>0.01</v>
          </cell>
          <cell r="K116">
            <v>5.2499999999999998E-2</v>
          </cell>
          <cell r="L116">
            <v>47393</v>
          </cell>
          <cell r="M116" t="str">
            <v>USA</v>
          </cell>
          <cell r="N116" t="str">
            <v>USD</v>
          </cell>
          <cell r="O116" t="str">
            <v>TBD</v>
          </cell>
          <cell r="P116" t="str">
            <v>Y</v>
          </cell>
          <cell r="Q116" t="str">
            <v>N</v>
          </cell>
          <cell r="R116" t="str">
            <v>Maintenance Covenants</v>
          </cell>
          <cell r="S116" t="str">
            <v>No</v>
          </cell>
          <cell r="T116">
            <v>45747</v>
          </cell>
          <cell r="V116">
            <v>4.6060901857421843</v>
          </cell>
          <cell r="W116">
            <v>77.650021075818202</v>
          </cell>
          <cell r="X116">
            <v>175</v>
          </cell>
          <cell r="Y116">
            <v>33.738000000000014</v>
          </cell>
          <cell r="Z116">
            <v>1.6087144660565689</v>
          </cell>
          <cell r="AA116">
            <v>5.1870294623273443</v>
          </cell>
          <cell r="AB116">
            <v>5.1870294623273443</v>
          </cell>
          <cell r="AC116">
            <v>45747</v>
          </cell>
          <cell r="AD116">
            <v>4.6060901857421843</v>
          </cell>
          <cell r="AE116">
            <v>-0.58093927658515998</v>
          </cell>
          <cell r="AF116">
            <v>4.6060901857421843</v>
          </cell>
          <cell r="AG116">
            <v>-0.58093927658515998</v>
          </cell>
          <cell r="AH116">
            <v>2.2249289706538167</v>
          </cell>
          <cell r="AI116">
            <v>0.6162145045972478</v>
          </cell>
        </row>
        <row r="117">
          <cell r="A117" t="str">
            <v>Comprehensive Rehab Consultants</v>
          </cell>
          <cell r="B117" t="str">
            <v>Comprehensive Rehab Consultants (Term Loan)</v>
          </cell>
          <cell r="C117" t="str">
            <v>Comprehensive Rehab Consultants</v>
          </cell>
          <cell r="D117" t="str">
            <v xml:space="preserve">Pacific Purchaser, LLC </v>
          </cell>
          <cell r="E117" t="str">
            <v>Healthcare &amp; Pharmaceuticals</v>
          </cell>
          <cell r="F117" t="str">
            <v>First Lien</v>
          </cell>
          <cell r="G117" t="str">
            <v>FL</v>
          </cell>
          <cell r="H117" t="str">
            <v>Senior Secured</v>
          </cell>
          <cell r="J117">
            <v>0.01</v>
          </cell>
          <cell r="K117">
            <v>6.25E-2</v>
          </cell>
          <cell r="L117">
            <v>47046</v>
          </cell>
          <cell r="M117" t="str">
            <v>USA</v>
          </cell>
          <cell r="N117" t="str">
            <v>USD</v>
          </cell>
          <cell r="O117" t="str">
            <v>TBD</v>
          </cell>
          <cell r="P117" t="str">
            <v>Y</v>
          </cell>
          <cell r="Q117" t="str">
            <v>N</v>
          </cell>
          <cell r="R117" t="str">
            <v>Maintenance Covenants</v>
          </cell>
          <cell r="S117" t="str">
            <v>No</v>
          </cell>
          <cell r="T117">
            <v>45716</v>
          </cell>
          <cell r="V117">
            <v>3.9212869811971043</v>
          </cell>
          <cell r="W117">
            <v>18.501068742959561</v>
          </cell>
          <cell r="X117">
            <v>78.8</v>
          </cell>
          <cell r="Y117">
            <v>17.619373046262648</v>
          </cell>
          <cell r="Z117">
            <v>1.8758760060461834</v>
          </cell>
          <cell r="AA117">
            <v>4.4155941187988308</v>
          </cell>
          <cell r="AB117">
            <v>4.4155941187988308</v>
          </cell>
          <cell r="AC117">
            <v>45716</v>
          </cell>
          <cell r="AD117">
            <v>3.9212869811971043</v>
          </cell>
          <cell r="AE117">
            <v>-0.49430713760172651</v>
          </cell>
          <cell r="AF117">
            <v>3.9239895277739891</v>
          </cell>
          <cell r="AG117">
            <v>-0.49160459102484166</v>
          </cell>
          <cell r="AH117">
            <v>1.9835663774428955</v>
          </cell>
          <cell r="AI117">
            <v>0.10769037139671211</v>
          </cell>
        </row>
        <row r="118">
          <cell r="A118" t="str">
            <v>Plimpton &amp; Hills</v>
          </cell>
          <cell r="B118" t="str">
            <v>Plimpton &amp; Hills (TL)</v>
          </cell>
          <cell r="C118" t="str">
            <v>Plimpton &amp; Hills</v>
          </cell>
          <cell r="D118" t="str">
            <v xml:space="preserve">Pacific Purchaser, LLC </v>
          </cell>
          <cell r="E118" t="str">
            <v>Services: Business</v>
          </cell>
          <cell r="F118" t="str">
            <v>First Lien</v>
          </cell>
          <cell r="G118" t="str">
            <v>FL</v>
          </cell>
          <cell r="H118" t="str">
            <v>Senior Secured</v>
          </cell>
          <cell r="J118">
            <v>0.01</v>
          </cell>
          <cell r="K118">
            <v>0.06</v>
          </cell>
          <cell r="L118">
            <v>47430</v>
          </cell>
          <cell r="M118" t="str">
            <v>USA</v>
          </cell>
          <cell r="N118" t="str">
            <v>USD</v>
          </cell>
          <cell r="O118" t="str">
            <v>TBD</v>
          </cell>
          <cell r="P118" t="str">
            <v>Y</v>
          </cell>
          <cell r="Q118" t="str">
            <v>N</v>
          </cell>
          <cell r="R118" t="str">
            <v>Maintenance Covenants</v>
          </cell>
          <cell r="S118" t="str">
            <v>No</v>
          </cell>
          <cell r="T118">
            <v>45716</v>
          </cell>
          <cell r="V118">
            <v>4.3240190456330589</v>
          </cell>
          <cell r="W118">
            <v>28.773</v>
          </cell>
          <cell r="X118">
            <v>85</v>
          </cell>
          <cell r="Y118">
            <v>25.1</v>
          </cell>
          <cell r="Z118">
            <v>2.1905541715301129</v>
          </cell>
          <cell r="AA118">
            <v>3.9764593605853347</v>
          </cell>
          <cell r="AB118">
            <v>3.9764593605853347</v>
          </cell>
          <cell r="AC118">
            <v>45716</v>
          </cell>
          <cell r="AD118">
            <v>4.3240190456330589</v>
          </cell>
          <cell r="AE118">
            <v>0.34755968504772428</v>
          </cell>
          <cell r="AF118">
            <v>4.3240190456330589</v>
          </cell>
          <cell r="AG118">
            <v>0.34755968504772428</v>
          </cell>
          <cell r="AH118">
            <v>1.811023622047244</v>
          </cell>
          <cell r="AI118">
            <v>-0.37953054948286891</v>
          </cell>
        </row>
        <row r="119">
          <cell r="A119" t="str">
            <v>Watchtower Buyer, LLC</v>
          </cell>
          <cell r="B119" t="str">
            <v>Watchtower (TL)</v>
          </cell>
          <cell r="C119" t="str">
            <v>Watchtower</v>
          </cell>
          <cell r="D119" t="str">
            <v xml:space="preserve">Pacific Purchaser, LLC </v>
          </cell>
          <cell r="E119" t="str">
            <v>Services: Business</v>
          </cell>
          <cell r="F119" t="str">
            <v>First Lien</v>
          </cell>
          <cell r="G119" t="str">
            <v>FL</v>
          </cell>
          <cell r="H119" t="str">
            <v>Senior Secured</v>
          </cell>
          <cell r="J119">
            <v>0.01</v>
          </cell>
          <cell r="K119">
            <v>0.06</v>
          </cell>
          <cell r="L119">
            <v>47455</v>
          </cell>
          <cell r="M119" t="str">
            <v>USA</v>
          </cell>
          <cell r="N119" t="str">
            <v>USD</v>
          </cell>
          <cell r="O119" t="str">
            <v>TBD</v>
          </cell>
          <cell r="P119" t="str">
            <v>Y</v>
          </cell>
          <cell r="Q119" t="str">
            <v>N</v>
          </cell>
          <cell r="R119" t="str">
            <v>Maintenance Covenants</v>
          </cell>
          <cell r="S119" t="str">
            <v>No</v>
          </cell>
          <cell r="T119">
            <v>45716</v>
          </cell>
          <cell r="V119">
            <v>4.8891217526114934</v>
          </cell>
          <cell r="W119">
            <v>10.9838868241143</v>
          </cell>
          <cell r="X119">
            <v>50</v>
          </cell>
          <cell r="Y119">
            <v>10.08728105</v>
          </cell>
          <cell r="Z119">
            <v>1.6156563663367904</v>
          </cell>
          <cell r="AA119">
            <v>5.0558718198894637</v>
          </cell>
          <cell r="AB119">
            <v>5.0558718198894637</v>
          </cell>
          <cell r="AC119">
            <v>45716</v>
          </cell>
          <cell r="AD119">
            <v>4.8891217526114934</v>
          </cell>
          <cell r="AE119">
            <v>-0.16675006727797026</v>
          </cell>
          <cell r="AF119">
            <v>4.8891217526114934</v>
          </cell>
          <cell r="AG119">
            <v>-0.16675006727797026</v>
          </cell>
          <cell r="AH119">
            <v>1.6233362836140151</v>
          </cell>
          <cell r="AI119">
            <v>7.6799172772246127E-3</v>
          </cell>
        </row>
        <row r="120">
          <cell r="A120" t="str">
            <v>Carisk Buyer, Inc.</v>
          </cell>
          <cell r="B120" t="str">
            <v>Carisk Partners (TL)</v>
          </cell>
          <cell r="C120" t="str">
            <v>Carisk Partners</v>
          </cell>
          <cell r="D120" t="str">
            <v xml:space="preserve">Pacific Purchaser, LLC </v>
          </cell>
          <cell r="E120" t="str">
            <v>Healthcare &amp; Pharmaceuticals</v>
          </cell>
          <cell r="F120" t="str">
            <v>First Lien</v>
          </cell>
          <cell r="G120" t="str">
            <v>FL</v>
          </cell>
          <cell r="H120" t="str">
            <v>Senior Secured</v>
          </cell>
          <cell r="J120">
            <v>0.01</v>
          </cell>
          <cell r="K120">
            <v>5.7500000000000002E-2</v>
          </cell>
          <cell r="L120">
            <v>47452</v>
          </cell>
          <cell r="M120" t="str">
            <v>USA</v>
          </cell>
          <cell r="N120" t="str">
            <v>USD</v>
          </cell>
          <cell r="O120" t="str">
            <v>TBD</v>
          </cell>
          <cell r="P120" t="str">
            <v>Y</v>
          </cell>
          <cell r="Q120" t="str">
            <v>Y</v>
          </cell>
          <cell r="R120" t="str">
            <v>Maintenance Covenants</v>
          </cell>
          <cell r="S120" t="str">
            <v>No</v>
          </cell>
          <cell r="T120">
            <v>45747</v>
          </cell>
          <cell r="V120">
            <v>3.2892937394353572</v>
          </cell>
          <cell r="W120">
            <v>18.868361999999998</v>
          </cell>
          <cell r="X120">
            <v>40</v>
          </cell>
          <cell r="Y120">
            <v>10.781094416153847</v>
          </cell>
          <cell r="Z120">
            <v>2.3900626088839778</v>
          </cell>
          <cell r="AA120">
            <v>1.4414121053161031</v>
          </cell>
          <cell r="AB120">
            <v>1.4414121053161031</v>
          </cell>
          <cell r="AC120">
            <v>45747</v>
          </cell>
          <cell r="AD120">
            <v>3.2892937394353572</v>
          </cell>
          <cell r="AE120">
            <v>1.8478816341192541</v>
          </cell>
          <cell r="AF120">
            <v>3.2892937394353572</v>
          </cell>
          <cell r="AG120">
            <v>1.8478816341192541</v>
          </cell>
          <cell r="AH120">
            <v>2.1712654616842517</v>
          </cell>
          <cell r="AI120">
            <v>-0.21879714719972609</v>
          </cell>
        </row>
        <row r="121">
          <cell r="A121" t="str">
            <v>Sigma Defense</v>
          </cell>
          <cell r="B121" t="str">
            <v>Sigma Defense (Incremental TL)</v>
          </cell>
          <cell r="C121" t="str">
            <v>Sigma Defense</v>
          </cell>
          <cell r="D121" t="str">
            <v xml:space="preserve">Pacific Purchaser, LLC </v>
          </cell>
          <cell r="E121" t="str">
            <v>Aerospace &amp; Defense</v>
          </cell>
          <cell r="F121" t="str">
            <v>First Lien</v>
          </cell>
          <cell r="G121" t="str">
            <v>FL</v>
          </cell>
          <cell r="H121" t="str">
            <v>Senior Secured</v>
          </cell>
          <cell r="J121">
            <v>0.01</v>
          </cell>
          <cell r="K121">
            <v>7.0000000000000007E-2</v>
          </cell>
          <cell r="L121">
            <v>46741</v>
          </cell>
          <cell r="M121" t="str">
            <v>USA</v>
          </cell>
          <cell r="N121" t="str">
            <v>USD</v>
          </cell>
          <cell r="O121" t="str">
            <v>TBD</v>
          </cell>
          <cell r="P121" t="str">
            <v>Y</v>
          </cell>
          <cell r="Q121" t="str">
            <v>N</v>
          </cell>
          <cell r="R121" t="str">
            <v>Maintenance Covenants</v>
          </cell>
          <cell r="S121" t="str">
            <v>No</v>
          </cell>
          <cell r="T121">
            <v>45716</v>
          </cell>
          <cell r="V121">
            <v>4.3893982675291987</v>
          </cell>
          <cell r="W121">
            <v>30.719017000000001</v>
          </cell>
          <cell r="X121">
            <v>31</v>
          </cell>
          <cell r="Y121">
            <v>17.809999999999999</v>
          </cell>
          <cell r="Z121">
            <v>1.6490740740740739</v>
          </cell>
          <cell r="AA121">
            <v>6.05</v>
          </cell>
          <cell r="AB121">
            <v>6.3</v>
          </cell>
          <cell r="AC121">
            <v>45716</v>
          </cell>
          <cell r="AD121">
            <v>4.3893982675291987</v>
          </cell>
          <cell r="AE121">
            <v>-1.6606017324708011</v>
          </cell>
          <cell r="AF121">
            <v>6.3288483482397888</v>
          </cell>
          <cell r="AG121">
            <v>2.884834823978899E-2</v>
          </cell>
          <cell r="AH121">
            <v>1.880712541031702</v>
          </cell>
          <cell r="AI121">
            <v>0.23163846695762813</v>
          </cell>
        </row>
        <row r="122">
          <cell r="A122" t="str">
            <v>AFC - Dell Holding Corp.</v>
          </cell>
          <cell r="B122" t="str">
            <v>AFC Industries (TL)</v>
          </cell>
          <cell r="C122" t="str">
            <v>AFC Acquisitions</v>
          </cell>
          <cell r="D122" t="str">
            <v xml:space="preserve">Pacific Purchaser, LLC </v>
          </cell>
          <cell r="E122" t="str">
            <v>Services: Business</v>
          </cell>
          <cell r="F122" t="str">
            <v>First Lien</v>
          </cell>
          <cell r="G122" t="str">
            <v>FL</v>
          </cell>
          <cell r="H122" t="str">
            <v>Senior Secured</v>
          </cell>
          <cell r="J122">
            <v>0.01</v>
          </cell>
          <cell r="K122">
            <v>6.25E-2</v>
          </cell>
          <cell r="L122">
            <v>46486</v>
          </cell>
          <cell r="M122" t="str">
            <v>USA</v>
          </cell>
          <cell r="N122" t="str">
            <v>USD</v>
          </cell>
          <cell r="O122" t="str">
            <v>TBD</v>
          </cell>
          <cell r="P122" t="str">
            <v>Y</v>
          </cell>
          <cell r="Q122" t="str">
            <v>Y</v>
          </cell>
          <cell r="R122" t="str">
            <v>Maintenance Covenants</v>
          </cell>
          <cell r="S122" t="str">
            <v>No</v>
          </cell>
          <cell r="T122">
            <v>45716</v>
          </cell>
          <cell r="V122">
            <v>6.0802911056501969</v>
          </cell>
          <cell r="W122">
            <v>76.694091670471707</v>
          </cell>
          <cell r="X122">
            <v>17.100000000000001</v>
          </cell>
          <cell r="Y122">
            <v>67.680999999999983</v>
          </cell>
          <cell r="Z122">
            <v>1.606937904697936</v>
          </cell>
          <cell r="AA122">
            <v>5.0987210354985759</v>
          </cell>
          <cell r="AB122">
            <v>5.0987210354985759</v>
          </cell>
          <cell r="AC122">
            <v>45716</v>
          </cell>
          <cell r="AD122">
            <v>6.0802911056501969</v>
          </cell>
          <cell r="AE122">
            <v>0.98157007015162101</v>
          </cell>
          <cell r="AF122">
            <v>7.1419734977347176</v>
          </cell>
          <cell r="AG122">
            <v>2.0432524622361417</v>
          </cell>
          <cell r="AH122">
            <v>1.3690868674409475</v>
          </cell>
          <cell r="AI122">
            <v>-0.23785103725698842</v>
          </cell>
        </row>
        <row r="123">
          <cell r="A123" t="str">
            <v xml:space="preserve">Aeronix, Inc. </v>
          </cell>
          <cell r="B123" t="str">
            <v>Aeronix (TL)</v>
          </cell>
          <cell r="C123" t="str">
            <v>Aeronix</v>
          </cell>
          <cell r="D123" t="str">
            <v xml:space="preserve">Pacific Purchaser, LLC </v>
          </cell>
          <cell r="E123" t="str">
            <v>Aerospace &amp; Defense</v>
          </cell>
          <cell r="F123" t="str">
            <v>First Lien</v>
          </cell>
          <cell r="G123" t="str">
            <v>FL</v>
          </cell>
          <cell r="H123" t="str">
            <v>Senior Secured</v>
          </cell>
          <cell r="J123">
            <v>0.01</v>
          </cell>
          <cell r="K123">
            <v>5.5E-2</v>
          </cell>
          <cell r="L123">
            <v>47788</v>
          </cell>
          <cell r="M123" t="str">
            <v>USA</v>
          </cell>
          <cell r="N123" t="str">
            <v>USD</v>
          </cell>
          <cell r="O123" t="str">
            <v>TBD</v>
          </cell>
          <cell r="P123" t="str">
            <v>Y</v>
          </cell>
          <cell r="Q123" t="str">
            <v>N</v>
          </cell>
          <cell r="R123" t="str">
            <v>Maintenance Covenants</v>
          </cell>
          <cell r="S123" t="str">
            <v>No</v>
          </cell>
          <cell r="T123">
            <v>45657</v>
          </cell>
          <cell r="V123">
            <v>3.4534393649966515</v>
          </cell>
          <cell r="W123">
            <v>65.760529141423106</v>
          </cell>
          <cell r="X123">
            <v>85</v>
          </cell>
          <cell r="Y123">
            <v>30.100999999999999</v>
          </cell>
          <cell r="Z123">
            <v>3.2308650058497101</v>
          </cell>
          <cell r="AA123">
            <v>2.7075512441447129</v>
          </cell>
          <cell r="AB123">
            <v>2.7075512441447129</v>
          </cell>
          <cell r="AC123">
            <v>45657</v>
          </cell>
          <cell r="AD123">
            <v>3.4534393649966515</v>
          </cell>
          <cell r="AE123">
            <v>0.74588812085193856</v>
          </cell>
          <cell r="AF123">
            <v>3.4534393649966515</v>
          </cell>
          <cell r="AG123">
            <v>0.74588812085193856</v>
          </cell>
          <cell r="AH123">
            <v>2.3912919687790222</v>
          </cell>
          <cell r="AI123">
            <v>-0.83957303707068798</v>
          </cell>
        </row>
        <row r="124">
          <cell r="A124" t="str">
            <v>TCD 3.0 Jogger Acquisitionco, Inc. Term Loan</v>
          </cell>
          <cell r="B124" t="str">
            <v>BiggerPockets (TL)</v>
          </cell>
          <cell r="C124" t="str">
            <v>BiggerPockets</v>
          </cell>
          <cell r="D124" t="str">
            <v xml:space="preserve">Pacific Purchaser, LLC </v>
          </cell>
          <cell r="E124" t="str">
            <v>Media: Broadcasting and Subscription</v>
          </cell>
          <cell r="F124" t="str">
            <v>First Lien</v>
          </cell>
          <cell r="G124" t="str">
            <v>FL</v>
          </cell>
          <cell r="H124" t="str">
            <v>Senior Secured</v>
          </cell>
          <cell r="J124">
            <v>0.01</v>
          </cell>
          <cell r="K124">
            <v>6.5000000000000002E-2</v>
          </cell>
          <cell r="L124">
            <v>47141</v>
          </cell>
          <cell r="M124" t="str">
            <v>USA</v>
          </cell>
          <cell r="N124" t="str">
            <v>USD</v>
          </cell>
          <cell r="O124" t="str">
            <v>TBD</v>
          </cell>
          <cell r="P124" t="str">
            <v>Y</v>
          </cell>
          <cell r="Q124" t="str">
            <v>Y</v>
          </cell>
          <cell r="R124" t="str">
            <v>Maintenance Covenants</v>
          </cell>
          <cell r="S124" t="str">
            <v>No</v>
          </cell>
          <cell r="T124">
            <v>45747</v>
          </cell>
          <cell r="V124">
            <v>4.3446448056149043</v>
          </cell>
          <cell r="W124">
            <v>13.694979999999999</v>
          </cell>
          <cell r="X124">
            <v>5</v>
          </cell>
          <cell r="Y124">
            <v>19.100000000000001</v>
          </cell>
          <cell r="Z124">
            <v>2.6365206472543896</v>
          </cell>
          <cell r="AA124">
            <v>3.18</v>
          </cell>
          <cell r="AB124">
            <v>3.18</v>
          </cell>
          <cell r="AC124">
            <v>45747</v>
          </cell>
          <cell r="AD124">
            <v>4.3446448056149043</v>
          </cell>
          <cell r="AE124">
            <v>1.1646448056149041</v>
          </cell>
          <cell r="AF124">
            <v>4.3446448056149043</v>
          </cell>
          <cell r="AG124">
            <v>1.1646448056149041</v>
          </cell>
          <cell r="AH124">
            <v>1.8373954715996246</v>
          </cell>
          <cell r="AI124">
            <v>-0.79912517565476504</v>
          </cell>
        </row>
        <row r="125">
          <cell r="A125" t="str">
            <v>Omnia Exterior Solutions, LLC</v>
          </cell>
          <cell r="B125" t="str">
            <v>Omnia (TL)</v>
          </cell>
          <cell r="C125" t="str">
            <v>Omnia</v>
          </cell>
          <cell r="D125" t="str">
            <v xml:space="preserve">Pacific Purchaser, LLC </v>
          </cell>
          <cell r="E125" t="str">
            <v>Services: Consumer</v>
          </cell>
          <cell r="F125" t="str">
            <v>First Lien</v>
          </cell>
          <cell r="G125" t="str">
            <v>FL</v>
          </cell>
          <cell r="H125" t="str">
            <v>Senior Secured</v>
          </cell>
          <cell r="J125">
            <v>0.01</v>
          </cell>
          <cell r="K125">
            <v>5.5E-2</v>
          </cell>
          <cell r="L125">
            <v>47483</v>
          </cell>
          <cell r="M125" t="str">
            <v>USA</v>
          </cell>
          <cell r="N125" t="str">
            <v>USD</v>
          </cell>
          <cell r="O125" t="str">
            <v>TBD</v>
          </cell>
          <cell r="P125" t="str">
            <v>Y</v>
          </cell>
          <cell r="Q125" t="str">
            <v>Y</v>
          </cell>
          <cell r="R125" t="str">
            <v>Cov-Lite</v>
          </cell>
          <cell r="S125" t="str">
            <v>No</v>
          </cell>
          <cell r="T125">
            <v>45716</v>
          </cell>
          <cell r="V125">
            <v>3.1991927162280489</v>
          </cell>
          <cell r="W125">
            <v>38.156765280437824</v>
          </cell>
          <cell r="X125">
            <v>25</v>
          </cell>
          <cell r="Y125">
            <v>14.5</v>
          </cell>
          <cell r="Z125">
            <v>2.9591836734693877</v>
          </cell>
          <cell r="AA125">
            <v>2.0689655172413794</v>
          </cell>
          <cell r="AB125">
            <v>2.0689655172413794</v>
          </cell>
          <cell r="AC125">
            <v>45716</v>
          </cell>
          <cell r="AD125">
            <v>3.1991927162280489</v>
          </cell>
          <cell r="AE125">
            <v>1.1302271989866695</v>
          </cell>
          <cell r="AF125">
            <v>3.1991927162280489</v>
          </cell>
          <cell r="AG125">
            <v>1.1302271989866695</v>
          </cell>
          <cell r="AH125">
            <v>3.5474548008472708</v>
          </cell>
          <cell r="AI125">
            <v>0.58827112737788312</v>
          </cell>
        </row>
        <row r="126">
          <cell r="A126" t="str">
            <v>TransGo</v>
          </cell>
          <cell r="B126" t="str">
            <v>TransGo (TL)</v>
          </cell>
          <cell r="C126" t="str">
            <v>TransGo</v>
          </cell>
          <cell r="D126" t="str">
            <v xml:space="preserve">Pacific Purchaser, LLC </v>
          </cell>
          <cell r="E126" t="str">
            <v>Automotive</v>
          </cell>
          <cell r="F126" t="str">
            <v>First Lien</v>
          </cell>
          <cell r="G126" t="str">
            <v>FL</v>
          </cell>
          <cell r="H126" t="str">
            <v>Senior Secured</v>
          </cell>
          <cell r="J126">
            <v>0.02</v>
          </cell>
          <cell r="K126">
            <v>0.06</v>
          </cell>
          <cell r="L126">
            <v>47116</v>
          </cell>
          <cell r="M126" t="str">
            <v>USA</v>
          </cell>
          <cell r="N126" t="str">
            <v>USD</v>
          </cell>
          <cell r="O126" t="str">
            <v>TBD</v>
          </cell>
          <cell r="P126" t="str">
            <v>Y</v>
          </cell>
          <cell r="Q126" t="str">
            <v>N</v>
          </cell>
          <cell r="R126" t="str">
            <v>Maintenance Covenants</v>
          </cell>
          <cell r="S126" t="str">
            <v>No</v>
          </cell>
          <cell r="T126">
            <v>45747</v>
          </cell>
          <cell r="V126">
            <v>3.4758743939918917</v>
          </cell>
          <cell r="W126">
            <v>19.703962870000002</v>
          </cell>
          <cell r="X126">
            <v>80.900000000000006</v>
          </cell>
          <cell r="Y126">
            <v>17.036040673441981</v>
          </cell>
          <cell r="Z126">
            <v>1.7548455576269038</v>
          </cell>
          <cell r="AA126">
            <v>4.7047316648491142</v>
          </cell>
          <cell r="AB126">
            <v>4.7047316648491142</v>
          </cell>
          <cell r="AC126">
            <v>45747</v>
          </cell>
          <cell r="AD126">
            <v>3.4758743939918917</v>
          </cell>
          <cell r="AE126">
            <v>-1.2288572708572225</v>
          </cell>
          <cell r="AF126">
            <v>3.4758743939918917</v>
          </cell>
          <cell r="AG126">
            <v>-1.2288572708572225</v>
          </cell>
          <cell r="AH126">
            <v>2.0913062073021988</v>
          </cell>
          <cell r="AI126">
            <v>0.3364606496752951</v>
          </cell>
        </row>
        <row r="127">
          <cell r="A127" t="str">
            <v>PCS Midco, Inc.</v>
          </cell>
          <cell r="B127" t="str">
            <v>PCS Retirement (Term Loan)</v>
          </cell>
          <cell r="C127" t="str">
            <v>PCS Retirement</v>
          </cell>
          <cell r="D127" t="str">
            <v>PCS Midco, Inc.</v>
          </cell>
          <cell r="E127" t="str">
            <v>Services: Consumer</v>
          </cell>
          <cell r="F127" t="str">
            <v>First Lien</v>
          </cell>
          <cell r="G127" t="str">
            <v>FL</v>
          </cell>
          <cell r="H127" t="str">
            <v>Senior Secured</v>
          </cell>
          <cell r="J127">
            <v>0.01</v>
          </cell>
          <cell r="K127">
            <v>5.7500000000000002E-2</v>
          </cell>
          <cell r="L127">
            <v>47543</v>
          </cell>
          <cell r="M127" t="str">
            <v>USA</v>
          </cell>
          <cell r="N127" t="str">
            <v>USD</v>
          </cell>
          <cell r="O127" t="str">
            <v>TBD</v>
          </cell>
          <cell r="P127" t="str">
            <v>Y</v>
          </cell>
          <cell r="Q127" t="str">
            <v>N</v>
          </cell>
          <cell r="R127" t="str">
            <v>Maintenance Covenants</v>
          </cell>
          <cell r="S127" t="str">
            <v>No</v>
          </cell>
          <cell r="T127">
            <v>45565</v>
          </cell>
          <cell r="V127">
            <v>4.616467075901447</v>
          </cell>
          <cell r="W127">
            <v>32.365657177534203</v>
          </cell>
          <cell r="X127">
            <v>150</v>
          </cell>
          <cell r="Y127">
            <v>30.013999999999996</v>
          </cell>
          <cell r="Z127">
            <v>1.7791029205171216</v>
          </cell>
          <cell r="AA127">
            <v>4.9976677550476447</v>
          </cell>
          <cell r="AB127">
            <v>4.9976677550476447</v>
          </cell>
          <cell r="AC127">
            <v>45565</v>
          </cell>
          <cell r="AD127">
            <v>4.616467075901447</v>
          </cell>
          <cell r="AE127">
            <v>-0.38120067914619771</v>
          </cell>
          <cell r="AF127">
            <v>4.616467075901447</v>
          </cell>
          <cell r="AG127">
            <v>-0.38120067914619771</v>
          </cell>
          <cell r="AH127">
            <v>2.3445922072243301</v>
          </cell>
          <cell r="AI127">
            <v>0.56548928670720855</v>
          </cell>
        </row>
        <row r="128">
          <cell r="A128" t="str">
            <v>Carnegie Dartlet, LLC</v>
          </cell>
          <cell r="B128" t="str">
            <v>Carnegie Dartlet (Term Loan)</v>
          </cell>
          <cell r="C128" t="str">
            <v>Carnegie Dartlet</v>
          </cell>
          <cell r="D128" t="str">
            <v xml:space="preserve">Carnegie Dartlet LLC </v>
          </cell>
          <cell r="E128" t="str">
            <v>Services: Business</v>
          </cell>
          <cell r="F128" t="str">
            <v>First Lien</v>
          </cell>
          <cell r="G128" t="str">
            <v>FL</v>
          </cell>
          <cell r="H128" t="str">
            <v>Senior Secured</v>
          </cell>
          <cell r="J128">
            <v>0.01</v>
          </cell>
          <cell r="K128">
            <v>5.5E-2</v>
          </cell>
          <cell r="L128">
            <v>47521</v>
          </cell>
          <cell r="M128" t="str">
            <v>USA</v>
          </cell>
          <cell r="N128" t="str">
            <v>USD</v>
          </cell>
          <cell r="O128" t="str">
            <v>TBD</v>
          </cell>
          <cell r="P128" t="str">
            <v>Y</v>
          </cell>
          <cell r="Q128" t="str">
            <v>N</v>
          </cell>
          <cell r="R128" t="str">
            <v>Maintenance Covenants</v>
          </cell>
          <cell r="S128" t="str">
            <v>No</v>
          </cell>
          <cell r="T128">
            <v>45716</v>
          </cell>
          <cell r="V128">
            <v>4.6093661646018615</v>
          </cell>
          <cell r="W128">
            <v>19.452999999999996</v>
          </cell>
          <cell r="X128">
            <v>85</v>
          </cell>
          <cell r="Y128">
            <v>20.199678148253899</v>
          </cell>
          <cell r="Z128">
            <v>2.1638115127590751</v>
          </cell>
          <cell r="AA128">
            <v>4.1049663955743618</v>
          </cell>
          <cell r="AB128">
            <v>4.1049663955743618</v>
          </cell>
          <cell r="AC128">
            <v>45716</v>
          </cell>
          <cell r="AD128">
            <v>4.6093661646018615</v>
          </cell>
          <cell r="AE128">
            <v>0.50439976902749972</v>
          </cell>
          <cell r="AF128">
            <v>4.6093661646018615</v>
          </cell>
          <cell r="AG128">
            <v>0.50439976902749972</v>
          </cell>
          <cell r="AH128">
            <v>2.211026864366255</v>
          </cell>
          <cell r="AI128">
            <v>4.7215351607179823E-2</v>
          </cell>
        </row>
        <row r="129">
          <cell r="A129" t="str">
            <v>MOREgroup Holdings, LLC</v>
          </cell>
          <cell r="B129" t="str">
            <v>MOREgroup (Term Loan)</v>
          </cell>
          <cell r="C129" t="str">
            <v>MOREgroup</v>
          </cell>
          <cell r="D129" t="str">
            <v>HUCKABEE ACQUISITION, LLC</v>
          </cell>
          <cell r="E129" t="str">
            <v>Services: Business</v>
          </cell>
          <cell r="F129" t="str">
            <v>First Lien</v>
          </cell>
          <cell r="G129" t="str">
            <v>FL</v>
          </cell>
          <cell r="H129" t="str">
            <v>Senior Secured</v>
          </cell>
          <cell r="J129">
            <v>0.01</v>
          </cell>
          <cell r="K129">
            <v>5.7500000000000002E-2</v>
          </cell>
          <cell r="L129">
            <v>47499</v>
          </cell>
          <cell r="M129" t="str">
            <v>USA</v>
          </cell>
          <cell r="N129" t="str">
            <v>USD</v>
          </cell>
          <cell r="O129" t="str">
            <v>TBD</v>
          </cell>
          <cell r="P129" t="str">
            <v>Y</v>
          </cell>
          <cell r="Q129" t="str">
            <v>N</v>
          </cell>
          <cell r="R129" t="str">
            <v>Maintenance Covenants</v>
          </cell>
          <cell r="S129" t="str">
            <v>No</v>
          </cell>
          <cell r="T129">
            <v>45716</v>
          </cell>
          <cell r="V129">
            <v>2.4687665223225252</v>
          </cell>
          <cell r="W129">
            <v>75.909447700100202</v>
          </cell>
          <cell r="X129">
            <v>230</v>
          </cell>
          <cell r="Y129">
            <v>50.912999999999997</v>
          </cell>
          <cell r="Z129">
            <v>1.9684540098652743</v>
          </cell>
          <cell r="AA129">
            <v>4.4013200993852264</v>
          </cell>
          <cell r="AB129">
            <v>4.4013200993852264</v>
          </cell>
          <cell r="AC129">
            <v>45716</v>
          </cell>
          <cell r="AD129">
            <v>2.4687665223225252</v>
          </cell>
          <cell r="AE129">
            <v>-1.9325535770627011</v>
          </cell>
          <cell r="AF129">
            <v>2.4687665223225252</v>
          </cell>
          <cell r="AG129">
            <v>-1.9325535770627011</v>
          </cell>
          <cell r="AH129">
            <v>2.8937389344072426</v>
          </cell>
          <cell r="AI129">
            <v>0.92528492454196831</v>
          </cell>
        </row>
        <row r="130">
          <cell r="A130" t="str">
            <v>Big Top Holdings, LLC</v>
          </cell>
          <cell r="B130" t="str">
            <v>Big Top Manufacturing (Term Loan)</v>
          </cell>
          <cell r="C130" t="str">
            <v>Big Top Manufacturing</v>
          </cell>
          <cell r="D130" t="str">
            <v>Big Top Holdings, LLC</v>
          </cell>
          <cell r="E130" t="str">
            <v>Manufacturing / Basic Industry</v>
          </cell>
          <cell r="F130" t="str">
            <v>First Lien</v>
          </cell>
          <cell r="G130" t="str">
            <v>FL</v>
          </cell>
          <cell r="H130" t="str">
            <v>Senior Secured</v>
          </cell>
          <cell r="J130">
            <v>0.01</v>
          </cell>
          <cell r="K130">
            <v>6.25E-2</v>
          </cell>
          <cell r="L130">
            <v>47543</v>
          </cell>
          <cell r="M130" t="str">
            <v>USA</v>
          </cell>
          <cell r="N130" t="str">
            <v>USD</v>
          </cell>
          <cell r="O130" t="str">
            <v>TBD</v>
          </cell>
          <cell r="P130" t="str">
            <v>Y</v>
          </cell>
          <cell r="Q130" t="str">
            <v>N</v>
          </cell>
          <cell r="R130" t="str">
            <v>Maintenance Covenants</v>
          </cell>
          <cell r="S130" t="str">
            <v>No</v>
          </cell>
          <cell r="T130">
            <v>45747</v>
          </cell>
          <cell r="V130">
            <v>3.2994991603570689</v>
          </cell>
          <cell r="W130">
            <v>33.942999999999998</v>
          </cell>
          <cell r="X130">
            <v>130</v>
          </cell>
          <cell r="Y130">
            <v>32.799999999999997</v>
          </cell>
          <cell r="Z130">
            <v>2.1578947368421053</v>
          </cell>
          <cell r="AA130">
            <v>3.7538418759146341</v>
          </cell>
          <cell r="AB130">
            <v>3.7538418759146341</v>
          </cell>
          <cell r="AC130">
            <v>45747</v>
          </cell>
          <cell r="AD130">
            <v>3.2994991603570689</v>
          </cell>
          <cell r="AE130">
            <v>-0.45434271555756522</v>
          </cell>
          <cell r="AF130">
            <v>3.2994991603570689</v>
          </cell>
          <cell r="AG130">
            <v>-0.45434271555756522</v>
          </cell>
          <cell r="AH130">
            <v>2.3030940426109376</v>
          </cell>
          <cell r="AI130">
            <v>0.14519930576883233</v>
          </cell>
        </row>
        <row r="131">
          <cell r="A131" t="str">
            <v>Megawatt Acquisitionco, Inc.</v>
          </cell>
          <cell r="B131" t="str">
            <v>Mission Microwave (Term Loan)</v>
          </cell>
          <cell r="C131" t="str">
            <v>Mission Microwave</v>
          </cell>
          <cell r="D131" t="str">
            <v>MEGAWATT ACQUISITIONCO, INC</v>
          </cell>
          <cell r="E131" t="str">
            <v>Electronics</v>
          </cell>
          <cell r="F131" t="str">
            <v>First Lien</v>
          </cell>
          <cell r="G131" t="str">
            <v>FL</v>
          </cell>
          <cell r="H131" t="str">
            <v>Senior Secured</v>
          </cell>
          <cell r="J131">
            <v>0.01</v>
          </cell>
          <cell r="K131">
            <v>5.2499999999999998E-2</v>
          </cell>
          <cell r="L131">
            <v>47543</v>
          </cell>
          <cell r="M131" t="str">
            <v>USA</v>
          </cell>
          <cell r="N131" t="str">
            <v>USD</v>
          </cell>
          <cell r="O131" t="str">
            <v>TBD</v>
          </cell>
          <cell r="P131" t="str">
            <v>Y</v>
          </cell>
          <cell r="Q131" t="str">
            <v>N</v>
          </cell>
          <cell r="R131" t="str">
            <v>Maintenance Covenants</v>
          </cell>
          <cell r="S131" t="str">
            <v>No</v>
          </cell>
          <cell r="T131">
            <v>45716</v>
          </cell>
          <cell r="V131">
            <v>7.1829156010230184</v>
          </cell>
          <cell r="W131">
            <v>19.549999999999997</v>
          </cell>
          <cell r="X131">
            <v>140</v>
          </cell>
          <cell r="Y131">
            <v>28.454999999999998</v>
          </cell>
          <cell r="Z131">
            <v>1.8477272727272727</v>
          </cell>
          <cell r="AA131">
            <v>4.8953569991214207</v>
          </cell>
          <cell r="AB131">
            <v>4.8953569991214207</v>
          </cell>
          <cell r="AC131">
            <v>45716</v>
          </cell>
          <cell r="AD131">
            <v>7.1829156010230184</v>
          </cell>
          <cell r="AE131">
            <v>2.2875586019015977</v>
          </cell>
          <cell r="AF131">
            <v>7.1829156010230184</v>
          </cell>
          <cell r="AG131">
            <v>2.2875586019015977</v>
          </cell>
          <cell r="AH131">
            <v>1.2849162011173183</v>
          </cell>
          <cell r="AI131">
            <v>-0.56281107160995436</v>
          </cell>
        </row>
        <row r="132">
          <cell r="A132" t="str">
            <v>Dr. Squatch, LLC</v>
          </cell>
          <cell r="B132" t="str">
            <v>Dr. Squatch (Term Loan)</v>
          </cell>
          <cell r="C132" t="str">
            <v>Dr. Squatch</v>
          </cell>
          <cell r="E132" t="str">
            <v>Consumer goods: durable</v>
          </cell>
          <cell r="F132" t="str">
            <v>First Lien</v>
          </cell>
          <cell r="G132" t="str">
            <v>FL</v>
          </cell>
          <cell r="H132" t="str">
            <v>Senior Secured</v>
          </cell>
          <cell r="J132">
            <v>0.01</v>
          </cell>
          <cell r="K132">
            <v>5.2499999999999998E-2</v>
          </cell>
          <cell r="L132">
            <v>46623</v>
          </cell>
          <cell r="M132" t="str">
            <v>USA</v>
          </cell>
          <cell r="N132" t="str">
            <v>USD</v>
          </cell>
          <cell r="O132" t="str">
            <v>TBD</v>
          </cell>
          <cell r="P132" t="str">
            <v>Y</v>
          </cell>
          <cell r="Q132" t="str">
            <v>N</v>
          </cell>
          <cell r="R132" t="str">
            <v>Maintenance Covenants</v>
          </cell>
          <cell r="S132" t="str">
            <v>No</v>
          </cell>
          <cell r="T132">
            <v>45657</v>
          </cell>
          <cell r="V132">
            <v>1.297475925084703</v>
          </cell>
          <cell r="W132">
            <v>96.404405640000036</v>
          </cell>
          <cell r="X132">
            <v>167</v>
          </cell>
          <cell r="Y132">
            <v>24.5220405034298</v>
          </cell>
          <cell r="Z132">
            <v>3.5031486433471137</v>
          </cell>
          <cell r="AA132">
            <v>4.3600000000000003</v>
          </cell>
          <cell r="AB132">
            <v>4.3600000000000003</v>
          </cell>
          <cell r="AC132">
            <v>45657</v>
          </cell>
          <cell r="AD132">
            <v>1.297475925084703</v>
          </cell>
          <cell r="AE132">
            <v>-3.0625240749152973</v>
          </cell>
          <cell r="AF132">
            <v>1.297475925084703</v>
          </cell>
          <cell r="AG132">
            <v>-3.0625240749152973</v>
          </cell>
          <cell r="AH132">
            <v>6.1659887773502637</v>
          </cell>
          <cell r="AI132">
            <v>2.66284013400315</v>
          </cell>
        </row>
        <row r="133">
          <cell r="A133" t="str">
            <v>Blackhawk Industrial Distribution, Inc.</v>
          </cell>
          <cell r="B133" t="str">
            <v>BlackHawk Industrial (Incremental TL)</v>
          </cell>
          <cell r="C133" t="str">
            <v>BlackHawk Industrial</v>
          </cell>
          <cell r="E133" t="str">
            <v>Wholesale</v>
          </cell>
          <cell r="F133" t="str">
            <v>First Lien</v>
          </cell>
          <cell r="G133" t="str">
            <v>FL</v>
          </cell>
          <cell r="H133" t="str">
            <v>Senior Secured</v>
          </cell>
          <cell r="J133">
            <v>0.01</v>
          </cell>
          <cell r="K133">
            <v>5.2499999999999998E-2</v>
          </cell>
          <cell r="L133">
            <v>46282</v>
          </cell>
          <cell r="M133" t="str">
            <v>USA</v>
          </cell>
          <cell r="N133" t="str">
            <v>USD</v>
          </cell>
          <cell r="O133" t="str">
            <v>TBD</v>
          </cell>
          <cell r="P133" t="str">
            <v>Y</v>
          </cell>
          <cell r="Q133" t="str">
            <v>N</v>
          </cell>
          <cell r="R133" t="str">
            <v>Maintenance Covenants</v>
          </cell>
          <cell r="S133" t="str">
            <v>No</v>
          </cell>
          <cell r="T133">
            <v>45716</v>
          </cell>
          <cell r="V133">
            <v>5.8248222239587415</v>
          </cell>
          <cell r="W133">
            <v>51.188000000000002</v>
          </cell>
          <cell r="X133">
            <v>15</v>
          </cell>
          <cell r="Y133">
            <v>35.430999999999997</v>
          </cell>
          <cell r="Z133">
            <v>3.0339955471827365</v>
          </cell>
          <cell r="AA133">
            <v>4.8</v>
          </cell>
          <cell r="AB133">
            <v>4.8</v>
          </cell>
          <cell r="AC133">
            <v>45716</v>
          </cell>
          <cell r="AD133">
            <v>5.8248222239587415</v>
          </cell>
          <cell r="AE133">
            <v>1.0248222239587417</v>
          </cell>
          <cell r="AF133">
            <v>6.4096272563882168</v>
          </cell>
          <cell r="AG133">
            <v>1.609627256388217</v>
          </cell>
          <cell r="AH133">
            <v>1.2666221265434392</v>
          </cell>
          <cell r="AI133">
            <v>-1.7673734206392973</v>
          </cell>
        </row>
        <row r="134">
          <cell r="A134" t="str">
            <v>Sparq</v>
          </cell>
          <cell r="B134" t="str">
            <v>Sparq (TL)</v>
          </cell>
          <cell r="C134" t="str">
            <v>Sparq</v>
          </cell>
          <cell r="E134" t="str">
            <v>High Tech Industries</v>
          </cell>
          <cell r="F134" t="str">
            <v>First Lien</v>
          </cell>
          <cell r="G134" t="str">
            <v>FL</v>
          </cell>
          <cell r="H134" t="str">
            <v>Senior Secured</v>
          </cell>
          <cell r="J134">
            <v>0.01</v>
          </cell>
          <cell r="K134">
            <v>5.7500000000000002E-2</v>
          </cell>
          <cell r="L134">
            <v>47285</v>
          </cell>
          <cell r="M134" t="str">
            <v>USA</v>
          </cell>
          <cell r="N134" t="str">
            <v>USD</v>
          </cell>
          <cell r="O134" t="str">
            <v>TBD</v>
          </cell>
          <cell r="P134" t="str">
            <v>Y</v>
          </cell>
          <cell r="Q134" t="str">
            <v>N</v>
          </cell>
          <cell r="R134" t="str">
            <v>Maintenance Covenants</v>
          </cell>
          <cell r="S134" t="str">
            <v>No</v>
          </cell>
          <cell r="T134">
            <v>45716</v>
          </cell>
          <cell r="V134">
            <v>5.686268218901823</v>
          </cell>
          <cell r="W134">
            <v>21.818000000000001</v>
          </cell>
          <cell r="X134">
            <v>90</v>
          </cell>
          <cell r="Y134">
            <v>21.611105818339698</v>
          </cell>
          <cell r="Z134">
            <v>2.0981656134310387</v>
          </cell>
          <cell r="AA134">
            <v>4.0257079268090825</v>
          </cell>
          <cell r="AB134">
            <v>5.4138830739846275</v>
          </cell>
          <cell r="AC134">
            <v>45716</v>
          </cell>
          <cell r="AD134">
            <v>5.686268218901823</v>
          </cell>
          <cell r="AE134">
            <v>1.6605602920927405</v>
          </cell>
          <cell r="AF134">
            <v>7.9070033916949312</v>
          </cell>
          <cell r="AG134">
            <v>2.4931203177103036</v>
          </cell>
          <cell r="AH134">
            <v>1.1676717931372391</v>
          </cell>
          <cell r="AI134">
            <v>-0.93049382029379957</v>
          </cell>
        </row>
        <row r="135">
          <cell r="A135" t="str">
            <v>Eval</v>
          </cell>
          <cell r="B135" t="str">
            <v>EvAl (Term Loan)</v>
          </cell>
          <cell r="C135" t="str">
            <v>EvAl</v>
          </cell>
          <cell r="E135" t="str">
            <v>Healthcare &amp; Pharmaceuticals</v>
          </cell>
          <cell r="F135" t="str">
            <v>First Lien</v>
          </cell>
          <cell r="G135" t="str">
            <v>FL</v>
          </cell>
          <cell r="H135" t="str">
            <v>Senior Secured</v>
          </cell>
          <cell r="J135">
            <v>0.01</v>
          </cell>
          <cell r="K135">
            <v>5.7500000000000002E-2</v>
          </cell>
          <cell r="L135">
            <v>47613</v>
          </cell>
          <cell r="M135" t="str">
            <v>USA</v>
          </cell>
          <cell r="N135" t="str">
            <v>USD</v>
          </cell>
          <cell r="O135" t="str">
            <v>TBD</v>
          </cell>
          <cell r="P135" t="str">
            <v>Y</v>
          </cell>
          <cell r="Q135" t="str">
            <v>N</v>
          </cell>
          <cell r="R135" t="str">
            <v>Maintenance Covenants</v>
          </cell>
          <cell r="S135" t="str">
            <v>No</v>
          </cell>
          <cell r="T135">
            <v>45747</v>
          </cell>
          <cell r="V135">
            <v>3.6690951958681812</v>
          </cell>
          <cell r="W135">
            <v>12.975206</v>
          </cell>
          <cell r="X135">
            <v>56.6</v>
          </cell>
          <cell r="Y135">
            <v>15.029396000000002</v>
          </cell>
          <cell r="Z135">
            <v>2.3603291715744015</v>
          </cell>
          <cell r="AA135">
            <v>3.4980615322132702</v>
          </cell>
          <cell r="AB135">
            <v>3.4980615322132702</v>
          </cell>
          <cell r="AC135">
            <v>45747</v>
          </cell>
          <cell r="AD135">
            <v>3.6690951958681812</v>
          </cell>
          <cell r="AE135">
            <v>0.17103366365491102</v>
          </cell>
          <cell r="AF135">
            <v>3.6690951958681812</v>
          </cell>
          <cell r="AG135">
            <v>0.17103366365491102</v>
          </cell>
          <cell r="AH135">
            <v>2.5409656397379172</v>
          </cell>
          <cell r="AI135">
            <v>0.18063646816351575</v>
          </cell>
        </row>
        <row r="136">
          <cell r="A136" t="str">
            <v>RTIC</v>
          </cell>
          <cell r="B136" t="str">
            <v>RTIC (TL)</v>
          </cell>
          <cell r="C136" t="str">
            <v>RTIC</v>
          </cell>
          <cell r="E136" t="str">
            <v>Consumer goods: durable</v>
          </cell>
          <cell r="F136" t="str">
            <v>First Lien</v>
          </cell>
          <cell r="G136" t="str">
            <v>FL</v>
          </cell>
          <cell r="H136" t="str">
            <v>Senior Secured</v>
          </cell>
          <cell r="J136">
            <v>0.01</v>
          </cell>
          <cell r="K136">
            <v>5.7500000000000002E-2</v>
          </cell>
          <cell r="L136">
            <v>47241</v>
          </cell>
          <cell r="M136" t="str">
            <v>USA</v>
          </cell>
          <cell r="N136" t="str">
            <v>USD</v>
          </cell>
          <cell r="O136" t="str">
            <v>TBD</v>
          </cell>
          <cell r="P136" t="str">
            <v>Y</v>
          </cell>
          <cell r="Q136" t="str">
            <v>N</v>
          </cell>
          <cell r="R136" t="str">
            <v>Maintenance Covenants</v>
          </cell>
          <cell r="S136" t="str">
            <v>No</v>
          </cell>
          <cell r="T136">
            <v>45747</v>
          </cell>
          <cell r="V136">
            <v>4.2783340960272067</v>
          </cell>
          <cell r="W136">
            <v>30.847492329444467</v>
          </cell>
          <cell r="X136">
            <v>130</v>
          </cell>
          <cell r="Y136">
            <v>29.1311189009845</v>
          </cell>
          <cell r="Z136">
            <v>1.6585115393644505</v>
          </cell>
          <cell r="AA136">
            <v>4.3231286253733252</v>
          </cell>
          <cell r="AB136">
            <v>4.3231286253733252</v>
          </cell>
          <cell r="AC136">
            <v>45747</v>
          </cell>
          <cell r="AD136">
            <v>4.2783340960272067</v>
          </cell>
          <cell r="AE136">
            <v>-4.4794529346118495E-2</v>
          </cell>
          <cell r="AF136">
            <v>4.2783340960272067</v>
          </cell>
          <cell r="AG136">
            <v>-4.4794529346118495E-2</v>
          </cell>
          <cell r="AH136">
            <v>1.7930333851776667</v>
          </cell>
          <cell r="AI136">
            <v>0.13452184581321625</v>
          </cell>
        </row>
        <row r="137">
          <cell r="A137" t="str">
            <v>Health-E Commerce</v>
          </cell>
          <cell r="B137" t="str">
            <v>Health-E Commerce (Term Loan)</v>
          </cell>
          <cell r="C137" t="str">
            <v>Health-E Commerce</v>
          </cell>
          <cell r="E137" t="str">
            <v>Healthcare &amp; Pharmaceuticals</v>
          </cell>
          <cell r="F137" t="str">
            <v>First Lien</v>
          </cell>
          <cell r="G137" t="str">
            <v>FL</v>
          </cell>
          <cell r="H137" t="str">
            <v>Senior Secured</v>
          </cell>
          <cell r="J137">
            <v>0.01</v>
          </cell>
          <cell r="K137">
            <v>5.5E-2</v>
          </cell>
          <cell r="L137">
            <v>47286</v>
          </cell>
          <cell r="M137" t="str">
            <v>USA</v>
          </cell>
          <cell r="N137" t="str">
            <v>USD</v>
          </cell>
          <cell r="O137" t="str">
            <v>TBD</v>
          </cell>
          <cell r="P137" t="str">
            <v>Y</v>
          </cell>
          <cell r="Q137" t="str">
            <v>N</v>
          </cell>
          <cell r="R137" t="str">
            <v>Maintenance Covenants</v>
          </cell>
          <cell r="S137" t="str">
            <v>No</v>
          </cell>
          <cell r="T137">
            <v>45716</v>
          </cell>
          <cell r="V137">
            <v>3.9063921719251633</v>
          </cell>
          <cell r="W137">
            <v>58.283953036336797</v>
          </cell>
          <cell r="X137">
            <v>250</v>
          </cell>
          <cell r="Y137">
            <v>51.6</v>
          </cell>
          <cell r="Z137">
            <v>1.8901098901098901</v>
          </cell>
          <cell r="AA137">
            <v>4.8080052696838189</v>
          </cell>
          <cell r="AB137">
            <v>4.8080052696838189</v>
          </cell>
          <cell r="AC137">
            <v>45716</v>
          </cell>
          <cell r="AD137">
            <v>3.9063921719251633</v>
          </cell>
          <cell r="AE137">
            <v>-0.90161309775865561</v>
          </cell>
          <cell r="AF137">
            <v>3.9063921719251633</v>
          </cell>
          <cell r="AG137">
            <v>-0.90161309775865561</v>
          </cell>
          <cell r="AH137">
            <v>2.2577367015767793</v>
          </cell>
          <cell r="AI137">
            <v>0.36762681146688925</v>
          </cell>
        </row>
        <row r="138">
          <cell r="A138" t="str">
            <v>Beacon Behavioral</v>
          </cell>
          <cell r="B138" t="str">
            <v>Beacon Behavioral (Term Loan)</v>
          </cell>
          <cell r="C138" t="str">
            <v>Beacon Behavioral</v>
          </cell>
          <cell r="E138" t="str">
            <v>Healthcare &amp; Pharmaceuticals</v>
          </cell>
          <cell r="F138" t="str">
            <v>First Lien</v>
          </cell>
          <cell r="G138" t="str">
            <v>FL</v>
          </cell>
          <cell r="H138" t="str">
            <v>Senior Secured</v>
          </cell>
          <cell r="J138">
            <v>0.01</v>
          </cell>
          <cell r="K138">
            <v>5.5E-2</v>
          </cell>
          <cell r="L138">
            <v>47290</v>
          </cell>
          <cell r="M138" t="str">
            <v>USA</v>
          </cell>
          <cell r="N138" t="str">
            <v>USD</v>
          </cell>
          <cell r="O138" t="str">
            <v>TBD</v>
          </cell>
          <cell r="P138" t="str">
            <v>Y</v>
          </cell>
          <cell r="Q138" t="str">
            <v>N</v>
          </cell>
          <cell r="R138" t="str">
            <v>Maintenance Covenants</v>
          </cell>
          <cell r="S138" t="str">
            <v>No</v>
          </cell>
          <cell r="T138">
            <v>45716</v>
          </cell>
          <cell r="V138">
            <v>4.9021373134500354</v>
          </cell>
          <cell r="W138">
            <v>22.015997812603914</v>
          </cell>
          <cell r="X138">
            <v>67.5</v>
          </cell>
          <cell r="Y138">
            <v>16.872357685618901</v>
          </cell>
          <cell r="Z138">
            <v>2.1912152838466104</v>
          </cell>
          <cell r="AA138">
            <v>3.8076241224875207</v>
          </cell>
          <cell r="AB138">
            <v>4.424473171118998</v>
          </cell>
          <cell r="AC138">
            <v>45716</v>
          </cell>
          <cell r="AD138">
            <v>4.9021373134500354</v>
          </cell>
          <cell r="AE138">
            <v>1.0945131909625148</v>
          </cell>
          <cell r="AF138">
            <v>5.4872035779745474</v>
          </cell>
          <cell r="AG138">
            <v>1.0627304068555494</v>
          </cell>
          <cell r="AH138">
            <v>2.4399881240087282</v>
          </cell>
          <cell r="AI138">
            <v>0.24877284016211787</v>
          </cell>
        </row>
        <row r="139">
          <cell r="A139" t="str">
            <v>Compex Legal</v>
          </cell>
          <cell r="B139" t="str">
            <v>Compex (TL)</v>
          </cell>
          <cell r="C139" t="str">
            <v>Compex Legal</v>
          </cell>
          <cell r="E139" t="str">
            <v>Services: Business</v>
          </cell>
          <cell r="F139" t="str">
            <v>First Lien</v>
          </cell>
          <cell r="G139" t="str">
            <v>FL</v>
          </cell>
          <cell r="H139" t="str">
            <v>Senior Secured</v>
          </cell>
          <cell r="J139">
            <v>0.01</v>
          </cell>
          <cell r="K139">
            <v>5.2499999999999998E-2</v>
          </cell>
          <cell r="L139">
            <v>46062</v>
          </cell>
          <cell r="M139" t="str">
            <v>USA</v>
          </cell>
          <cell r="N139" t="str">
            <v>USD</v>
          </cell>
          <cell r="O139" t="str">
            <v>TBD</v>
          </cell>
          <cell r="P139" t="str">
            <v>Y</v>
          </cell>
          <cell r="Q139" t="str">
            <v>N</v>
          </cell>
          <cell r="R139" t="str">
            <v>Maintenance Covenants</v>
          </cell>
          <cell r="S139" t="str">
            <v>No</v>
          </cell>
          <cell r="T139">
            <v>45716</v>
          </cell>
          <cell r="V139">
            <v>3.2655463075862805</v>
          </cell>
          <cell r="W139">
            <v>18.863</v>
          </cell>
          <cell r="X139">
            <v>55.3</v>
          </cell>
          <cell r="Y139">
            <v>12.6005</v>
          </cell>
          <cell r="Z139">
            <v>3.0424372712741405</v>
          </cell>
          <cell r="AA139">
            <v>4.9569461529304384</v>
          </cell>
          <cell r="AB139">
            <v>4.9569461529304384</v>
          </cell>
          <cell r="AC139">
            <v>45716</v>
          </cell>
          <cell r="AD139">
            <v>3.2655463075862805</v>
          </cell>
          <cell r="AE139">
            <v>-1.6913998453441579</v>
          </cell>
          <cell r="AF139">
            <v>4.2463022848963581</v>
          </cell>
          <cell r="AG139">
            <v>-0.71064386803408031</v>
          </cell>
          <cell r="AH139">
            <v>2.1496296296296293</v>
          </cell>
          <cell r="AI139">
            <v>-0.89280764164451121</v>
          </cell>
        </row>
        <row r="140">
          <cell r="A140" t="str">
            <v>Confluent Health</v>
          </cell>
          <cell r="B140" t="str">
            <v>Confluent Health (Incremental TL)</v>
          </cell>
          <cell r="C140" t="str">
            <v>Confluent Health</v>
          </cell>
          <cell r="E140" t="str">
            <v>Healthcare &amp; Pharmaceuticals</v>
          </cell>
          <cell r="F140" t="str">
            <v>First Lien</v>
          </cell>
          <cell r="G140" t="str">
            <v>FL</v>
          </cell>
          <cell r="H140" t="str">
            <v>Senior Secured</v>
          </cell>
          <cell r="J140">
            <v>0.01</v>
          </cell>
          <cell r="K140">
            <v>7.4999999999999997E-2</v>
          </cell>
          <cell r="L140">
            <v>47087</v>
          </cell>
          <cell r="M140" t="str">
            <v>USA</v>
          </cell>
          <cell r="N140" t="str">
            <v>USD</v>
          </cell>
          <cell r="O140" t="str">
            <v>TBD</v>
          </cell>
          <cell r="P140" t="str">
            <v>Y</v>
          </cell>
          <cell r="Q140" t="str">
            <v>N</v>
          </cell>
          <cell r="R140" t="str">
            <v>Maintenance Covenants</v>
          </cell>
          <cell r="S140" t="str">
            <v>No</v>
          </cell>
          <cell r="T140">
            <v>45565</v>
          </cell>
          <cell r="V140">
            <v>4.7598733037882033</v>
          </cell>
          <cell r="W140">
            <v>169.600651</v>
          </cell>
          <cell r="X140">
            <v>125</v>
          </cell>
          <cell r="Y140">
            <v>106.3</v>
          </cell>
          <cell r="Z140">
            <v>5.0800477897252092</v>
          </cell>
          <cell r="AA140">
            <v>4.1862652869238008</v>
          </cell>
          <cell r="AB140">
            <v>4.1862652869238008</v>
          </cell>
          <cell r="AC140">
            <v>45565</v>
          </cell>
          <cell r="AD140">
            <v>4.7598733037882033</v>
          </cell>
          <cell r="AE140">
            <v>0.57360801686440244</v>
          </cell>
          <cell r="AF140">
            <v>4.7987882487550122</v>
          </cell>
          <cell r="AG140">
            <v>0.61252296183121135</v>
          </cell>
          <cell r="AH140">
            <v>2.4606168040447742</v>
          </cell>
          <cell r="AI140">
            <v>-2.619430985680435</v>
          </cell>
        </row>
        <row r="141">
          <cell r="A141" t="str">
            <v>US Fertility</v>
          </cell>
          <cell r="B141" t="str">
            <v>US Fertility (Term Loan)</v>
          </cell>
          <cell r="C141" t="str">
            <v>US Fertility</v>
          </cell>
          <cell r="E141" t="str">
            <v>Healthcare &amp; Pharmaceuticals</v>
          </cell>
          <cell r="F141" t="str">
            <v>First Lien</v>
          </cell>
          <cell r="G141" t="str">
            <v>FL</v>
          </cell>
          <cell r="H141" t="str">
            <v>Senior Secured</v>
          </cell>
          <cell r="J141">
            <v>0.01</v>
          </cell>
          <cell r="K141">
            <v>4.4999999999999998E-2</v>
          </cell>
          <cell r="L141">
            <v>48132</v>
          </cell>
          <cell r="M141" t="str">
            <v>USA</v>
          </cell>
          <cell r="N141" t="str">
            <v>USD</v>
          </cell>
          <cell r="O141" t="str">
            <v>TBD</v>
          </cell>
          <cell r="P141" t="str">
            <v>Y</v>
          </cell>
          <cell r="Q141" t="str">
            <v>Y</v>
          </cell>
          <cell r="R141" t="str">
            <v>Maintenance Covenants</v>
          </cell>
          <cell r="S141" t="str">
            <v>No</v>
          </cell>
          <cell r="T141">
            <v>45657</v>
          </cell>
          <cell r="V141">
            <v>4.250890233362143</v>
          </cell>
          <cell r="W141">
            <v>115.7</v>
          </cell>
          <cell r="X141">
            <v>550</v>
          </cell>
          <cell r="Y141">
            <v>110.91983311059916</v>
          </cell>
          <cell r="Z141">
            <v>2.07326790860933</v>
          </cell>
          <cell r="AA141">
            <v>4.6875178995129705</v>
          </cell>
          <cell r="AB141">
            <v>4.6875178995129705</v>
          </cell>
          <cell r="AC141">
            <v>45657</v>
          </cell>
          <cell r="AD141">
            <v>4.250890233362143</v>
          </cell>
          <cell r="AE141">
            <v>-0.43662766615082749</v>
          </cell>
          <cell r="AF141">
            <v>4.250890233362143</v>
          </cell>
          <cell r="AG141">
            <v>-0.43662766615082749</v>
          </cell>
          <cell r="AH141">
            <v>1.6915204678362572</v>
          </cell>
          <cell r="AI141">
            <v>-0.38174744077307277</v>
          </cell>
        </row>
        <row r="142">
          <cell r="A142" t="str">
            <v>C5MI</v>
          </cell>
          <cell r="B142" t="str">
            <v>C5MI (Term Loan)</v>
          </cell>
          <cell r="C142" t="str">
            <v>C5MI</v>
          </cell>
          <cell r="E142" t="str">
            <v>Services: Business</v>
          </cell>
          <cell r="F142" t="str">
            <v>First Lien</v>
          </cell>
          <cell r="G142" t="str">
            <v>FL</v>
          </cell>
          <cell r="H142" t="str">
            <v>Senior Secured</v>
          </cell>
          <cell r="J142">
            <v>0.01</v>
          </cell>
          <cell r="K142">
            <v>0.06</v>
          </cell>
          <cell r="L142">
            <v>47695</v>
          </cell>
          <cell r="M142" t="str">
            <v>USA</v>
          </cell>
          <cell r="N142" t="str">
            <v>USD</v>
          </cell>
          <cell r="O142" t="str">
            <v>TBD</v>
          </cell>
          <cell r="P142" t="str">
            <v>Y</v>
          </cell>
          <cell r="Q142" t="str">
            <v>Y</v>
          </cell>
          <cell r="R142" t="str">
            <v>Maintenance Covenants</v>
          </cell>
          <cell r="S142" t="str">
            <v>No</v>
          </cell>
          <cell r="T142">
            <v>45716</v>
          </cell>
          <cell r="V142">
            <v>5.1127308845994435</v>
          </cell>
          <cell r="W142">
            <v>15.613156999999999</v>
          </cell>
          <cell r="X142">
            <v>80</v>
          </cell>
          <cell r="Y142">
            <v>19.997243964960816</v>
          </cell>
          <cell r="Z142">
            <v>2.177466643686961</v>
          </cell>
          <cell r="AA142">
            <v>4.3355974529248034</v>
          </cell>
          <cell r="AB142">
            <v>4.3355974529248034</v>
          </cell>
          <cell r="AC142">
            <v>45716</v>
          </cell>
          <cell r="AD142">
            <v>5.1127308845994435</v>
          </cell>
          <cell r="AE142">
            <v>0.77713343167464011</v>
          </cell>
          <cell r="AF142">
            <v>5.5418561409457423</v>
          </cell>
          <cell r="AG142">
            <v>1.2062586880209389</v>
          </cell>
          <cell r="AH142">
            <v>1.7344097978227058</v>
          </cell>
          <cell r="AI142">
            <v>-0.4430568458642552</v>
          </cell>
        </row>
        <row r="143">
          <cell r="A143" t="str">
            <v>Archer Lewis</v>
          </cell>
          <cell r="B143" t="str">
            <v>Archer Lewis (Term Loan)</v>
          </cell>
          <cell r="C143" t="str">
            <v>Archer Lewis</v>
          </cell>
          <cell r="E143" t="str">
            <v>Services: Business</v>
          </cell>
          <cell r="F143" t="str">
            <v>First Lien</v>
          </cell>
          <cell r="G143" t="str">
            <v>FL</v>
          </cell>
          <cell r="H143" t="str">
            <v>Senior Secured</v>
          </cell>
          <cell r="J143">
            <v>0.01</v>
          </cell>
          <cell r="K143">
            <v>5.7500000000000002E-2</v>
          </cell>
          <cell r="L143">
            <v>47358</v>
          </cell>
          <cell r="M143" t="str">
            <v>USA</v>
          </cell>
          <cell r="N143" t="str">
            <v>USD</v>
          </cell>
          <cell r="O143" t="str">
            <v>TBD</v>
          </cell>
          <cell r="P143" t="str">
            <v>Y</v>
          </cell>
          <cell r="Q143" t="str">
            <v>Y</v>
          </cell>
          <cell r="R143" t="str">
            <v>Maintenance Covenants</v>
          </cell>
          <cell r="S143" t="str">
            <v>No</v>
          </cell>
          <cell r="T143">
            <v>45716</v>
          </cell>
          <cell r="V143">
            <v>4.5132407183866903</v>
          </cell>
          <cell r="W143">
            <v>14.222627354772584</v>
          </cell>
          <cell r="X143">
            <v>40</v>
          </cell>
          <cell r="Y143">
            <v>11.436291255380883</v>
          </cell>
          <cell r="Z143">
            <v>2.5531083135494543</v>
          </cell>
          <cell r="AA143">
            <v>3.4364287444593526</v>
          </cell>
          <cell r="AB143">
            <v>3.4364287444593526</v>
          </cell>
          <cell r="AC143">
            <v>45716</v>
          </cell>
          <cell r="AD143">
            <v>4.5132407183866903</v>
          </cell>
          <cell r="AE143">
            <v>1.0768119739273376</v>
          </cell>
          <cell r="AF143">
            <v>4.5132407183866903</v>
          </cell>
          <cell r="AG143">
            <v>1.0768119739273376</v>
          </cell>
          <cell r="AH143">
            <v>3.1751471984329425</v>
          </cell>
          <cell r="AI143">
            <v>0.62203888488348813</v>
          </cell>
        </row>
        <row r="144">
          <cell r="A144" t="str">
            <v>Case Works</v>
          </cell>
          <cell r="B144" t="str">
            <v xml:space="preserve">Case Works Group (Term Loan) </v>
          </cell>
          <cell r="C144" t="str">
            <v>Case Works Group</v>
          </cell>
          <cell r="E144" t="str">
            <v>Services: Business</v>
          </cell>
          <cell r="F144" t="str">
            <v>First Lien</v>
          </cell>
          <cell r="G144" t="str">
            <v>FL</v>
          </cell>
          <cell r="H144" t="str">
            <v>Senior Secured</v>
          </cell>
          <cell r="J144">
            <v>0.01</v>
          </cell>
          <cell r="K144">
            <v>5.2499999999999998E-2</v>
          </cell>
          <cell r="L144">
            <v>47392</v>
          </cell>
          <cell r="M144" t="str">
            <v>USA</v>
          </cell>
          <cell r="N144" t="str">
            <v>USD</v>
          </cell>
          <cell r="O144" t="str">
            <v>TBD</v>
          </cell>
          <cell r="P144" t="str">
            <v>Y</v>
          </cell>
          <cell r="Q144" t="str">
            <v>Y</v>
          </cell>
          <cell r="R144" t="str">
            <v>Maintenance Covenants</v>
          </cell>
          <cell r="S144" t="str">
            <v>No</v>
          </cell>
          <cell r="T144">
            <v>45716</v>
          </cell>
          <cell r="V144">
            <v>4.3945970742600933</v>
          </cell>
          <cell r="W144">
            <v>19.945155573735413</v>
          </cell>
          <cell r="X144">
            <v>83.5</v>
          </cell>
          <cell r="Y144">
            <v>28.019479251625501</v>
          </cell>
          <cell r="Z144">
            <v>2.2183007873550942</v>
          </cell>
          <cell r="AA144">
            <v>2.9586559855565735</v>
          </cell>
          <cell r="AB144">
            <v>2.9586559855565735</v>
          </cell>
          <cell r="AC144">
            <v>45716</v>
          </cell>
          <cell r="AD144">
            <v>4.3945970742600933</v>
          </cell>
          <cell r="AE144">
            <v>1.4359410887035198</v>
          </cell>
          <cell r="AF144">
            <v>4.3945970742600933</v>
          </cell>
          <cell r="AG144">
            <v>1.4359410887035198</v>
          </cell>
          <cell r="AH144">
            <v>1.5790569808884065</v>
          </cell>
          <cell r="AI144">
            <v>-0.63924380646668766</v>
          </cell>
        </row>
        <row r="145">
          <cell r="A145" t="str">
            <v>Par Excellence</v>
          </cell>
          <cell r="B145" t="str">
            <v>PAR Excellence (Term Loan)</v>
          </cell>
          <cell r="C145" t="str">
            <v>PAR Excellence</v>
          </cell>
          <cell r="E145" t="str">
            <v>Healthcare &amp; Pharmaceuticals</v>
          </cell>
          <cell r="F145" t="str">
            <v>First Lien</v>
          </cell>
          <cell r="G145" t="str">
            <v>FL</v>
          </cell>
          <cell r="H145" t="str">
            <v>Senior Secured</v>
          </cell>
          <cell r="J145">
            <v>0.01</v>
          </cell>
          <cell r="K145">
            <v>0.05</v>
          </cell>
          <cell r="L145">
            <v>47729</v>
          </cell>
          <cell r="M145" t="str">
            <v>USA</v>
          </cell>
          <cell r="N145" t="str">
            <v>USD</v>
          </cell>
          <cell r="O145" t="str">
            <v>TBD</v>
          </cell>
          <cell r="P145" t="str">
            <v>Y</v>
          </cell>
          <cell r="Q145" t="str">
            <v>N</v>
          </cell>
          <cell r="R145" t="str">
            <v>Maintenance Covenants</v>
          </cell>
          <cell r="S145" t="str">
            <v>No</v>
          </cell>
          <cell r="T145">
            <v>45716</v>
          </cell>
          <cell r="V145">
            <v>4.088542782591845</v>
          </cell>
          <cell r="W145">
            <v>38.594190739999995</v>
          </cell>
          <cell r="X145">
            <v>65</v>
          </cell>
          <cell r="Y145">
            <v>17.779</v>
          </cell>
          <cell r="Z145">
            <v>2.6049816849816847</v>
          </cell>
          <cell r="AA145">
            <v>3.301648011699196</v>
          </cell>
          <cell r="AB145">
            <v>3.301648011699196</v>
          </cell>
          <cell r="AC145">
            <v>45716</v>
          </cell>
          <cell r="AD145">
            <v>4.088542782591845</v>
          </cell>
          <cell r="AE145">
            <v>0.78689477089264903</v>
          </cell>
          <cell r="AF145">
            <v>4.088542782591845</v>
          </cell>
          <cell r="AG145">
            <v>0.78689477089264903</v>
          </cell>
          <cell r="AH145">
            <v>2.4899477896774189</v>
          </cell>
          <cell r="AI145">
            <v>-0.11503389530426578</v>
          </cell>
        </row>
        <row r="146">
          <cell r="A146" t="str">
            <v>Harris &amp; Co.</v>
          </cell>
          <cell r="B146" t="str">
            <v>Harris (DDTL A)</v>
          </cell>
          <cell r="C146" t="str">
            <v>Harris</v>
          </cell>
          <cell r="E146" t="str">
            <v>Services: Business</v>
          </cell>
          <cell r="F146" t="str">
            <v>First Lien</v>
          </cell>
          <cell r="G146" t="str">
            <v>FL</v>
          </cell>
          <cell r="H146" t="str">
            <v>Senior Secured</v>
          </cell>
          <cell r="J146">
            <v>0.01</v>
          </cell>
          <cell r="K146">
            <v>0.05</v>
          </cell>
          <cell r="L146">
            <v>47704</v>
          </cell>
          <cell r="M146" t="str">
            <v>USA</v>
          </cell>
          <cell r="N146" t="str">
            <v>USD</v>
          </cell>
          <cell r="O146" t="str">
            <v>TBD</v>
          </cell>
          <cell r="P146" t="str">
            <v>Y</v>
          </cell>
          <cell r="Q146" t="str">
            <v>Y</v>
          </cell>
          <cell r="R146" t="str">
            <v>Maintenance Covenants</v>
          </cell>
          <cell r="S146" t="str">
            <v>No</v>
          </cell>
          <cell r="T146">
            <v>45747</v>
          </cell>
          <cell r="V146">
            <v>3.6245034634450608</v>
          </cell>
          <cell r="W146">
            <v>30.461000000000002</v>
          </cell>
          <cell r="X146">
            <v>75</v>
          </cell>
          <cell r="Y146">
            <v>21.448752267987395</v>
          </cell>
          <cell r="Z146">
            <v>3.7827486584684502</v>
          </cell>
          <cell r="AA146">
            <v>2.4436852710648691</v>
          </cell>
          <cell r="AB146">
            <v>2.4436852710648691</v>
          </cell>
          <cell r="AC146">
            <v>45747</v>
          </cell>
          <cell r="AD146">
            <v>3.6245034634450608</v>
          </cell>
          <cell r="AE146">
            <v>1.1808181923801917</v>
          </cell>
          <cell r="AF146">
            <v>3.6245034634450608</v>
          </cell>
          <cell r="AG146">
            <v>1.1808181923801917</v>
          </cell>
          <cell r="AH146">
            <v>5.3721682942641173</v>
          </cell>
          <cell r="AI146">
            <v>1.5894196357956671</v>
          </cell>
        </row>
        <row r="147">
          <cell r="A147" t="str">
            <v>RRA CORPORATE, LLC</v>
          </cell>
          <cell r="B147" t="str">
            <v>Roofed Right America (Term Loan)</v>
          </cell>
          <cell r="C147" t="str">
            <v>Roofed Right America</v>
          </cell>
          <cell r="E147" t="str">
            <v>Services: Consumer</v>
          </cell>
          <cell r="F147" t="str">
            <v>First Lien</v>
          </cell>
          <cell r="G147" t="str">
            <v>FL</v>
          </cell>
          <cell r="H147" t="str">
            <v>Senior Secured</v>
          </cell>
          <cell r="J147">
            <v>0.01</v>
          </cell>
          <cell r="K147">
            <v>5.5E-2</v>
          </cell>
          <cell r="L147">
            <v>47345</v>
          </cell>
          <cell r="M147" t="str">
            <v>USA</v>
          </cell>
          <cell r="N147" t="str">
            <v>USD</v>
          </cell>
          <cell r="O147" t="str">
            <v>TBD</v>
          </cell>
          <cell r="P147" t="str">
            <v>Y</v>
          </cell>
          <cell r="Q147" t="str">
            <v>Y</v>
          </cell>
          <cell r="R147" t="str">
            <v>Maintenance Covenants</v>
          </cell>
          <cell r="S147" t="str">
            <v>No</v>
          </cell>
          <cell r="T147">
            <v>45716</v>
          </cell>
          <cell r="V147">
            <v>5.035700526518557</v>
          </cell>
          <cell r="W147">
            <v>7.7869999999999999</v>
          </cell>
          <cell r="X147">
            <v>38</v>
          </cell>
          <cell r="Y147">
            <v>10.870763999999999</v>
          </cell>
          <cell r="Z147">
            <v>2.7245022556390976</v>
          </cell>
          <cell r="AA147">
            <v>3.627521395920287</v>
          </cell>
          <cell r="AB147">
            <v>3.627521395920287</v>
          </cell>
          <cell r="AC147">
            <v>45716</v>
          </cell>
          <cell r="AD147">
            <v>5.035700526518557</v>
          </cell>
          <cell r="AE147">
            <v>1.40817913059827</v>
          </cell>
          <cell r="AF147">
            <v>5.035700526518557</v>
          </cell>
          <cell r="AG147">
            <v>1.40817913059827</v>
          </cell>
          <cell r="AH147">
            <v>2.7623270663355801</v>
          </cell>
          <cell r="AI147">
            <v>3.7824810696482469E-2</v>
          </cell>
        </row>
        <row r="148">
          <cell r="A148" t="str">
            <v>Argano, LLC</v>
          </cell>
          <cell r="B148" t="str">
            <v>Argano (Term Loan)</v>
          </cell>
          <cell r="C148" t="str">
            <v>Argano</v>
          </cell>
          <cell r="E148" t="str">
            <v>Services: Business</v>
          </cell>
          <cell r="F148" t="str">
            <v>First Lien</v>
          </cell>
          <cell r="G148" t="str">
            <v>FL</v>
          </cell>
          <cell r="H148" t="str">
            <v>Senior Secured</v>
          </cell>
          <cell r="J148">
            <v>0.01</v>
          </cell>
          <cell r="K148">
            <v>5.7500000000000002E-2</v>
          </cell>
          <cell r="L148">
            <v>47374</v>
          </cell>
          <cell r="M148" t="str">
            <v>USA</v>
          </cell>
          <cell r="N148" t="str">
            <v>USD</v>
          </cell>
          <cell r="O148" t="str">
            <v>TBD</v>
          </cell>
          <cell r="P148" t="str">
            <v>Y</v>
          </cell>
          <cell r="Q148" t="str">
            <v>Y</v>
          </cell>
          <cell r="R148" t="str">
            <v>Maintenance Covenants</v>
          </cell>
          <cell r="S148" t="str">
            <v>No</v>
          </cell>
          <cell r="T148">
            <v>45716</v>
          </cell>
          <cell r="V148">
            <v>3.9962263749326428</v>
          </cell>
          <cell r="W148">
            <v>61.919505999999998</v>
          </cell>
          <cell r="X148">
            <v>275</v>
          </cell>
          <cell r="Y148">
            <v>64.078433000000004</v>
          </cell>
          <cell r="Z148">
            <v>2.0712220767676768</v>
          </cell>
          <cell r="AA148">
            <v>3.5191247576232083</v>
          </cell>
          <cell r="AB148">
            <v>3.5191247576232083</v>
          </cell>
          <cell r="AC148">
            <v>45716</v>
          </cell>
          <cell r="AD148">
            <v>3.9962263749326428</v>
          </cell>
          <cell r="AE148">
            <v>0.47710161730943446</v>
          </cell>
          <cell r="AF148">
            <v>6.4187263218798938</v>
          </cell>
          <cell r="AG148">
            <v>2.8996015642566855</v>
          </cell>
          <cell r="AH148">
            <v>1.5325289917470231</v>
          </cell>
          <cell r="AI148">
            <v>-0.53869308502065372</v>
          </cell>
        </row>
        <row r="149">
          <cell r="A149" t="str">
            <v>NFS-CFP Holdings LLC</v>
          </cell>
          <cell r="B149" t="str">
            <v>Commercial Fire Protection (Term Loan)</v>
          </cell>
          <cell r="C149" t="str">
            <v>Commercial Fire Protection</v>
          </cell>
          <cell r="E149" t="str">
            <v>Services: Business</v>
          </cell>
          <cell r="F149" t="str">
            <v>First Lien</v>
          </cell>
          <cell r="G149" t="str">
            <v>FL</v>
          </cell>
          <cell r="H149" t="str">
            <v>Senior Secured</v>
          </cell>
          <cell r="J149">
            <v>0.01</v>
          </cell>
          <cell r="K149">
            <v>4.7500000000000001E-2</v>
          </cell>
          <cell r="L149">
            <v>47749</v>
          </cell>
          <cell r="M149" t="str">
            <v>USA</v>
          </cell>
          <cell r="N149" t="str">
            <v>USD</v>
          </cell>
          <cell r="O149" t="str">
            <v>TBD</v>
          </cell>
          <cell r="P149" t="str">
            <v>Y</v>
          </cell>
          <cell r="Q149" t="str">
            <v>N</v>
          </cell>
          <cell r="R149" t="str">
            <v>Maintenance Covenants</v>
          </cell>
          <cell r="S149" t="str">
            <v>No</v>
          </cell>
          <cell r="T149">
            <v>45716</v>
          </cell>
          <cell r="V149">
            <v>3.5008781388217192</v>
          </cell>
          <cell r="W149">
            <v>22.574012960932315</v>
          </cell>
          <cell r="X149">
            <v>54.3</v>
          </cell>
          <cell r="Y149">
            <v>10.208520977410892</v>
          </cell>
          <cell r="Z149">
            <v>1.8784215785394407</v>
          </cell>
          <cell r="AA149">
            <v>5.2701072093643164</v>
          </cell>
          <cell r="AB149">
            <v>5.2701072093643164</v>
          </cell>
          <cell r="AC149">
            <v>45716</v>
          </cell>
          <cell r="AD149">
            <v>3.5008781388217192</v>
          </cell>
          <cell r="AE149">
            <v>-1.7692290705425973</v>
          </cell>
          <cell r="AF149">
            <v>3.5008781388217192</v>
          </cell>
          <cell r="AG149">
            <v>-1.7692290705425973</v>
          </cell>
          <cell r="AH149">
            <v>2.8574699950547231</v>
          </cell>
          <cell r="AI149">
            <v>0.9790484165152824</v>
          </cell>
        </row>
        <row r="150">
          <cell r="A150" t="str">
            <v>GGG Midco, LLC</v>
          </cell>
          <cell r="B150" t="str">
            <v>Guild Garage Group (Term Loan)</v>
          </cell>
          <cell r="C150" t="str">
            <v>Guild Garage Group</v>
          </cell>
          <cell r="E150" t="str">
            <v>Services: Consumer</v>
          </cell>
          <cell r="F150" t="str">
            <v>First Lien</v>
          </cell>
          <cell r="G150" t="str">
            <v>FL</v>
          </cell>
          <cell r="H150" t="str">
            <v>Senior Secured</v>
          </cell>
          <cell r="J150">
            <v>0.01</v>
          </cell>
          <cell r="K150">
            <v>0.05</v>
          </cell>
          <cell r="L150">
            <v>47753</v>
          </cell>
          <cell r="M150" t="str">
            <v>USA</v>
          </cell>
          <cell r="N150" t="str">
            <v>USD</v>
          </cell>
          <cell r="O150" t="str">
            <v>TBD</v>
          </cell>
          <cell r="P150" t="str">
            <v>Y</v>
          </cell>
          <cell r="Q150" t="str">
            <v>Y</v>
          </cell>
          <cell r="R150" t="str">
            <v>Maintenance Covenants</v>
          </cell>
          <cell r="S150" t="str">
            <v>No</v>
          </cell>
          <cell r="T150">
            <v>45716</v>
          </cell>
          <cell r="V150">
            <v>3.5049196073431927</v>
          </cell>
          <cell r="W150">
            <v>19.61</v>
          </cell>
          <cell r="X150">
            <v>30.7</v>
          </cell>
          <cell r="Y150">
            <v>12.968210729385</v>
          </cell>
          <cell r="Z150">
            <v>2.7591937722095743</v>
          </cell>
          <cell r="AA150">
            <v>1.88433895083373</v>
          </cell>
          <cell r="AB150">
            <v>1.88433895083373</v>
          </cell>
          <cell r="AC150">
            <v>45716</v>
          </cell>
          <cell r="AD150">
            <v>3.5049196073431927</v>
          </cell>
          <cell r="AE150">
            <v>1.6205806565094627</v>
          </cell>
          <cell r="AF150">
            <v>3.872079219785824</v>
          </cell>
          <cell r="AG150">
            <v>1.987740268952094</v>
          </cell>
          <cell r="AH150">
            <v>2.7619718309859156</v>
          </cell>
          <cell r="AI150">
            <v>2.7780587763412967E-3</v>
          </cell>
        </row>
        <row r="151">
          <cell r="A151" t="str">
            <v>Duggal Acquisition,  LLC</v>
          </cell>
          <cell r="B151" t="str">
            <v>Duggal (Term Loan)</v>
          </cell>
          <cell r="C151" t="str">
            <v>Duggal Visual Solutions</v>
          </cell>
          <cell r="E151" t="str">
            <v>Services: Business</v>
          </cell>
          <cell r="F151" t="str">
            <v>First Lien</v>
          </cell>
          <cell r="G151" t="str">
            <v>FL</v>
          </cell>
          <cell r="H151" t="str">
            <v>Senior Secured</v>
          </cell>
          <cell r="J151">
            <v>0.01</v>
          </cell>
          <cell r="K151">
            <v>0.05</v>
          </cell>
          <cell r="L151">
            <v>47756</v>
          </cell>
          <cell r="M151" t="str">
            <v>USA</v>
          </cell>
          <cell r="N151" t="str">
            <v>USD</v>
          </cell>
          <cell r="O151" t="str">
            <v>TBD</v>
          </cell>
          <cell r="P151" t="str">
            <v>Y</v>
          </cell>
          <cell r="Q151" t="str">
            <v>N</v>
          </cell>
          <cell r="R151" t="str">
            <v>Maintenance Covenants</v>
          </cell>
          <cell r="S151" t="str">
            <v>No</v>
          </cell>
          <cell r="T151">
            <v>45716</v>
          </cell>
          <cell r="V151">
            <v>2.9743616913455697</v>
          </cell>
          <cell r="W151">
            <v>22.47151286088647</v>
          </cell>
          <cell r="X151">
            <v>79</v>
          </cell>
          <cell r="Y151">
            <v>22.650353844201252</v>
          </cell>
          <cell r="Z151">
            <v>2.9406496389745214</v>
          </cell>
          <cell r="AA151">
            <v>3.4878042322603671</v>
          </cell>
          <cell r="AB151">
            <v>3.4878042322603671</v>
          </cell>
          <cell r="AC151">
            <v>45716</v>
          </cell>
          <cell r="AD151">
            <v>2.9743616913455697</v>
          </cell>
          <cell r="AE151">
            <v>-0.51344254091479735</v>
          </cell>
          <cell r="AF151">
            <v>2.9743616913455697</v>
          </cell>
          <cell r="AG151">
            <v>-0.51344254091479735</v>
          </cell>
          <cell r="AH151">
            <v>2.5577650650417207</v>
          </cell>
          <cell r="AI151">
            <v>-0.38288457393280062</v>
          </cell>
        </row>
        <row r="152">
          <cell r="A152" t="str">
            <v>Michael Baker</v>
          </cell>
          <cell r="B152" t="str">
            <v>Michael Baker (Term Loan)</v>
          </cell>
          <cell r="C152" t="str">
            <v>Michael Baker</v>
          </cell>
          <cell r="E152" t="str">
            <v>Services: Business</v>
          </cell>
          <cell r="F152" t="str">
            <v>First Lien</v>
          </cell>
          <cell r="G152" t="str">
            <v>FL</v>
          </cell>
          <cell r="H152" t="str">
            <v>Senior Secured</v>
          </cell>
          <cell r="J152">
            <v>7.4999999999999997E-3</v>
          </cell>
          <cell r="K152">
            <v>4.7500000000000001E-2</v>
          </cell>
          <cell r="L152">
            <v>47088</v>
          </cell>
          <cell r="M152" t="str">
            <v>USA</v>
          </cell>
          <cell r="N152" t="str">
            <v>USD</v>
          </cell>
          <cell r="O152" t="str">
            <v>TBD</v>
          </cell>
          <cell r="P152" t="str">
            <v>Y</v>
          </cell>
          <cell r="Q152" t="str">
            <v>N</v>
          </cell>
          <cell r="R152" t="str">
            <v>Cov-Lite</v>
          </cell>
          <cell r="S152" t="str">
            <v>Yes</v>
          </cell>
          <cell r="T152">
            <v>45657</v>
          </cell>
          <cell r="V152">
            <v>3.7058168486454384</v>
          </cell>
          <cell r="W152">
            <v>175.11199999999999</v>
          </cell>
          <cell r="X152">
            <v>190</v>
          </cell>
          <cell r="Y152">
            <v>156.1</v>
          </cell>
          <cell r="Z152">
            <v>2.5707745261112298</v>
          </cell>
          <cell r="AA152">
            <v>3.5522101217168482</v>
          </cell>
          <cell r="AB152">
            <v>3.5522101217168482</v>
          </cell>
          <cell r="AC152">
            <v>45657</v>
          </cell>
          <cell r="AD152">
            <v>3.7058168486454384</v>
          </cell>
          <cell r="AE152">
            <v>0.15360672692859012</v>
          </cell>
          <cell r="AF152">
            <v>3.7058168486454384</v>
          </cell>
          <cell r="AG152">
            <v>0.15360672692859012</v>
          </cell>
          <cell r="AH152">
            <v>3.0605425055928408</v>
          </cell>
          <cell r="AI152">
            <v>0.48976797948161099</v>
          </cell>
        </row>
        <row r="153">
          <cell r="A153" t="str">
            <v>Sabel Systems</v>
          </cell>
          <cell r="B153" t="str">
            <v>Sabel Systems (Term Loan)</v>
          </cell>
          <cell r="C153" t="str">
            <v>Sabel Systems</v>
          </cell>
          <cell r="E153" t="str">
            <v>Services: Business</v>
          </cell>
          <cell r="F153" t="str">
            <v>First Lien</v>
          </cell>
          <cell r="G153" t="str">
            <v>FL</v>
          </cell>
          <cell r="H153" t="str">
            <v>Senior Secured</v>
          </cell>
          <cell r="J153">
            <v>0.01</v>
          </cell>
          <cell r="K153">
            <v>6.25E-2</v>
          </cell>
          <cell r="L153">
            <v>47787</v>
          </cell>
          <cell r="M153" t="str">
            <v>USA</v>
          </cell>
          <cell r="N153" t="str">
            <v>USD</v>
          </cell>
          <cell r="O153" t="str">
            <v>TBD</v>
          </cell>
          <cell r="P153" t="str">
            <v>Y</v>
          </cell>
          <cell r="Q153" t="str">
            <v>N</v>
          </cell>
          <cell r="R153" t="str">
            <v>Maintenance Covenants</v>
          </cell>
          <cell r="S153" t="str">
            <v>No</v>
          </cell>
          <cell r="T153">
            <v>45716</v>
          </cell>
          <cell r="V153">
            <v>3.1015234867504393</v>
          </cell>
          <cell r="W153">
            <v>24.359712999999999</v>
          </cell>
          <cell r="X153">
            <v>95</v>
          </cell>
          <cell r="Y153">
            <v>20</v>
          </cell>
          <cell r="Z153">
            <v>1.9230769230769229</v>
          </cell>
          <cell r="AA153">
            <v>4.75</v>
          </cell>
          <cell r="AB153">
            <v>4.75</v>
          </cell>
          <cell r="AC153">
            <v>45716</v>
          </cell>
          <cell r="AD153">
            <v>3.1015234867504393</v>
          </cell>
          <cell r="AE153">
            <v>-1.6484765132495607</v>
          </cell>
          <cell r="AF153">
            <v>3.1015234867504393</v>
          </cell>
          <cell r="AG153">
            <v>-1.6484765132495607</v>
          </cell>
          <cell r="AH153">
            <v>2.3422800961538459</v>
          </cell>
          <cell r="AI153">
            <v>0.41920317307692301</v>
          </cell>
        </row>
        <row r="154">
          <cell r="A154" t="str">
            <v>Federal Advisory Partners</v>
          </cell>
          <cell r="B154" t="str">
            <v>Federal Advisory Partners (First Lien Term Loan)</v>
          </cell>
          <cell r="C154" t="str">
            <v>Federal Advisory Partners</v>
          </cell>
          <cell r="E154" t="str">
            <v>Aerospace &amp; Defense</v>
          </cell>
          <cell r="F154" t="str">
            <v>First Lien</v>
          </cell>
          <cell r="G154" t="str">
            <v>FL</v>
          </cell>
          <cell r="H154" t="str">
            <v>Senior Secured</v>
          </cell>
          <cell r="J154">
            <v>0.01</v>
          </cell>
          <cell r="K154">
            <v>6.7500000000000004E-2</v>
          </cell>
          <cell r="L154">
            <v>47430</v>
          </cell>
          <cell r="M154" t="str">
            <v>USA</v>
          </cell>
          <cell r="N154" t="str">
            <v>USD</v>
          </cell>
          <cell r="O154" t="str">
            <v>TBD</v>
          </cell>
          <cell r="P154" t="str">
            <v>Y</v>
          </cell>
          <cell r="Q154" t="str">
            <v>N</v>
          </cell>
          <cell r="R154" t="str">
            <v>Maintenance Covenants</v>
          </cell>
          <cell r="S154" t="str">
            <v>No</v>
          </cell>
          <cell r="T154">
            <v>45716</v>
          </cell>
          <cell r="V154">
            <v>4.4216391314769723</v>
          </cell>
          <cell r="W154">
            <v>71.800262879877536</v>
          </cell>
          <cell r="X154">
            <v>335</v>
          </cell>
          <cell r="Y154">
            <v>47.274999999999999</v>
          </cell>
          <cell r="Z154">
            <v>1.6419753086419753</v>
          </cell>
          <cell r="AA154">
            <v>5.0375939849624061</v>
          </cell>
          <cell r="AB154">
            <v>5.3300118975939856</v>
          </cell>
          <cell r="AC154">
            <v>45716</v>
          </cell>
          <cell r="AD154">
            <v>4.4216391314769723</v>
          </cell>
          <cell r="AE154">
            <v>-0.61595485348543377</v>
          </cell>
          <cell r="AF154">
            <v>4.6924708862650153</v>
          </cell>
          <cell r="AG154">
            <v>-0.63754101132897034</v>
          </cell>
          <cell r="AH154">
            <v>2.2291668328924894</v>
          </cell>
          <cell r="AI154">
            <v>0.58719152425051413</v>
          </cell>
        </row>
        <row r="155">
          <cell r="A155" t="str">
            <v>Commercial Fire Protection</v>
          </cell>
          <cell r="B155" t="str">
            <v>Commercial Fire Protection (Term Loan)</v>
          </cell>
          <cell r="C155" t="str">
            <v>Commercial Fire Protection</v>
          </cell>
          <cell r="E155" t="str">
            <v>Services: Business</v>
          </cell>
          <cell r="F155" t="str">
            <v>First Lien</v>
          </cell>
          <cell r="G155" t="str">
            <v>FL</v>
          </cell>
          <cell r="H155" t="str">
            <v>Senior Secured</v>
          </cell>
          <cell r="J155">
            <v>0.01</v>
          </cell>
          <cell r="K155">
            <v>4.7500000000000001E-2</v>
          </cell>
          <cell r="L155">
            <v>47749</v>
          </cell>
          <cell r="M155" t="str">
            <v>USA</v>
          </cell>
          <cell r="N155" t="str">
            <v>USD</v>
          </cell>
          <cell r="O155" t="str">
            <v>TBD</v>
          </cell>
          <cell r="P155" t="str">
            <v>Y</v>
          </cell>
          <cell r="Q155" t="str">
            <v>N</v>
          </cell>
          <cell r="R155" t="str">
            <v>Maintenance Covenants</v>
          </cell>
          <cell r="S155" t="str">
            <v>No</v>
          </cell>
          <cell r="T155">
            <v>45716</v>
          </cell>
          <cell r="V155">
            <v>3.5008781388217192</v>
          </cell>
          <cell r="W155">
            <v>22.574012960932315</v>
          </cell>
          <cell r="X155">
            <v>54.3</v>
          </cell>
          <cell r="Y155">
            <v>10.208520977410892</v>
          </cell>
          <cell r="Z155">
            <v>1.8784215785394407</v>
          </cell>
          <cell r="AA155">
            <v>5.2701072093643164</v>
          </cell>
          <cell r="AB155">
            <v>5.2701072093643164</v>
          </cell>
          <cell r="AC155">
            <v>45716</v>
          </cell>
          <cell r="AD155">
            <v>3.5008781388217192</v>
          </cell>
          <cell r="AE155">
            <v>-1.7692290705425973</v>
          </cell>
          <cell r="AF155">
            <v>3.5008781388217192</v>
          </cell>
          <cell r="AG155">
            <v>-1.7692290705425973</v>
          </cell>
          <cell r="AH155">
            <v>2.8574699950547231</v>
          </cell>
          <cell r="AI155">
            <v>0.9790484165152824</v>
          </cell>
        </row>
        <row r="156">
          <cell r="A156" t="str">
            <v>Arcfield</v>
          </cell>
          <cell r="B156" t="str">
            <v>Arcfield (Term Loan)</v>
          </cell>
          <cell r="C156" t="str">
            <v>Arcfield</v>
          </cell>
          <cell r="E156" t="str">
            <v>Aerospace &amp; Defense</v>
          </cell>
          <cell r="F156" t="str">
            <v>First Lien</v>
          </cell>
          <cell r="G156" t="str">
            <v>FL</v>
          </cell>
          <cell r="H156" t="str">
            <v>Senior Secured</v>
          </cell>
          <cell r="J156">
            <v>0.01</v>
          </cell>
          <cell r="K156">
            <v>6.25E-2</v>
          </cell>
          <cell r="L156">
            <v>47334</v>
          </cell>
          <cell r="M156" t="str">
            <v>USA</v>
          </cell>
          <cell r="N156" t="str">
            <v>USD</v>
          </cell>
          <cell r="O156" t="str">
            <v>TBD</v>
          </cell>
          <cell r="P156" t="str">
            <v>Y</v>
          </cell>
          <cell r="Q156" t="str">
            <v>N</v>
          </cell>
          <cell r="R156" t="str">
            <v>Maintenance Covenants</v>
          </cell>
          <cell r="S156" t="str">
            <v>No</v>
          </cell>
          <cell r="T156">
            <v>45565</v>
          </cell>
          <cell r="V156">
            <v>3.9264544790652387</v>
          </cell>
          <cell r="W156">
            <v>65.727999999999994</v>
          </cell>
          <cell r="X156">
            <v>155</v>
          </cell>
          <cell r="Y156">
            <v>35.9</v>
          </cell>
          <cell r="Z156">
            <v>3.5632754342431765</v>
          </cell>
          <cell r="AA156">
            <v>3.76</v>
          </cell>
          <cell r="AB156">
            <v>3.76</v>
          </cell>
          <cell r="AC156">
            <v>45565</v>
          </cell>
          <cell r="AD156">
            <v>3.9264544790652387</v>
          </cell>
          <cell r="AE156">
            <v>0.16645447906523891</v>
          </cell>
          <cell r="AF156">
            <v>3.9264544790652387</v>
          </cell>
          <cell r="AG156">
            <v>0.16645447906523891</v>
          </cell>
          <cell r="AH156">
            <v>1.786815277966562</v>
          </cell>
          <cell r="AI156">
            <v>-1.7764601562766145</v>
          </cell>
        </row>
        <row r="157">
          <cell r="A157" t="str">
            <v>Bland Landscaping</v>
          </cell>
          <cell r="B157" t="str">
            <v>Bland Landscaping (Term Loan)</v>
          </cell>
          <cell r="C157" t="str">
            <v>Bland Landscaping</v>
          </cell>
          <cell r="E157" t="str">
            <v>Services: Business</v>
          </cell>
          <cell r="F157" t="str">
            <v>First Lien</v>
          </cell>
          <cell r="G157" t="str">
            <v>FL</v>
          </cell>
          <cell r="H157" t="str">
            <v>Senior Secured</v>
          </cell>
          <cell r="J157">
            <v>0.01</v>
          </cell>
          <cell r="K157">
            <v>4.7500000000000001E-2</v>
          </cell>
          <cell r="L157">
            <v>47807</v>
          </cell>
          <cell r="M157" t="str">
            <v>USA</v>
          </cell>
          <cell r="N157" t="str">
            <v>USD</v>
          </cell>
          <cell r="O157" t="str">
            <v>TBD</v>
          </cell>
          <cell r="P157" t="str">
            <v>Y</v>
          </cell>
          <cell r="Q157" t="str">
            <v>N</v>
          </cell>
          <cell r="R157" t="str">
            <v>Maintenance Covenants</v>
          </cell>
          <cell r="S157" t="str">
            <v>No</v>
          </cell>
          <cell r="T157">
            <v>45716</v>
          </cell>
          <cell r="V157">
            <v>4.1780534998918286</v>
          </cell>
          <cell r="W157">
            <v>13.237992524852055</v>
          </cell>
          <cell r="X157">
            <v>53</v>
          </cell>
          <cell r="Y157">
            <v>10.888</v>
          </cell>
          <cell r="Z157">
            <v>1.8772413793103448</v>
          </cell>
          <cell r="AA157">
            <v>4.1373071271124173</v>
          </cell>
          <cell r="AB157">
            <v>4.1373071271124173</v>
          </cell>
          <cell r="AC157">
            <v>45716</v>
          </cell>
          <cell r="AD157">
            <v>4.1780534998918286</v>
          </cell>
          <cell r="AE157">
            <v>4.0746372779411288E-2</v>
          </cell>
          <cell r="AF157">
            <v>4.1780534998918286</v>
          </cell>
          <cell r="AG157">
            <v>4.0746372779411288E-2</v>
          </cell>
          <cell r="AH157">
            <v>2.1039530316381527</v>
          </cell>
          <cell r="AI157">
            <v>0.22671165232780788</v>
          </cell>
        </row>
        <row r="158">
          <cell r="A158" t="str">
            <v xml:space="preserve">Lynx Technologies </v>
          </cell>
          <cell r="B158" t="str">
            <v>Lynx Technologies (TL)</v>
          </cell>
          <cell r="C158" t="str">
            <v>Lynx Technologies</v>
          </cell>
          <cell r="E158" t="str">
            <v>Aerospace &amp; Defense</v>
          </cell>
          <cell r="F158" t="str">
            <v>First Lien</v>
          </cell>
          <cell r="G158" t="str">
            <v>FL</v>
          </cell>
          <cell r="H158" t="str">
            <v>Senior Secured</v>
          </cell>
          <cell r="J158">
            <v>0.01</v>
          </cell>
          <cell r="K158">
            <v>5.8500000000000003E-2</v>
          </cell>
          <cell r="L158">
            <v>47467</v>
          </cell>
          <cell r="M158" t="str">
            <v>USA</v>
          </cell>
          <cell r="N158" t="str">
            <v>USD</v>
          </cell>
          <cell r="O158" t="str">
            <v>TBD</v>
          </cell>
          <cell r="P158" t="str">
            <v>Y</v>
          </cell>
          <cell r="Q158" t="str">
            <v>N</v>
          </cell>
          <cell r="R158" t="str">
            <v>Cov-Lite</v>
          </cell>
          <cell r="S158" t="str">
            <v>No</v>
          </cell>
          <cell r="T158">
            <v>45688</v>
          </cell>
          <cell r="V158">
            <v>3.7932843137254904</v>
          </cell>
          <cell r="W158">
            <v>20.399999999999999</v>
          </cell>
          <cell r="X158">
            <v>25.4</v>
          </cell>
          <cell r="Y158">
            <v>7.1516203608031397</v>
          </cell>
          <cell r="Z158">
            <v>2.4660759864838413</v>
          </cell>
          <cell r="AA158">
            <v>2.81</v>
          </cell>
          <cell r="AB158">
            <v>2.81</v>
          </cell>
          <cell r="AC158">
            <v>45688</v>
          </cell>
          <cell r="AD158">
            <v>3.7932843137254904</v>
          </cell>
          <cell r="AE158">
            <v>0.9832843137254903</v>
          </cell>
          <cell r="AF158">
            <v>4.2834803921568625</v>
          </cell>
          <cell r="AG158">
            <v>1.4734803921568624</v>
          </cell>
          <cell r="AH158">
            <v>2.193548387096774</v>
          </cell>
          <cell r="AI158">
            <v>-0.27252759938706728</v>
          </cell>
        </row>
        <row r="159">
          <cell r="A159" t="str">
            <v>Velocity Rail Solutions</v>
          </cell>
          <cell r="B159" t="str">
            <v>Velocity Rail Solutions (Term Loan)</v>
          </cell>
          <cell r="C159" t="str">
            <v>Velocity Rail Solutions</v>
          </cell>
          <cell r="E159" t="str">
            <v>Services: Business</v>
          </cell>
          <cell r="F159" t="str">
            <v>First Lien</v>
          </cell>
          <cell r="G159" t="str">
            <v>FL</v>
          </cell>
          <cell r="H159" t="str">
            <v>Senior Secured</v>
          </cell>
          <cell r="J159">
            <v>0.01</v>
          </cell>
          <cell r="K159">
            <v>4.7500000000000001E-2</v>
          </cell>
          <cell r="L159">
            <v>47809</v>
          </cell>
          <cell r="M159" t="str">
            <v>USA</v>
          </cell>
          <cell r="N159" t="str">
            <v>USD</v>
          </cell>
          <cell r="O159" t="str">
            <v>TBD</v>
          </cell>
          <cell r="P159" t="str">
            <v>Y</v>
          </cell>
          <cell r="Q159" t="str">
            <v>N</v>
          </cell>
          <cell r="R159" t="str">
            <v>Maintenance Covenants</v>
          </cell>
          <cell r="S159" t="str">
            <v>No</v>
          </cell>
          <cell r="T159">
            <v>45688</v>
          </cell>
          <cell r="V159">
            <v>3.870796349543693</v>
          </cell>
          <cell r="W159">
            <v>15.997999999999999</v>
          </cell>
          <cell r="X159">
            <v>72</v>
          </cell>
          <cell r="Y159">
            <v>16.096857</v>
          </cell>
          <cell r="Z159">
            <v>2.0905009090909092</v>
          </cell>
          <cell r="AA159">
            <v>4.2244271661231751</v>
          </cell>
          <cell r="AB159">
            <v>4.2244271661231751</v>
          </cell>
          <cell r="AC159">
            <v>45688</v>
          </cell>
          <cell r="AD159">
            <v>3.870796349543693</v>
          </cell>
          <cell r="AE159">
            <v>-0.35363081657948214</v>
          </cell>
          <cell r="AF159">
            <v>3.870796349543693</v>
          </cell>
          <cell r="AG159">
            <v>-0.35363081657948214</v>
          </cell>
          <cell r="AH159">
            <v>2.0776623376623373</v>
          </cell>
          <cell r="AI159">
            <v>-1.2838571428571921E-2</v>
          </cell>
        </row>
        <row r="160">
          <cell r="A160" t="str">
            <v>By Light</v>
          </cell>
          <cell r="B160" t="str">
            <v>By Light (Term Loan)</v>
          </cell>
          <cell r="C160" t="str">
            <v>By Light</v>
          </cell>
          <cell r="E160" t="str">
            <v>High Tech Industries</v>
          </cell>
          <cell r="F160" t="str">
            <v>First Lien</v>
          </cell>
          <cell r="G160" t="str">
            <v>FL</v>
          </cell>
          <cell r="H160" t="str">
            <v>Senior Secured</v>
          </cell>
          <cell r="J160">
            <v>0.01</v>
          </cell>
          <cell r="K160">
            <v>6.25E-2</v>
          </cell>
          <cell r="L160">
            <v>46342</v>
          </cell>
          <cell r="M160" t="str">
            <v>USA</v>
          </cell>
          <cell r="N160" t="str">
            <v>USD</v>
          </cell>
          <cell r="O160" t="str">
            <v>TBD</v>
          </cell>
          <cell r="P160" t="str">
            <v>Y</v>
          </cell>
          <cell r="Q160" t="str">
            <v>Y</v>
          </cell>
          <cell r="R160" t="str">
            <v>Maintenance Covenants</v>
          </cell>
          <cell r="S160" t="str">
            <v>No</v>
          </cell>
          <cell r="T160">
            <v>45747</v>
          </cell>
          <cell r="V160">
            <v>4.9760178472755356</v>
          </cell>
          <cell r="W160">
            <v>109.066731</v>
          </cell>
          <cell r="X160">
            <v>117.5</v>
          </cell>
          <cell r="Y160">
            <v>26.006</v>
          </cell>
          <cell r="Z160">
            <v>2.3641818181818182</v>
          </cell>
          <cell r="AA160">
            <v>4.4797354456663845</v>
          </cell>
          <cell r="AB160">
            <v>5.2487887410597551</v>
          </cell>
          <cell r="AC160">
            <v>45747</v>
          </cell>
          <cell r="AD160">
            <v>4.9760178472755356</v>
          </cell>
          <cell r="AE160">
            <v>0.49628240160915116</v>
          </cell>
          <cell r="AF160">
            <v>5.2120934338813178</v>
          </cell>
          <cell r="AG160">
            <v>-3.6695307178437275E-2</v>
          </cell>
          <cell r="AH160">
            <v>1.6536057060885885</v>
          </cell>
          <cell r="AI160">
            <v>-0.71057611209322968</v>
          </cell>
        </row>
        <row r="161">
          <cell r="A161" t="str">
            <v>Zips</v>
          </cell>
          <cell r="B161" t="str">
            <v>Zips (Rollup DIP Term Loan)</v>
          </cell>
          <cell r="C161" t="str">
            <v>Zips</v>
          </cell>
          <cell r="E161" t="str">
            <v>Sovereign &amp; Public Finance</v>
          </cell>
          <cell r="F161" t="str">
            <v>First Lien</v>
          </cell>
          <cell r="G161" t="str">
            <v>FL</v>
          </cell>
          <cell r="H161" t="str">
            <v>Senior Secured</v>
          </cell>
          <cell r="J161">
            <v>0.01</v>
          </cell>
          <cell r="K161">
            <v>0</v>
          </cell>
          <cell r="L161">
            <v>45940</v>
          </cell>
          <cell r="M161" t="str">
            <v>USA</v>
          </cell>
          <cell r="N161" t="str">
            <v>USD</v>
          </cell>
          <cell r="O161" t="str">
            <v>TBD</v>
          </cell>
          <cell r="P161" t="str">
            <v>Y</v>
          </cell>
          <cell r="Q161" t="str">
            <v>N</v>
          </cell>
          <cell r="R161" t="str">
            <v>Maintenance Covenants</v>
          </cell>
          <cell r="S161" t="str">
            <v>No</v>
          </cell>
          <cell r="T161">
            <v>45777</v>
          </cell>
          <cell r="V161">
            <v>4.4412692742751689</v>
          </cell>
          <cell r="W161">
            <v>50.390999999999998</v>
          </cell>
          <cell r="X161">
            <v>60</v>
          </cell>
          <cell r="Y161">
            <v>53.632999999999996</v>
          </cell>
          <cell r="Z161">
            <v>0.64212681384991133</v>
          </cell>
          <cell r="AA161">
            <v>4.1728040572035878</v>
          </cell>
          <cell r="AB161">
            <v>6.9695896183319981</v>
          </cell>
          <cell r="AC161">
            <v>45777</v>
          </cell>
          <cell r="AD161">
            <v>4.4412692742751689</v>
          </cell>
          <cell r="AE161">
            <v>0.26846521707158111</v>
          </cell>
          <cell r="AF161">
            <v>7.4179913079716622</v>
          </cell>
          <cell r="AG161">
            <v>0.44840168963966409</v>
          </cell>
          <cell r="AH161">
            <v>2.2495982142857143</v>
          </cell>
          <cell r="AI161">
            <v>1.6074714004358031</v>
          </cell>
        </row>
        <row r="162">
          <cell r="A162" t="str">
            <v>Infinity Home Services</v>
          </cell>
          <cell r="B162" t="str">
            <v>Infinity Home Services (DDTL)</v>
          </cell>
          <cell r="C162" t="str">
            <v>Infinity Home Services</v>
          </cell>
          <cell r="E162" t="str">
            <v>Services: Consumer</v>
          </cell>
          <cell r="F162" t="str">
            <v>First Lien</v>
          </cell>
          <cell r="G162" t="str">
            <v>FL</v>
          </cell>
          <cell r="H162" t="str">
            <v>Senior Secured</v>
          </cell>
          <cell r="J162">
            <v>0.01</v>
          </cell>
          <cell r="K162">
            <v>6.7500000000000004E-2</v>
          </cell>
          <cell r="L162">
            <v>47115</v>
          </cell>
          <cell r="M162" t="str">
            <v>USA</v>
          </cell>
          <cell r="N162" t="str">
            <v>USD</v>
          </cell>
          <cell r="O162" t="str">
            <v>TBD</v>
          </cell>
          <cell r="P162" t="str">
            <v>Y</v>
          </cell>
          <cell r="Q162" t="str">
            <v>Y</v>
          </cell>
          <cell r="R162" t="str">
            <v>Maintenance Covenants</v>
          </cell>
          <cell r="S162" t="str">
            <v>No</v>
          </cell>
          <cell r="T162">
            <v>45716</v>
          </cell>
          <cell r="V162">
            <v>5.1442628656404734</v>
          </cell>
          <cell r="W162">
            <v>63.210999999999999</v>
          </cell>
          <cell r="X162">
            <v>50</v>
          </cell>
          <cell r="Y162">
            <v>35.462000000000003</v>
          </cell>
          <cell r="Z162">
            <v>2.1396485406139227</v>
          </cell>
          <cell r="AA162">
            <v>3.9237907312052336</v>
          </cell>
          <cell r="AB162">
            <v>3.9237907312052336</v>
          </cell>
          <cell r="AC162">
            <v>45716</v>
          </cell>
          <cell r="AD162">
            <v>5.1442628656404734</v>
          </cell>
          <cell r="AE162">
            <v>1.2204721344352398</v>
          </cell>
          <cell r="AF162">
            <v>5.1442628656404734</v>
          </cell>
          <cell r="AG162">
            <v>1.2204721344352398</v>
          </cell>
          <cell r="AH162">
            <v>2.0660565451871222</v>
          </cell>
          <cell r="AI162">
            <v>-7.3591995426800505E-2</v>
          </cell>
        </row>
        <row r="163">
          <cell r="A163" t="str">
            <v>Infolinks</v>
          </cell>
          <cell r="B163" t="str">
            <v>Infolinks (DDTL)</v>
          </cell>
          <cell r="C163" t="str">
            <v>Infolinks</v>
          </cell>
          <cell r="E163" t="str">
            <v>Media: Advertising, Printing &amp; Publishing</v>
          </cell>
          <cell r="F163" t="str">
            <v>First Lien</v>
          </cell>
          <cell r="G163" t="str">
            <v>FL</v>
          </cell>
          <cell r="H163" t="str">
            <v>Senior Secured</v>
          </cell>
          <cell r="J163">
            <v>0.01</v>
          </cell>
          <cell r="K163">
            <v>5.5E-2</v>
          </cell>
          <cell r="L163">
            <v>46327</v>
          </cell>
          <cell r="M163" t="str">
            <v>USA</v>
          </cell>
          <cell r="N163" t="str">
            <v>USD</v>
          </cell>
          <cell r="O163" t="str">
            <v>TBD</v>
          </cell>
          <cell r="P163" t="str">
            <v>Y</v>
          </cell>
          <cell r="Q163" t="str">
            <v>N</v>
          </cell>
          <cell r="R163" t="str">
            <v>Maintenance Covenants</v>
          </cell>
          <cell r="S163" t="str">
            <v>No</v>
          </cell>
          <cell r="T163">
            <v>45716</v>
          </cell>
          <cell r="V163">
            <v>3.2535092072297247</v>
          </cell>
          <cell r="W163">
            <v>49.399276289999989</v>
          </cell>
          <cell r="X163">
            <v>25</v>
          </cell>
          <cell r="Y163">
            <v>25.84</v>
          </cell>
          <cell r="Z163">
            <v>3.5591306024627425</v>
          </cell>
          <cell r="AA163">
            <v>4</v>
          </cell>
          <cell r="AB163">
            <v>4</v>
          </cell>
          <cell r="AC163">
            <v>45716</v>
          </cell>
          <cell r="AD163">
            <v>3.2535092072297247</v>
          </cell>
          <cell r="AE163">
            <v>-0.7464907927702753</v>
          </cell>
          <cell r="AF163">
            <v>3.2535092072297247</v>
          </cell>
          <cell r="AG163">
            <v>-0.7464907927702753</v>
          </cell>
          <cell r="AH163">
            <v>3.0077525018838136</v>
          </cell>
          <cell r="AI163">
            <v>-0.55137810057892889</v>
          </cell>
        </row>
        <row r="164">
          <cell r="A164" t="str">
            <v>Emergency Care Partners</v>
          </cell>
          <cell r="B164" t="str">
            <v>Emergency Care Partners (Term Loan)</v>
          </cell>
          <cell r="C164" t="str">
            <v>Emergency Care Partners</v>
          </cell>
          <cell r="E164" t="str">
            <v>Healthcare &amp; Pharmaceuticals</v>
          </cell>
          <cell r="F164" t="str">
            <v>First Lien</v>
          </cell>
          <cell r="G164" t="str">
            <v>FL</v>
          </cell>
          <cell r="H164" t="str">
            <v>Senior Secured</v>
          </cell>
          <cell r="J164">
            <v>0.01</v>
          </cell>
          <cell r="K164">
            <v>5.5E-2</v>
          </cell>
          <cell r="L164">
            <v>46678</v>
          </cell>
          <cell r="M164" t="str">
            <v>USA</v>
          </cell>
          <cell r="N164" t="str">
            <v>USD</v>
          </cell>
          <cell r="O164" t="str">
            <v>TBD</v>
          </cell>
          <cell r="P164" t="str">
            <v>Y</v>
          </cell>
          <cell r="Q164" t="str">
            <v>Y</v>
          </cell>
          <cell r="R164" t="str">
            <v>Maintenance Covenants</v>
          </cell>
          <cell r="S164" t="str">
            <v>No</v>
          </cell>
          <cell r="T164">
            <v>45716</v>
          </cell>
          <cell r="V164">
            <v>4.6148697325400114</v>
          </cell>
          <cell r="W164">
            <v>33.678219661133753</v>
          </cell>
          <cell r="X164">
            <v>177</v>
          </cell>
          <cell r="Y164">
            <v>35.390895498587639</v>
          </cell>
          <cell r="Z164">
            <v>1.8824944414142362</v>
          </cell>
          <cell r="AA164">
            <v>4.5944019700346077</v>
          </cell>
          <cell r="AB164">
            <v>4.5944019700346077</v>
          </cell>
          <cell r="AC164">
            <v>45716</v>
          </cell>
          <cell r="AD164">
            <v>4.6148697325400114</v>
          </cell>
          <cell r="AE164">
            <v>2.0467762505403719E-2</v>
          </cell>
          <cell r="AF164">
            <v>4.6148697325400114</v>
          </cell>
          <cell r="AG164">
            <v>2.0467762505403719E-2</v>
          </cell>
          <cell r="AH164">
            <v>1.6611448565833347</v>
          </cell>
          <cell r="AI164">
            <v>-0.2213495848309015</v>
          </cell>
        </row>
        <row r="165">
          <cell r="A165" t="str">
            <v>RealmOne</v>
          </cell>
          <cell r="B165" t="str">
            <v>RealmOne (Term Loan)</v>
          </cell>
          <cell r="C165" t="str">
            <v>RealmOne</v>
          </cell>
          <cell r="E165" t="str">
            <v>Services: Business</v>
          </cell>
          <cell r="F165" t="str">
            <v>First Lien</v>
          </cell>
          <cell r="G165" t="str">
            <v>FL</v>
          </cell>
          <cell r="H165" t="str">
            <v>Senior Secured</v>
          </cell>
          <cell r="J165">
            <v>0.01</v>
          </cell>
          <cell r="K165">
            <v>5.2499999999999998E-2</v>
          </cell>
          <cell r="L165">
            <v>47834</v>
          </cell>
          <cell r="M165" t="str">
            <v>USA</v>
          </cell>
          <cell r="N165" t="str">
            <v>USD</v>
          </cell>
          <cell r="O165" t="str">
            <v>TBD</v>
          </cell>
          <cell r="P165" t="str">
            <v>Y</v>
          </cell>
          <cell r="Q165" t="str">
            <v>Y</v>
          </cell>
          <cell r="R165" t="str">
            <v>Maintenance Covenants</v>
          </cell>
          <cell r="S165" t="str">
            <v>No</v>
          </cell>
          <cell r="T165">
            <v>45716</v>
          </cell>
          <cell r="V165">
            <v>5.0326621901750501</v>
          </cell>
          <cell r="W165">
            <v>22.916578868566667</v>
          </cell>
          <cell r="X165">
            <v>120</v>
          </cell>
          <cell r="Y165">
            <v>25.092843674999902</v>
          </cell>
          <cell r="Z165">
            <v>2.1186838186868773</v>
          </cell>
          <cell r="AA165">
            <v>4.7423879709002517</v>
          </cell>
          <cell r="AB165">
            <v>4.7423879709002517</v>
          </cell>
          <cell r="AC165">
            <v>45716</v>
          </cell>
          <cell r="AD165">
            <v>5.0326621901750501</v>
          </cell>
          <cell r="AE165">
            <v>0.29027421927479846</v>
          </cell>
          <cell r="AF165">
            <v>5.0326621901750501</v>
          </cell>
          <cell r="AG165">
            <v>0.29027421927479846</v>
          </cell>
          <cell r="AH165">
            <v>1.6473026517776352</v>
          </cell>
          <cell r="AI165">
            <v>-0.47138116690924203</v>
          </cell>
        </row>
        <row r="166">
          <cell r="A166" t="str">
            <v>Seacoast Service Partners</v>
          </cell>
          <cell r="B166" t="str">
            <v>Seacoast Service Partners (Term Loan)</v>
          </cell>
          <cell r="C166" t="str">
            <v>Seacoast Service Partners</v>
          </cell>
          <cell r="E166" t="str">
            <v>Services: Consumer</v>
          </cell>
          <cell r="F166" t="str">
            <v>First Lien</v>
          </cell>
          <cell r="G166" t="str">
            <v>FL</v>
          </cell>
          <cell r="H166" t="str">
            <v>Senior Secured</v>
          </cell>
          <cell r="J166">
            <v>0.01</v>
          </cell>
          <cell r="K166">
            <v>0.05</v>
          </cell>
          <cell r="L166">
            <v>47472</v>
          </cell>
          <cell r="M166" t="str">
            <v>USA</v>
          </cell>
          <cell r="N166" t="str">
            <v>USD</v>
          </cell>
          <cell r="O166" t="str">
            <v>TBD</v>
          </cell>
          <cell r="P166" t="str">
            <v>Y</v>
          </cell>
          <cell r="Q166" t="str">
            <v>Y</v>
          </cell>
          <cell r="R166" t="str">
            <v>Maintenance Covenants</v>
          </cell>
          <cell r="S166" t="str">
            <v>No</v>
          </cell>
          <cell r="T166">
            <v>45716</v>
          </cell>
          <cell r="V166">
            <v>2.6148019241752736</v>
          </cell>
          <cell r="W166">
            <v>9.9211258298971217</v>
          </cell>
          <cell r="X166">
            <v>20</v>
          </cell>
          <cell r="Y166">
            <v>10.5</v>
          </cell>
          <cell r="Z166">
            <v>5.8189780613231763</v>
          </cell>
          <cell r="AA166">
            <v>1.9047619047619047</v>
          </cell>
          <cell r="AB166">
            <v>1.9047619047619047</v>
          </cell>
          <cell r="AC166">
            <v>45716</v>
          </cell>
          <cell r="AD166">
            <v>2.6148019241752736</v>
          </cell>
          <cell r="AE166">
            <v>0.71004001941336892</v>
          </cell>
          <cell r="AF166">
            <v>2.6148019241752736</v>
          </cell>
          <cell r="AG166">
            <v>0.71004001941336892</v>
          </cell>
          <cell r="AH166">
            <v>4.9605629149485608</v>
          </cell>
          <cell r="AI166">
            <v>-0.85841514637461547</v>
          </cell>
        </row>
        <row r="167">
          <cell r="A167" t="str">
            <v>Marketplace Events</v>
          </cell>
          <cell r="B167" t="str">
            <v>Marketplace Events (USD Term Loan)</v>
          </cell>
          <cell r="C167" t="str">
            <v>Marketplace Events</v>
          </cell>
          <cell r="E167" t="str">
            <v>Media: Diversified and Production</v>
          </cell>
          <cell r="F167" t="str">
            <v>First Lien</v>
          </cell>
          <cell r="G167" t="str">
            <v>FL</v>
          </cell>
          <cell r="H167" t="str">
            <v>Senior Secured</v>
          </cell>
          <cell r="J167">
            <v>0.01</v>
          </cell>
          <cell r="K167">
            <v>5.2499999999999998E-2</v>
          </cell>
          <cell r="L167">
            <v>47836</v>
          </cell>
          <cell r="M167" t="str">
            <v>USA</v>
          </cell>
          <cell r="N167" t="str">
            <v>USD</v>
          </cell>
          <cell r="O167" t="str">
            <v>TBD</v>
          </cell>
          <cell r="P167" t="str">
            <v>Y</v>
          </cell>
          <cell r="Q167" t="str">
            <v>Y</v>
          </cell>
          <cell r="R167" t="str">
            <v>Maintenance Covenants</v>
          </cell>
          <cell r="S167" t="str">
            <v>No</v>
          </cell>
          <cell r="T167">
            <v>45716</v>
          </cell>
          <cell r="V167">
            <v>4.9990672076862088</v>
          </cell>
          <cell r="W167">
            <v>21.440999999999999</v>
          </cell>
          <cell r="X167">
            <v>42.358068439999997</v>
          </cell>
          <cell r="Y167">
            <v>21.920999999999999</v>
          </cell>
          <cell r="Z167">
            <v>1.8287311253858345</v>
          </cell>
          <cell r="AA167">
            <v>5.1669175676292101</v>
          </cell>
          <cell r="AB167">
            <v>5.1669175676292101</v>
          </cell>
          <cell r="AC167">
            <v>45716</v>
          </cell>
          <cell r="AD167">
            <v>4.9990672076862088</v>
          </cell>
          <cell r="AE167">
            <v>-0.16785035994300124</v>
          </cell>
          <cell r="AF167">
            <v>4.9990672076862088</v>
          </cell>
          <cell r="AG167">
            <v>-0.16785035994300124</v>
          </cell>
          <cell r="AH167">
            <v>1.7568829891838742</v>
          </cell>
          <cell r="AI167">
            <v>-7.1848136201960289E-2</v>
          </cell>
        </row>
        <row r="168">
          <cell r="A168" t="str">
            <v>Molded Devices</v>
          </cell>
          <cell r="B168" t="str">
            <v>MDI (DDTL)</v>
          </cell>
          <cell r="C168" t="str">
            <v>Molded Devices</v>
          </cell>
          <cell r="E168" t="str">
            <v>Wholesale</v>
          </cell>
          <cell r="F168" t="str">
            <v>First Lien</v>
          </cell>
          <cell r="G168" t="str">
            <v>FL</v>
          </cell>
          <cell r="H168" t="str">
            <v>Senior Secured</v>
          </cell>
          <cell r="J168">
            <v>0.01</v>
          </cell>
          <cell r="K168">
            <v>0.06</v>
          </cell>
          <cell r="L168">
            <v>46959</v>
          </cell>
          <cell r="M168" t="str">
            <v>USA</v>
          </cell>
          <cell r="N168" t="str">
            <v>USD</v>
          </cell>
          <cell r="O168" t="str">
            <v>TBD</v>
          </cell>
          <cell r="P168" t="str">
            <v>Y</v>
          </cell>
          <cell r="Q168" t="str">
            <v>Y</v>
          </cell>
          <cell r="R168" t="str">
            <v>Maintenance Covenants</v>
          </cell>
          <cell r="S168" t="str">
            <v>No</v>
          </cell>
          <cell r="T168">
            <v>45716</v>
          </cell>
          <cell r="V168">
            <v>5.1521666846024381</v>
          </cell>
          <cell r="W168">
            <v>34.693124628021437</v>
          </cell>
          <cell r="X168">
            <v>35</v>
          </cell>
          <cell r="Y168">
            <v>16.100000000000001</v>
          </cell>
          <cell r="Z168">
            <v>2.3333333333333335</v>
          </cell>
          <cell r="AA168">
            <v>6.02</v>
          </cell>
          <cell r="AB168">
            <v>7.5776397515527947</v>
          </cell>
          <cell r="AC168">
            <v>45716</v>
          </cell>
          <cell r="AD168">
            <v>5.1521666846024381</v>
          </cell>
          <cell r="AE168">
            <v>-0.86783331539756148</v>
          </cell>
          <cell r="AF168">
            <v>6.6898479932762607</v>
          </cell>
          <cell r="AG168">
            <v>-0.887791758276534</v>
          </cell>
          <cell r="AH168">
            <v>1.832066546729942</v>
          </cell>
          <cell r="AI168">
            <v>-0.50126678660339152</v>
          </cell>
        </row>
        <row r="169">
          <cell r="A169" t="str">
            <v>Molded Devices</v>
          </cell>
          <cell r="B169" t="str">
            <v>MDI (DDTLB)</v>
          </cell>
          <cell r="C169" t="str">
            <v>Molded Devices</v>
          </cell>
          <cell r="E169" t="str">
            <v>Wholesale</v>
          </cell>
          <cell r="F169" t="str">
            <v>First Lien</v>
          </cell>
          <cell r="G169" t="str">
            <v>FL</v>
          </cell>
          <cell r="H169" t="str">
            <v>Senior Secured</v>
          </cell>
          <cell r="J169">
            <v>0.01</v>
          </cell>
          <cell r="K169">
            <v>6.25E-2</v>
          </cell>
          <cell r="L169">
            <v>46959</v>
          </cell>
          <cell r="M169" t="str">
            <v>USA</v>
          </cell>
          <cell r="N169" t="str">
            <v>USD</v>
          </cell>
          <cell r="O169" t="str">
            <v>TBD</v>
          </cell>
          <cell r="P169" t="str">
            <v>Y</v>
          </cell>
          <cell r="Q169" t="str">
            <v>Y</v>
          </cell>
          <cell r="R169" t="str">
            <v>Maintenance Covenants</v>
          </cell>
          <cell r="S169" t="str">
            <v>No</v>
          </cell>
          <cell r="T169">
            <v>45716</v>
          </cell>
          <cell r="V169">
            <v>5.1521666846024381</v>
          </cell>
          <cell r="W169">
            <v>34.693124628021437</v>
          </cell>
          <cell r="X169">
            <v>5</v>
          </cell>
          <cell r="Y169">
            <v>16.100000000000001</v>
          </cell>
          <cell r="Z169">
            <v>2.3333333333333335</v>
          </cell>
          <cell r="AA169">
            <v>6.02</v>
          </cell>
          <cell r="AB169">
            <v>7.5776397515527947</v>
          </cell>
          <cell r="AC169">
            <v>45716</v>
          </cell>
          <cell r="AD169">
            <v>5.1521666846024381</v>
          </cell>
          <cell r="AE169">
            <v>-0.86783331539756148</v>
          </cell>
          <cell r="AF169">
            <v>6.6898479932762607</v>
          </cell>
          <cell r="AG169">
            <v>-0.887791758276534</v>
          </cell>
          <cell r="AH169">
            <v>1.832066546729942</v>
          </cell>
          <cell r="AI169">
            <v>-0.50126678660339152</v>
          </cell>
        </row>
        <row r="170">
          <cell r="A170" t="str">
            <v>Omnia</v>
          </cell>
          <cell r="B170" t="str">
            <v>Omnia (DDTL 1)</v>
          </cell>
          <cell r="C170" t="str">
            <v>Omnia</v>
          </cell>
          <cell r="E170" t="str">
            <v>Services: Consumer</v>
          </cell>
          <cell r="F170" t="str">
            <v>First Lien</v>
          </cell>
          <cell r="G170" t="str">
            <v>FL</v>
          </cell>
          <cell r="H170" t="str">
            <v>Senior Secured</v>
          </cell>
          <cell r="J170">
            <v>0.01</v>
          </cell>
          <cell r="K170">
            <v>5.5E-2</v>
          </cell>
          <cell r="L170">
            <v>47483</v>
          </cell>
          <cell r="M170" t="str">
            <v>USA</v>
          </cell>
          <cell r="N170" t="str">
            <v>USD</v>
          </cell>
          <cell r="O170" t="str">
            <v>TBD</v>
          </cell>
          <cell r="P170" t="str">
            <v>Y</v>
          </cell>
          <cell r="Q170" t="str">
            <v>Y</v>
          </cell>
          <cell r="R170" t="str">
            <v>Maintenance Covenants</v>
          </cell>
          <cell r="S170" t="str">
            <v>No</v>
          </cell>
          <cell r="T170">
            <v>45716</v>
          </cell>
          <cell r="V170">
            <v>3.1991927162280489</v>
          </cell>
          <cell r="W170">
            <v>38.156765280437824</v>
          </cell>
          <cell r="X170">
            <v>20</v>
          </cell>
          <cell r="Y170">
            <v>14.5</v>
          </cell>
          <cell r="Z170">
            <v>2.9591836734693877</v>
          </cell>
          <cell r="AA170">
            <v>2.0689655172413794</v>
          </cell>
          <cell r="AB170">
            <v>2.0689655172413794</v>
          </cell>
          <cell r="AC170">
            <v>45716</v>
          </cell>
          <cell r="AD170">
            <v>3.1991927162280489</v>
          </cell>
          <cell r="AE170">
            <v>1.1302271989866695</v>
          </cell>
          <cell r="AF170">
            <v>3.1991927162280489</v>
          </cell>
          <cell r="AG170">
            <v>1.1302271989866695</v>
          </cell>
          <cell r="AH170">
            <v>3.5474548008472708</v>
          </cell>
          <cell r="AI170">
            <v>0.58827112737788312</v>
          </cell>
        </row>
        <row r="171">
          <cell r="A171" t="str">
            <v>Omnia</v>
          </cell>
          <cell r="B171" t="str">
            <v>Omnia (DTTL 2)</v>
          </cell>
          <cell r="C171" t="str">
            <v>Omnia</v>
          </cell>
          <cell r="E171" t="str">
            <v>Services: Consumer</v>
          </cell>
          <cell r="F171" t="str">
            <v>First Lien</v>
          </cell>
          <cell r="G171" t="str">
            <v>FL</v>
          </cell>
          <cell r="H171" t="str">
            <v>Senior Secured</v>
          </cell>
          <cell r="J171">
            <v>0.01</v>
          </cell>
          <cell r="K171">
            <v>5.5E-2</v>
          </cell>
          <cell r="L171">
            <v>47483</v>
          </cell>
          <cell r="M171" t="str">
            <v>USA</v>
          </cell>
          <cell r="N171" t="str">
            <v>USD</v>
          </cell>
          <cell r="O171" t="str">
            <v>TBD</v>
          </cell>
          <cell r="P171" t="str">
            <v>Y</v>
          </cell>
          <cell r="Q171" t="str">
            <v>Y</v>
          </cell>
          <cell r="R171" t="str">
            <v>Maintenance Covenants</v>
          </cell>
          <cell r="S171" t="str">
            <v>No</v>
          </cell>
          <cell r="T171">
            <v>45716</v>
          </cell>
          <cell r="V171">
            <v>3.1991927162280489</v>
          </cell>
          <cell r="W171">
            <v>38.156765280437824</v>
          </cell>
          <cell r="X171">
            <v>35</v>
          </cell>
          <cell r="Y171">
            <v>14.5</v>
          </cell>
          <cell r="Z171">
            <v>2.9591836734693877</v>
          </cell>
          <cell r="AA171">
            <v>2.0689655172413794</v>
          </cell>
          <cell r="AB171">
            <v>2.0689655172413794</v>
          </cell>
          <cell r="AC171">
            <v>45716</v>
          </cell>
          <cell r="AD171">
            <v>3.1991927162280489</v>
          </cell>
          <cell r="AE171">
            <v>1.1302271989866695</v>
          </cell>
          <cell r="AF171">
            <v>3.1991927162280489</v>
          </cell>
          <cell r="AG171">
            <v>1.1302271989866695</v>
          </cell>
          <cell r="AH171">
            <v>3.5474548008472708</v>
          </cell>
          <cell r="AI171">
            <v>0.58827112737788312</v>
          </cell>
        </row>
        <row r="172">
          <cell r="A172" t="str">
            <v>Rancho Medical</v>
          </cell>
          <cell r="B172" t="str">
            <v>Rancho (DDTL)</v>
          </cell>
          <cell r="C172" t="str">
            <v>Rancho Medical</v>
          </cell>
          <cell r="E172" t="str">
            <v>Healthcare &amp; Pharmaceuticals</v>
          </cell>
          <cell r="F172" t="str">
            <v>First Lien</v>
          </cell>
          <cell r="G172" t="str">
            <v>FL</v>
          </cell>
          <cell r="H172" t="str">
            <v>Senior Secured</v>
          </cell>
          <cell r="J172">
            <v>0.01</v>
          </cell>
          <cell r="K172">
            <v>5.7500000000000002E-2</v>
          </cell>
          <cell r="L172">
            <v>47289</v>
          </cell>
          <cell r="M172" t="str">
            <v>USA</v>
          </cell>
          <cell r="N172" t="str">
            <v>USD</v>
          </cell>
          <cell r="O172" t="str">
            <v>TBD</v>
          </cell>
          <cell r="P172" t="str">
            <v>Y</v>
          </cell>
          <cell r="Q172" t="str">
            <v>Y</v>
          </cell>
          <cell r="R172" t="str">
            <v>Maintenance Covenants</v>
          </cell>
          <cell r="S172" t="str">
            <v>No</v>
          </cell>
          <cell r="T172">
            <v>45716</v>
          </cell>
          <cell r="V172">
            <v>3.4026920276318626</v>
          </cell>
          <cell r="W172">
            <v>18.840077097018</v>
          </cell>
          <cell r="X172">
            <v>10</v>
          </cell>
          <cell r="Y172">
            <v>9.1189999999999998</v>
          </cell>
          <cell r="Z172">
            <v>3.8598941798941802</v>
          </cell>
          <cell r="AA172">
            <v>3.2448887728917648</v>
          </cell>
          <cell r="AB172">
            <v>3.2448887728917648</v>
          </cell>
          <cell r="AC172">
            <v>45716</v>
          </cell>
          <cell r="AD172">
            <v>3.4026920276318626</v>
          </cell>
          <cell r="AE172">
            <v>0.15780325474009782</v>
          </cell>
          <cell r="AF172">
            <v>3.4026920276318626</v>
          </cell>
          <cell r="AG172">
            <v>0.15780325474009782</v>
          </cell>
          <cell r="AH172">
            <v>2.3644280495758343</v>
          </cell>
          <cell r="AI172">
            <v>-1.4954661303183459</v>
          </cell>
        </row>
        <row r="173">
          <cell r="A173" t="str">
            <v>Solaris Health</v>
          </cell>
          <cell r="B173" t="str">
            <v>Solaris Health (DDTL)</v>
          </cell>
          <cell r="C173" t="str">
            <v>Solaris Health</v>
          </cell>
          <cell r="E173" t="str">
            <v>Healthcare &amp; Pharmaceuticals</v>
          </cell>
          <cell r="F173" t="str">
            <v>First Lien</v>
          </cell>
          <cell r="G173" t="str">
            <v>FL</v>
          </cell>
          <cell r="H173" t="str">
            <v>Senior Secured</v>
          </cell>
          <cell r="J173">
            <v>0.01</v>
          </cell>
          <cell r="K173">
            <v>5.5E-2</v>
          </cell>
          <cell r="L173">
            <v>46553</v>
          </cell>
          <cell r="M173" t="str">
            <v>USA</v>
          </cell>
          <cell r="N173" t="str">
            <v>USD</v>
          </cell>
          <cell r="O173" t="str">
            <v>TBD</v>
          </cell>
          <cell r="P173" t="str">
            <v>Y</v>
          </cell>
          <cell r="Q173" t="str">
            <v>Y</v>
          </cell>
          <cell r="R173" t="str">
            <v>Maintenance Covenants</v>
          </cell>
          <cell r="S173" t="str">
            <v>No</v>
          </cell>
          <cell r="T173">
            <v>45657</v>
          </cell>
          <cell r="V173">
            <v>4.3827134179275724</v>
          </cell>
          <cell r="W173">
            <v>115.77626012333199</v>
          </cell>
          <cell r="X173">
            <v>50</v>
          </cell>
          <cell r="Y173">
            <v>86.645686333884868</v>
          </cell>
          <cell r="Z173">
            <v>1.8948622917357196</v>
          </cell>
          <cell r="AA173">
            <v>5.5124383014231118</v>
          </cell>
          <cell r="AB173">
            <v>5.5124383014231118</v>
          </cell>
          <cell r="AC173">
            <v>45657</v>
          </cell>
          <cell r="AD173">
            <v>4.3827134179275724</v>
          </cell>
          <cell r="AE173">
            <v>-1.1297248834955393</v>
          </cell>
          <cell r="AF173">
            <v>4.3827134179275724</v>
          </cell>
          <cell r="AG173">
            <v>-1.1297248834955393</v>
          </cell>
          <cell r="AH173">
            <v>1.6708015821571267</v>
          </cell>
          <cell r="AI173">
            <v>-0.22406070957859292</v>
          </cell>
        </row>
        <row r="174">
          <cell r="A174" t="str">
            <v>Security 101</v>
          </cell>
          <cell r="B174" t="str">
            <v>Security 101 (DDTL)</v>
          </cell>
          <cell r="C174" t="e">
            <v>#N/A</v>
          </cell>
          <cell r="E174" t="e">
            <v>#N/A</v>
          </cell>
          <cell r="F174" t="e">
            <v>#N/A</v>
          </cell>
          <cell r="G174" t="str">
            <v>FL</v>
          </cell>
          <cell r="H174" t="str">
            <v>Senior Secured</v>
          </cell>
          <cell r="J174" t="e">
            <v>#N/A</v>
          </cell>
          <cell r="K174" t="e">
            <v>#N/A</v>
          </cell>
          <cell r="L174" t="e">
            <v>#N/A</v>
          </cell>
          <cell r="M174" t="str">
            <v>USA</v>
          </cell>
          <cell r="N174" t="e">
            <v>#N/A</v>
          </cell>
          <cell r="O174" t="str">
            <v>TBD</v>
          </cell>
          <cell r="P174" t="str">
            <v>Y</v>
          </cell>
          <cell r="Q174" t="str">
            <v>Y</v>
          </cell>
          <cell r="R174" t="str">
            <v>Maintenance Covenants</v>
          </cell>
          <cell r="S174" t="e">
            <v>#N/A</v>
          </cell>
          <cell r="T174" t="e">
            <v>#N/A</v>
          </cell>
          <cell r="V174" t="e">
            <v>#N/A</v>
          </cell>
          <cell r="W174" t="e">
            <v>#N/A</v>
          </cell>
          <cell r="X174" t="e">
            <v>#N/A</v>
          </cell>
          <cell r="Y174" t="e">
            <v>#N/A</v>
          </cell>
          <cell r="Z174" t="e">
            <v>#N/A</v>
          </cell>
          <cell r="AA174" t="e">
            <v>#N/A</v>
          </cell>
          <cell r="AB174" t="e">
            <v>#N/A</v>
          </cell>
          <cell r="AC174" t="e">
            <v>#N/A</v>
          </cell>
          <cell r="AD174" t="e">
            <v>#N/A</v>
          </cell>
          <cell r="AE174" t="e">
            <v>#N/A</v>
          </cell>
          <cell r="AF174" t="e">
            <v>#N/A</v>
          </cell>
          <cell r="AG174" t="e">
            <v>#N/A</v>
          </cell>
          <cell r="AH174" t="e">
            <v>#N/A</v>
          </cell>
          <cell r="AI174" t="e">
            <v>#N/A</v>
          </cell>
        </row>
        <row r="175">
          <cell r="A175" t="str">
            <v>Watchtower</v>
          </cell>
          <cell r="B175" t="str">
            <v>Watchtower (DDTL)</v>
          </cell>
          <cell r="C175" t="str">
            <v>Watchtower</v>
          </cell>
          <cell r="E175" t="str">
            <v>Services: Business</v>
          </cell>
          <cell r="F175" t="str">
            <v>First Lien</v>
          </cell>
          <cell r="G175" t="str">
            <v>FL</v>
          </cell>
          <cell r="H175" t="str">
            <v>Senior Secured</v>
          </cell>
          <cell r="J175">
            <v>0.01</v>
          </cell>
          <cell r="K175">
            <v>0.06</v>
          </cell>
          <cell r="L175">
            <v>47455</v>
          </cell>
          <cell r="M175" t="str">
            <v>USA</v>
          </cell>
          <cell r="N175" t="str">
            <v>USD</v>
          </cell>
          <cell r="O175" t="str">
            <v>TBD</v>
          </cell>
          <cell r="P175" t="str">
            <v>Y</v>
          </cell>
          <cell r="Q175" t="str">
            <v>N</v>
          </cell>
          <cell r="R175" t="str">
            <v>Maintenance Covenants</v>
          </cell>
          <cell r="S175" t="str">
            <v>No</v>
          </cell>
          <cell r="T175">
            <v>45716</v>
          </cell>
          <cell r="V175">
            <v>4.8891217526114934</v>
          </cell>
          <cell r="W175">
            <v>10.9838868241143</v>
          </cell>
          <cell r="X175">
            <v>10</v>
          </cell>
          <cell r="Y175">
            <v>10.08728105</v>
          </cell>
          <cell r="Z175">
            <v>1.6156563663367904</v>
          </cell>
          <cell r="AA175">
            <v>5.0558718198894637</v>
          </cell>
          <cell r="AB175">
            <v>5.0558718198894637</v>
          </cell>
          <cell r="AC175">
            <v>45716</v>
          </cell>
          <cell r="AD175">
            <v>4.8891217526114934</v>
          </cell>
          <cell r="AE175">
            <v>-0.16675006727797026</v>
          </cell>
          <cell r="AF175">
            <v>4.8891217526114934</v>
          </cell>
          <cell r="AG175">
            <v>-0.16675006727797026</v>
          </cell>
          <cell r="AH175">
            <v>1.6233362836140151</v>
          </cell>
          <cell r="AI175">
            <v>7.6799172772246127E-3</v>
          </cell>
        </row>
        <row r="176">
          <cell r="A176" t="str">
            <v>Wilson Language Training</v>
          </cell>
          <cell r="B176" t="str">
            <v>Wilson (TL)</v>
          </cell>
          <cell r="C176" t="e">
            <v>#N/A</v>
          </cell>
          <cell r="E176" t="e">
            <v>#N/A</v>
          </cell>
          <cell r="F176" t="e">
            <v>#N/A</v>
          </cell>
          <cell r="G176" t="str">
            <v>FL</v>
          </cell>
          <cell r="H176" t="str">
            <v>Senior Secured</v>
          </cell>
          <cell r="J176" t="e">
            <v>#N/A</v>
          </cell>
          <cell r="K176" t="e">
            <v>#N/A</v>
          </cell>
          <cell r="L176" t="e">
            <v>#N/A</v>
          </cell>
          <cell r="M176" t="str">
            <v>USA</v>
          </cell>
          <cell r="N176" t="e">
            <v>#N/A</v>
          </cell>
          <cell r="O176" t="str">
            <v>TBD</v>
          </cell>
          <cell r="P176" t="str">
            <v>Y</v>
          </cell>
          <cell r="Q176" t="str">
            <v>N</v>
          </cell>
          <cell r="R176" t="str">
            <v>Maintenance Covenants</v>
          </cell>
          <cell r="S176" t="e">
            <v>#N/A</v>
          </cell>
          <cell r="T176" t="e">
            <v>#N/A</v>
          </cell>
          <cell r="V176" t="e">
            <v>#N/A</v>
          </cell>
          <cell r="W176" t="e">
            <v>#N/A</v>
          </cell>
          <cell r="X176" t="e">
            <v>#N/A</v>
          </cell>
          <cell r="Y176" t="e">
            <v>#N/A</v>
          </cell>
          <cell r="Z176" t="e">
            <v>#N/A</v>
          </cell>
          <cell r="AA176" t="e">
            <v>#N/A</v>
          </cell>
          <cell r="AB176" t="e">
            <v>#N/A</v>
          </cell>
          <cell r="AC176" t="e">
            <v>#N/A</v>
          </cell>
          <cell r="AD176" t="e">
            <v>#N/A</v>
          </cell>
          <cell r="AE176" t="e">
            <v>#N/A</v>
          </cell>
          <cell r="AF176" t="e">
            <v>#N/A</v>
          </cell>
          <cell r="AG176" t="e">
            <v>#N/A</v>
          </cell>
          <cell r="AH176" t="e">
            <v>#N/A</v>
          </cell>
          <cell r="AI176" t="e">
            <v>#N/A</v>
          </cell>
        </row>
        <row r="177">
          <cell r="A177" t="str">
            <v>Zips</v>
          </cell>
          <cell r="B177" t="str">
            <v>Zips (New OpCo Term Loan)</v>
          </cell>
          <cell r="C177" t="str">
            <v>Zips</v>
          </cell>
          <cell r="E177" t="str">
            <v>Sovereign &amp; Public Finance</v>
          </cell>
          <cell r="F177" t="str">
            <v>First Lien</v>
          </cell>
          <cell r="G177" t="str">
            <v>FL</v>
          </cell>
          <cell r="H177" t="str">
            <v>Senior Secured</v>
          </cell>
          <cell r="J177">
            <v>0</v>
          </cell>
          <cell r="K177">
            <v>0</v>
          </cell>
          <cell r="L177">
            <v>46861</v>
          </cell>
          <cell r="M177" t="str">
            <v>USA</v>
          </cell>
          <cell r="N177" t="str">
            <v>USD</v>
          </cell>
          <cell r="O177" t="str">
            <v>TBD</v>
          </cell>
          <cell r="P177" t="str">
            <v>Y</v>
          </cell>
          <cell r="Q177" t="str">
            <v>N</v>
          </cell>
          <cell r="R177" t="str">
            <v>Maintenance Covenants</v>
          </cell>
          <cell r="S177" t="str">
            <v>No</v>
          </cell>
          <cell r="T177">
            <v>45777</v>
          </cell>
          <cell r="V177">
            <v>4.4412692742751689</v>
          </cell>
          <cell r="W177">
            <v>50.390999999999998</v>
          </cell>
          <cell r="X177">
            <v>225</v>
          </cell>
          <cell r="Y177">
            <v>53.632999999999996</v>
          </cell>
          <cell r="Z177">
            <v>0.64212681384991133</v>
          </cell>
          <cell r="AA177">
            <v>4.1728040572035878</v>
          </cell>
          <cell r="AB177">
            <v>6.9695896183319981</v>
          </cell>
          <cell r="AC177">
            <v>45777</v>
          </cell>
          <cell r="AD177">
            <v>4.4412692742751689</v>
          </cell>
          <cell r="AE177">
            <v>0.26846521707158111</v>
          </cell>
          <cell r="AF177">
            <v>7.4179913079716622</v>
          </cell>
          <cell r="AG177">
            <v>0.44840168963966409</v>
          </cell>
          <cell r="AH177">
            <v>2.2495982142857143</v>
          </cell>
          <cell r="AI177">
            <v>1.6074714004358031</v>
          </cell>
        </row>
        <row r="178">
          <cell r="A178" t="str">
            <v>Zips</v>
          </cell>
          <cell r="B178" t="str">
            <v>Zips (New HoldCo Note)</v>
          </cell>
          <cell r="C178" t="str">
            <v>Zips</v>
          </cell>
          <cell r="E178" t="str">
            <v>Sovereign &amp; Public Finance</v>
          </cell>
          <cell r="F178" t="str">
            <v>Subordinated</v>
          </cell>
          <cell r="G178" t="str">
            <v>FL</v>
          </cell>
          <cell r="H178" t="str">
            <v>Senior Secured</v>
          </cell>
          <cell r="J178">
            <v>0</v>
          </cell>
          <cell r="K178">
            <v>0</v>
          </cell>
          <cell r="L178">
            <v>46861</v>
          </cell>
          <cell r="M178" t="str">
            <v>USA</v>
          </cell>
          <cell r="N178" t="str">
            <v>USD</v>
          </cell>
          <cell r="O178" t="str">
            <v>TBD</v>
          </cell>
          <cell r="P178" t="str">
            <v>Y</v>
          </cell>
          <cell r="Q178" t="str">
            <v>N</v>
          </cell>
          <cell r="R178" t="str">
            <v>Maintenance Covenants</v>
          </cell>
          <cell r="S178" t="str">
            <v>No</v>
          </cell>
          <cell r="T178">
            <v>45777</v>
          </cell>
          <cell r="V178">
            <v>4.4412692742751689</v>
          </cell>
          <cell r="W178">
            <v>50.390999999999998</v>
          </cell>
          <cell r="X178">
            <v>150</v>
          </cell>
          <cell r="Y178">
            <v>53.632999999999996</v>
          </cell>
          <cell r="Z178">
            <v>0.64212681384991133</v>
          </cell>
          <cell r="AA178">
            <v>4.1728040572035878</v>
          </cell>
          <cell r="AB178">
            <v>6.9695896183319981</v>
          </cell>
          <cell r="AC178">
            <v>45777</v>
          </cell>
          <cell r="AD178">
            <v>4.4412692742751689</v>
          </cell>
          <cell r="AE178">
            <v>0.26846521707158111</v>
          </cell>
          <cell r="AF178">
            <v>7.4179913079716622</v>
          </cell>
          <cell r="AG178">
            <v>0.44840168963966409</v>
          </cell>
          <cell r="AH178">
            <v>2.2495982142857143</v>
          </cell>
          <cell r="AI178">
            <v>1.6074714004358031</v>
          </cell>
        </row>
        <row r="179">
          <cell r="A179" t="str">
            <v>Boss Industries</v>
          </cell>
          <cell r="B179" t="str">
            <v>Boss Industries (Term Loan)</v>
          </cell>
          <cell r="C179" t="str">
            <v>Boss Industries</v>
          </cell>
          <cell r="E179" t="str">
            <v>Services: Business</v>
          </cell>
          <cell r="F179" t="str">
            <v>First Lien</v>
          </cell>
          <cell r="G179" t="str">
            <v>FL</v>
          </cell>
          <cell r="H179" t="str">
            <v>Senior Secured</v>
          </cell>
          <cell r="J179">
            <v>0.01</v>
          </cell>
          <cell r="K179">
            <v>0.05</v>
          </cell>
          <cell r="L179">
            <v>47844</v>
          </cell>
          <cell r="M179" t="str">
            <v>USA</v>
          </cell>
          <cell r="N179" t="str">
            <v>USD</v>
          </cell>
          <cell r="O179" t="str">
            <v>TBD</v>
          </cell>
          <cell r="P179" t="str">
            <v>Y</v>
          </cell>
          <cell r="Q179" t="str">
            <v>N</v>
          </cell>
          <cell r="R179" t="str">
            <v>Maintenance Covenants</v>
          </cell>
          <cell r="S179" t="str">
            <v>No</v>
          </cell>
          <cell r="T179">
            <v>45747</v>
          </cell>
          <cell r="V179">
            <v>3.487687551566014</v>
          </cell>
          <cell r="W179">
            <v>11.396799</v>
          </cell>
          <cell r="X179">
            <v>42.1</v>
          </cell>
          <cell r="Y179">
            <v>10.147</v>
          </cell>
          <cell r="Z179">
            <v>2.5172254554083073</v>
          </cell>
          <cell r="AA179">
            <v>4.1112871784763971</v>
          </cell>
          <cell r="AB179">
            <v>4.1112871784763971</v>
          </cell>
          <cell r="AC179">
            <v>45747</v>
          </cell>
          <cell r="AD179">
            <v>3.487687551566014</v>
          </cell>
          <cell r="AE179">
            <v>-0.62359962691038318</v>
          </cell>
          <cell r="AF179">
            <v>3.487687551566014</v>
          </cell>
          <cell r="AG179">
            <v>-0.62359962691038318</v>
          </cell>
          <cell r="AH179">
            <v>2.3974644110568035</v>
          </cell>
          <cell r="AI179">
            <v>-0.11976104435150381</v>
          </cell>
        </row>
        <row r="180">
          <cell r="A180" t="str">
            <v>Tranzact</v>
          </cell>
          <cell r="B180" t="str">
            <v>Tranzact (Term Loan)</v>
          </cell>
          <cell r="C180" t="str">
            <v>Tranzact</v>
          </cell>
          <cell r="E180" t="str">
            <v>Services: Business</v>
          </cell>
          <cell r="F180" t="str">
            <v>First Lien</v>
          </cell>
          <cell r="G180" t="str">
            <v>FL</v>
          </cell>
          <cell r="H180" t="str">
            <v>Senior Secured</v>
          </cell>
          <cell r="J180">
            <v>7.4999999999999997E-3</v>
          </cell>
          <cell r="K180">
            <v>5.7500000000000002E-2</v>
          </cell>
          <cell r="L180">
            <v>48213</v>
          </cell>
          <cell r="M180" t="str">
            <v>USA</v>
          </cell>
          <cell r="N180" t="str">
            <v>USD</v>
          </cell>
          <cell r="O180" t="str">
            <v>TBD</v>
          </cell>
          <cell r="P180" t="str">
            <v>Y</v>
          </cell>
          <cell r="Q180" t="str">
            <v>N</v>
          </cell>
          <cell r="R180" t="str">
            <v>Maintenance Covenants</v>
          </cell>
          <cell r="S180" t="str">
            <v>No</v>
          </cell>
          <cell r="T180">
            <v>45716</v>
          </cell>
          <cell r="V180">
            <v>1.651378413327484</v>
          </cell>
          <cell r="W180">
            <v>120.21532944710439</v>
          </cell>
          <cell r="X180">
            <v>325</v>
          </cell>
          <cell r="Y180">
            <v>107.5</v>
          </cell>
          <cell r="Z180">
            <v>3.0066313702128133</v>
          </cell>
          <cell r="AA180">
            <v>2.791887336900249</v>
          </cell>
          <cell r="AB180">
            <v>2.791887336900249</v>
          </cell>
          <cell r="AC180">
            <v>45716</v>
          </cell>
          <cell r="AD180">
            <v>1.651378413327484</v>
          </cell>
          <cell r="AE180">
            <v>-1.140508923572765</v>
          </cell>
          <cell r="AF180">
            <v>1.651378413327484</v>
          </cell>
          <cell r="AG180">
            <v>-1.140508923572765</v>
          </cell>
          <cell r="AH180">
            <v>3.3622621460105329</v>
          </cell>
          <cell r="AI180">
            <v>0.35563077579771951</v>
          </cell>
        </row>
        <row r="181">
          <cell r="A181" t="str">
            <v xml:space="preserve">Ro Health </v>
          </cell>
          <cell r="B181" t="str">
            <v>Ro Health (Term Loan)</v>
          </cell>
          <cell r="C181" t="str">
            <v xml:space="preserve">Ro Health </v>
          </cell>
          <cell r="E181" t="str">
            <v>Services: Business</v>
          </cell>
          <cell r="F181" t="str">
            <v>First Lien</v>
          </cell>
          <cell r="G181" t="str">
            <v>FL</v>
          </cell>
          <cell r="H181" t="str">
            <v>Senior Secured</v>
          </cell>
          <cell r="J181">
            <v>7.4999999999999997E-3</v>
          </cell>
          <cell r="K181">
            <v>0.05</v>
          </cell>
          <cell r="L181">
            <v>47865</v>
          </cell>
          <cell r="M181" t="str">
            <v>USA</v>
          </cell>
          <cell r="N181" t="str">
            <v>USD</v>
          </cell>
          <cell r="O181" t="str">
            <v>TBD</v>
          </cell>
          <cell r="P181" t="str">
            <v>Y</v>
          </cell>
          <cell r="Q181" t="str">
            <v>N</v>
          </cell>
          <cell r="R181" t="str">
            <v>Maintenance Covenants</v>
          </cell>
          <cell r="S181" t="str">
            <v>No</v>
          </cell>
          <cell r="T181">
            <v>45716</v>
          </cell>
          <cell r="V181">
            <v>3.6617534469941098</v>
          </cell>
          <cell r="W181">
            <v>20.773399725326282</v>
          </cell>
          <cell r="X181">
            <v>75</v>
          </cell>
          <cell r="Y181">
            <v>16.103578480662172</v>
          </cell>
          <cell r="Z181">
            <v>2.0384276557800218</v>
          </cell>
          <cell r="AA181">
            <v>4.6573499231902415</v>
          </cell>
          <cell r="AB181">
            <v>4.6573499231902415</v>
          </cell>
          <cell r="AC181">
            <v>45716</v>
          </cell>
          <cell r="AD181">
            <v>3.6617534469941098</v>
          </cell>
          <cell r="AE181">
            <v>-0.99559647619613179</v>
          </cell>
          <cell r="AF181">
            <v>3.6617534469941098</v>
          </cell>
          <cell r="AG181">
            <v>-0.99559647619613179</v>
          </cell>
          <cell r="AH181">
            <v>2.7771924766478984</v>
          </cell>
          <cell r="AI181">
            <v>0.73876482086787654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ob Martino" refreshedDate="45797.443213773149" backgroundQuery="1" createdVersion="8" refreshedVersion="8" minRefreshableVersion="3" recordCount="0" supportSubquery="1" supportAdvancedDrill="1" xr:uid="{C602F498-5920-4B0B-B1C3-8C957262BCFE}">
  <cacheSource type="external" connectionId="1"/>
  <cacheFields count="3">
    <cacheField name="[Range].[Issuer/Borrower].[Issuer/Borrower]" caption="Issuer/Borrower" numFmtId="0" level="1">
      <sharedItems count="73">
        <s v="AFC-Dell Holding Corp"/>
        <s v="Alpine Acquisition Corp II"/>
        <s v="Amsive Holdings Corporation"/>
        <s v="Arcfield Acquisition Corp"/>
        <s v="Archer Lewis LLC"/>
        <s v="Argano LLC"/>
        <s v="Beacon Behavioral Support Services LLC"/>
        <s v="Best Practice Associates LLC"/>
        <s v="BlackHawk Industrial Distribution Inc"/>
        <s v="BLC Holding Company Inc"/>
        <s v="Bluebird Group LLC, The"/>
        <s v="BlueHalo Global Holdings LLC"/>
        <s v="Boss Industries LLC"/>
        <s v="Burgess Point Purchaser Corporation"/>
        <s v="C5MI Acquisition LLC"/>
        <s v="Carisk Buyer Inc"/>
        <s v="Carnegie Dartlet LLC"/>
        <s v="Cartessa Aesthetics LLC"/>
        <s v="Case Works LLC"/>
        <s v="CF512 Inc"/>
        <s v="Crane 1 Acquisition Holdings Inc"/>
        <s v="Dr. Squatch LLC"/>
        <s v="EDS Buyer LLC"/>
        <s v="Emergency Care Partners LLC"/>
        <s v="Eval Home Health Solutions Intermediate LLC"/>
        <s v="GGG Midco LLC"/>
        <s v="Harris &amp; Co. LLC"/>
        <s v="HEC Purchaser Corp."/>
        <s v="HV Watterson Holdings LLC"/>
        <s v="HW Holdco LLC"/>
        <s v="Infinity Home Services Holdco Inc"/>
        <s v="Infolinks Media Buyco LLC"/>
        <s v="Inovex Information Systems Incorporated"/>
        <s v="Inventus Power Inc"/>
        <s v="Lash OpCo LLC"/>
        <s v="LAV Gear Holdings Inc"/>
        <s v="Lightspeed Buyer Inc"/>
        <s v="Marketplace Events LLC"/>
        <s v="MDI Buyer Inc"/>
        <s v="Medina Health LLC"/>
        <s v="Megawatt Acquisitionco Inc"/>
        <s v="Michael Baker International LLC"/>
        <s v="MOREgroup Holdings Inc"/>
        <s v="Municipal Emergency Services Inc"/>
        <s v="NFS - CFP Holdings LLC"/>
        <s v="Nora Acquisition LLC"/>
        <s v="Omnia Exterior Solutions LLC"/>
        <s v="OSP Embedded Purchaser LLC"/>
        <s v="Par Excellence Holdings Inc."/>
        <s v="Pink Lily Holdings LLC"/>
        <s v="Project Granite Buyer Inc"/>
        <s v="Radius Aerospace Inc"/>
        <s v="Rancho Health MSO Inc"/>
        <s v="Research Now Group LLC"/>
        <s v="Ro Health LLC"/>
        <s v="RTIC Subsidiary Holdings LLC"/>
        <s v="Sabel Systems Technology Solutions"/>
        <s v="Seacoast Service Partners NA LLC"/>
        <s v="Seaway Buyer LLC"/>
        <s v="Sigma Defense Systems LLC"/>
        <s v="STG Distribution LLC"/>
        <s v="SV-Aero Holdings LLC"/>
        <s v="Systems Planning and Analysis Inc"/>
        <s v="TCG 3.0 Jogger Acquisitionco Inc"/>
        <s v="Team Services Group LLC"/>
        <s v="TMII Enterprises LLC"/>
        <s v="Transgo LLC"/>
        <s v="Urology Management Holdings Inc"/>
        <s v="US Fertility Enterprises LLC"/>
        <s v="Vertex Companies Inc, The"/>
        <s v="VRS Buyer Inc"/>
        <s v="Watchtower Buyer LLC"/>
        <s v="Zips Car Wash LLC"/>
      </sharedItems>
    </cacheField>
    <cacheField name="[Range].[Asset Type].[Asset Type]" caption="Asset Type" numFmtId="0" hierarchy="3" level="1">
      <sharedItems containsSemiMixedTypes="0" containsNonDate="0" containsString="0"/>
    </cacheField>
    <cacheField name="[Measures].[Sum of Settled Funded]" caption="Sum of Settled Funded" numFmtId="0" hierarchy="16" level="32767"/>
  </cacheFields>
  <cacheHierarchies count="17">
    <cacheHierarchy uniqueName="[Range].[Issuer/Borrower]" caption="Issuer/Borrower" attribute="1" defaultMemberUniqueName="[Range].[Issuer/Borrower].[All]" allUniqueName="[Range].[Issuer/Borrow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Facility/Security]" caption="Facility/Security" attribute="1" defaultMemberUniqueName="[Range].[Facility/Security].[All]" allUniqueName="[Range].[Facility/Security].[All]" dimensionUniqueName="[Range]" displayFolder="" count="0" memberValueDatatype="130" unbalanced="0"/>
    <cacheHierarchy uniqueName="[Range].[Identifier]" caption="Identifier" attribute="1" defaultMemberUniqueName="[Range].[Identifier].[All]" allUniqueName="[Range].[Identifier].[All]" dimensionUniqueName="[Range]" displayFolder="" count="0" memberValueDatatype="130" unbalanced="0"/>
    <cacheHierarchy uniqueName="[Range].[Asset Type]" caption="Asset Type" attribute="1" defaultMemberUniqueName="[Range].[Asset Type].[All]" allUniqueName="[Range].[Asset Typ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Maturity Date]" caption="Maturity Date" attribute="1" time="1" defaultMemberUniqueName="[Range].[Maturity Date].[All]" allUniqueName="[Range].[Maturity Date].[All]" dimensionUniqueName="[Range]" displayFolder="" count="0" memberValueDatatype="7" unbalanced="0"/>
    <cacheHierarchy uniqueName="[Range].[Currency]" caption="Currency" attribute="1" defaultMemberUniqueName="[Range].[Currency].[All]" allUniqueName="[Range].[Currency].[All]" dimensionUniqueName="[Range]" displayFolder="" count="0" memberValueDatatype="130" unbalanced="0"/>
    <cacheHierarchy uniqueName="[Range].[Traded Commitment]" caption="Traded Commitment" attribute="1" defaultMemberUniqueName="[Range].[Traded Commitment].[All]" allUniqueName="[Range].[Traded Commitment].[All]" dimensionUniqueName="[Range]" displayFolder="" count="0" memberValueDatatype="5" unbalanced="0"/>
    <cacheHierarchy uniqueName="[Range].[Traded Funded]" caption="Traded Funded" attribute="1" defaultMemberUniqueName="[Range].[Traded Funded].[All]" allUniqueName="[Range].[Traded Funded].[All]" dimensionUniqueName="[Range]" displayFolder="" count="0" memberValueDatatype="5" unbalanced="0"/>
    <cacheHierarchy uniqueName="[Range].[Traded Unfunded]" caption="Traded Unfunded" attribute="1" defaultMemberUniqueName="[Range].[Traded Unfunded].[All]" allUniqueName="[Range].[Traded Unfunded].[All]" dimensionUniqueName="[Range]" displayFolder="" count="0" memberValueDatatype="5" unbalanced="0"/>
    <cacheHierarchy uniqueName="[Range].[Traded PIK]" caption="Traded PIK" attribute="1" defaultMemberUniqueName="[Range].[Traded PIK].[All]" allUniqueName="[Range].[Traded PIK].[All]" dimensionUniqueName="[Range]" displayFolder="" count="0" memberValueDatatype="5" unbalanced="0"/>
    <cacheHierarchy uniqueName="[Range].[Settled Commitment]" caption="Settled Commitment" attribute="1" defaultMemberUniqueName="[Range].[Settled Commitment].[All]" allUniqueName="[Range].[Settled Commitment].[All]" dimensionUniqueName="[Range]" displayFolder="" count="0" memberValueDatatype="5" unbalanced="0"/>
    <cacheHierarchy uniqueName="[Range].[Settled Funded]" caption="Settled Funded" attribute="1" defaultMemberUniqueName="[Range].[Settled Funded].[All]" allUniqueName="[Range].[Settled Funded].[All]" dimensionUniqueName="[Range]" displayFolder="" count="0" memberValueDatatype="5" unbalanced="0"/>
    <cacheHierarchy uniqueName="[Range].[Settled Unfunded]" caption="Settled Unfunded" attribute="1" defaultMemberUniqueName="[Range].[Settled Unfunded].[All]" allUniqueName="[Range].[Settled Unfunded].[All]" dimensionUniqueName="[Range]" displayFolder="" count="0" memberValueDatatype="5" unbalanced="0"/>
    <cacheHierarchy uniqueName="[Range].[Settled PIK]" caption="Settled PIK" attribute="1" defaultMemberUniqueName="[Range].[Settled PIK].[All]" allUniqueName="[Range].[Settled PIK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ettled Funded]" caption="Sum of Settled Funde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4115B-81F1-493F-8EE5-221DF2CEC868}" name="PivotTable5" cacheId="23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1" hier="3" name="[Range].[Asset Type].&amp;[Facility]" cap="Facility"/>
  </pageFields>
  <dataFields count="1">
    <dataField name="Sum of Settled Funded" fld="2" baseField="0" baseItem="0"/>
  </dataFields>
  <pivotHierarchies count="17">
    <pivotHierarchy dragToData="1"/>
    <pivotHierarchy dragToData="1"/>
    <pivotHierarchy dragToData="1"/>
    <pivotHierarchy multipleItemSelectionAllowed="1" dragToData="1">
      <members count="1" level="1">
        <member name="[Range].[Asset Type].&amp;[Facil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ldings!$B$7:$O$1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opLeftCell="C1" zoomScale="85" workbookViewId="0">
      <selection activeCell="E17" sqref="E17"/>
    </sheetView>
  </sheetViews>
  <sheetFormatPr defaultRowHeight="15"/>
  <cols>
    <col min="1" max="1" width="4.140625" customWidth="1"/>
    <col min="2" max="2" width="41.140625" customWidth="1"/>
    <col min="3" max="8" width="20.5703125" customWidth="1"/>
    <col min="9" max="9" width="13.7109375" customWidth="1"/>
    <col min="10" max="10" width="6.85546875" customWidth="1"/>
    <col min="11" max="12" width="20.5703125" customWidth="1"/>
    <col min="13" max="13" width="13.7109375" customWidth="1"/>
    <col min="14" max="14" width="26.7109375" customWidth="1"/>
  </cols>
  <sheetData>
    <row r="1" spans="1:13" ht="15.75">
      <c r="A1" s="1" t="s">
        <v>0</v>
      </c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18" t="s">
        <v>0</v>
      </c>
      <c r="J1" s="249"/>
      <c r="K1" s="2" t="s">
        <v>0</v>
      </c>
      <c r="L1" s="2" t="s">
        <v>0</v>
      </c>
      <c r="M1" s="2" t="s">
        <v>0</v>
      </c>
    </row>
    <row r="2" spans="1:13" ht="14.85" customHeight="1">
      <c r="A2" s="3" t="s">
        <v>0</v>
      </c>
      <c r="B2" s="249"/>
      <c r="C2" s="219" t="s">
        <v>1</v>
      </c>
      <c r="D2" s="220"/>
      <c r="E2" s="220"/>
      <c r="F2" s="221"/>
      <c r="G2" s="2" t="s">
        <v>0</v>
      </c>
      <c r="H2" s="2" t="s">
        <v>0</v>
      </c>
      <c r="I2" s="218" t="s">
        <v>0</v>
      </c>
      <c r="J2" s="249"/>
      <c r="K2" s="2" t="s">
        <v>0</v>
      </c>
      <c r="L2" s="2" t="s">
        <v>0</v>
      </c>
      <c r="M2" s="2" t="s">
        <v>0</v>
      </c>
    </row>
    <row r="3" spans="1:13" ht="14.85" customHeight="1">
      <c r="A3" s="3" t="s">
        <v>0</v>
      </c>
      <c r="B3" s="249"/>
      <c r="C3" s="222"/>
      <c r="D3" s="249"/>
      <c r="E3" s="249"/>
      <c r="F3" s="223"/>
      <c r="G3" s="2" t="s">
        <v>0</v>
      </c>
      <c r="H3" s="2" t="s">
        <v>0</v>
      </c>
      <c r="I3" s="218" t="s">
        <v>0</v>
      </c>
      <c r="J3" s="249"/>
      <c r="K3" s="2" t="s">
        <v>0</v>
      </c>
      <c r="L3" s="2" t="s">
        <v>0</v>
      </c>
      <c r="M3" s="2" t="s">
        <v>0</v>
      </c>
    </row>
    <row r="4" spans="1:13" ht="14.85" customHeight="1">
      <c r="A4" s="3" t="s">
        <v>0</v>
      </c>
      <c r="B4" s="249"/>
      <c r="C4" s="222"/>
      <c r="D4" s="249"/>
      <c r="E4" s="249"/>
      <c r="F4" s="223"/>
      <c r="G4" s="2" t="s">
        <v>0</v>
      </c>
      <c r="H4" s="2" t="s">
        <v>0</v>
      </c>
      <c r="I4" s="218" t="s">
        <v>0</v>
      </c>
      <c r="J4" s="249"/>
      <c r="K4" s="2" t="s">
        <v>0</v>
      </c>
      <c r="L4" s="2" t="s">
        <v>0</v>
      </c>
      <c r="M4" s="2" t="s">
        <v>0</v>
      </c>
    </row>
    <row r="5" spans="1:13" ht="14.85" customHeight="1">
      <c r="A5" s="3" t="s">
        <v>0</v>
      </c>
      <c r="B5" s="249"/>
      <c r="C5" s="224"/>
      <c r="D5" s="225"/>
      <c r="E5" s="225"/>
      <c r="F5" s="226"/>
      <c r="G5" s="2" t="s">
        <v>0</v>
      </c>
      <c r="H5" s="2" t="s">
        <v>0</v>
      </c>
      <c r="I5" s="218" t="s">
        <v>0</v>
      </c>
      <c r="J5" s="249"/>
      <c r="K5" s="2" t="s">
        <v>0</v>
      </c>
      <c r="L5" s="2" t="s">
        <v>0</v>
      </c>
      <c r="M5" s="2" t="s">
        <v>0</v>
      </c>
    </row>
    <row r="6" spans="1:13" ht="15.7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18" t="s">
        <v>0</v>
      </c>
      <c r="J6" s="249"/>
      <c r="K6" s="2" t="s">
        <v>0</v>
      </c>
      <c r="L6" s="2" t="s">
        <v>0</v>
      </c>
      <c r="M6" s="2" t="s">
        <v>0</v>
      </c>
    </row>
    <row r="7" spans="1:13" ht="18.75">
      <c r="A7" s="4" t="s">
        <v>0</v>
      </c>
      <c r="B7" s="5" t="s">
        <v>2</v>
      </c>
      <c r="C7" s="6">
        <v>45777</v>
      </c>
      <c r="D7" s="4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18" t="s">
        <v>0</v>
      </c>
      <c r="J7" s="249"/>
      <c r="K7" s="2" t="s">
        <v>0</v>
      </c>
      <c r="L7" s="2" t="s">
        <v>0</v>
      </c>
      <c r="M7" s="2" t="s">
        <v>0</v>
      </c>
    </row>
    <row r="8" spans="1:13" ht="18.75">
      <c r="A8" s="4" t="s">
        <v>0</v>
      </c>
      <c r="B8" s="4" t="s">
        <v>0</v>
      </c>
      <c r="C8" s="4" t="s">
        <v>0</v>
      </c>
      <c r="D8" s="4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18" t="s">
        <v>0</v>
      </c>
      <c r="J8" s="249"/>
      <c r="K8" s="2" t="s">
        <v>0</v>
      </c>
      <c r="L8" s="2" t="s">
        <v>0</v>
      </c>
      <c r="M8" s="2" t="s">
        <v>0</v>
      </c>
    </row>
    <row r="9" spans="1:13" ht="15.75">
      <c r="A9" s="7" t="s">
        <v>0</v>
      </c>
      <c r="B9" s="8" t="s">
        <v>3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10" t="s">
        <v>0</v>
      </c>
      <c r="I9" s="11" t="s">
        <v>0</v>
      </c>
    </row>
    <row r="10" spans="1:13" ht="31.5">
      <c r="A10" s="7" t="s">
        <v>0</v>
      </c>
      <c r="B10" s="12" t="s">
        <v>4</v>
      </c>
      <c r="C10" s="13" t="s">
        <v>5</v>
      </c>
      <c r="D10" s="13" t="s">
        <v>6</v>
      </c>
      <c r="E10" s="13" t="s">
        <v>7</v>
      </c>
      <c r="F10" s="13" t="s">
        <v>8</v>
      </c>
      <c r="G10" s="13" t="s">
        <v>9</v>
      </c>
      <c r="H10" s="13" t="s">
        <v>10</v>
      </c>
      <c r="I10" s="11" t="s">
        <v>0</v>
      </c>
    </row>
    <row r="11" spans="1:13">
      <c r="A11" s="14" t="s">
        <v>0</v>
      </c>
      <c r="B11" s="15" t="s">
        <v>11</v>
      </c>
      <c r="C11" s="16" t="s">
        <v>12</v>
      </c>
      <c r="D11" s="17">
        <v>1</v>
      </c>
      <c r="E11" s="18">
        <v>10107500</v>
      </c>
      <c r="F11" s="19">
        <v>0</v>
      </c>
      <c r="G11" s="19">
        <v>0</v>
      </c>
      <c r="H11" s="20">
        <v>0</v>
      </c>
      <c r="I11" s="21" t="s">
        <v>0</v>
      </c>
    </row>
    <row r="12" spans="1:13">
      <c r="A12" s="14" t="s">
        <v>0</v>
      </c>
      <c r="B12" s="15" t="s">
        <v>13</v>
      </c>
      <c r="C12" s="16" t="s">
        <v>12</v>
      </c>
      <c r="D12" s="17">
        <v>1</v>
      </c>
      <c r="E12" s="18">
        <v>10107501</v>
      </c>
      <c r="F12" s="19">
        <v>616421.06000000006</v>
      </c>
      <c r="G12" s="19">
        <v>0</v>
      </c>
      <c r="H12" s="20">
        <v>616421.06000000006</v>
      </c>
      <c r="I12" s="21" t="s">
        <v>0</v>
      </c>
    </row>
    <row r="13" spans="1:13">
      <c r="A13" s="14" t="s">
        <v>0</v>
      </c>
      <c r="B13" s="15" t="s">
        <v>14</v>
      </c>
      <c r="C13" s="16" t="s">
        <v>12</v>
      </c>
      <c r="D13" s="17">
        <v>1</v>
      </c>
      <c r="E13" s="18">
        <v>10107502</v>
      </c>
      <c r="F13" s="19">
        <v>25110258.190000001</v>
      </c>
      <c r="G13" s="19">
        <v>13006000</v>
      </c>
      <c r="H13" s="20">
        <v>38116258.189999998</v>
      </c>
      <c r="I13" s="21" t="s">
        <v>0</v>
      </c>
    </row>
    <row r="14" spans="1:13">
      <c r="A14" s="14" t="s">
        <v>0</v>
      </c>
      <c r="B14" s="15" t="s">
        <v>15</v>
      </c>
      <c r="C14" s="16" t="s">
        <v>12</v>
      </c>
      <c r="D14" s="17">
        <v>1</v>
      </c>
      <c r="E14" s="18">
        <v>10107503</v>
      </c>
      <c r="F14" s="19">
        <v>0</v>
      </c>
      <c r="G14" s="19">
        <v>0</v>
      </c>
      <c r="H14" s="20">
        <v>0</v>
      </c>
      <c r="I14" s="21" t="s">
        <v>0</v>
      </c>
    </row>
    <row r="15" spans="1:13">
      <c r="A15" s="14" t="s">
        <v>0</v>
      </c>
      <c r="B15" s="22" t="s">
        <v>0</v>
      </c>
      <c r="C15" s="22" t="s">
        <v>0</v>
      </c>
      <c r="D15" s="22" t="s">
        <v>0</v>
      </c>
      <c r="E15" s="22" t="s">
        <v>0</v>
      </c>
      <c r="F15" s="22" t="s">
        <v>0</v>
      </c>
      <c r="G15" s="22" t="s">
        <v>0</v>
      </c>
      <c r="H15" s="22" t="s">
        <v>0</v>
      </c>
      <c r="I15" s="14" t="s">
        <v>0</v>
      </c>
    </row>
    <row r="16" spans="1:13" ht="15.75">
      <c r="A16" s="7" t="s">
        <v>0</v>
      </c>
      <c r="B16" s="23" t="s">
        <v>16</v>
      </c>
      <c r="C16" s="24" t="s">
        <v>0</v>
      </c>
      <c r="D16" s="25" t="s">
        <v>0</v>
      </c>
    </row>
    <row r="17" spans="1:9" ht="15.75">
      <c r="A17" s="7" t="s">
        <v>0</v>
      </c>
      <c r="B17" s="26" t="s">
        <v>0</v>
      </c>
      <c r="C17" s="27" t="s">
        <v>17</v>
      </c>
      <c r="D17" s="28" t="s">
        <v>0</v>
      </c>
    </row>
    <row r="18" spans="1:9">
      <c r="A18" s="7" t="s">
        <v>0</v>
      </c>
      <c r="B18" s="29" t="s">
        <v>18</v>
      </c>
      <c r="C18" s="30">
        <v>9</v>
      </c>
      <c r="D18" s="31" t="s">
        <v>0</v>
      </c>
    </row>
    <row r="19" spans="1:9">
      <c r="A19" s="7" t="s">
        <v>0</v>
      </c>
      <c r="B19" s="15" t="s">
        <v>19</v>
      </c>
      <c r="C19" s="32">
        <v>55</v>
      </c>
      <c r="D19" s="31" t="s">
        <v>0</v>
      </c>
    </row>
    <row r="20" spans="1:9">
      <c r="A20" s="7" t="s">
        <v>0</v>
      </c>
      <c r="B20" s="22" t="s">
        <v>0</v>
      </c>
      <c r="C20" s="33" t="s">
        <v>0</v>
      </c>
      <c r="D20" s="34" t="s">
        <v>0</v>
      </c>
    </row>
    <row r="21" spans="1:9" ht="15.75">
      <c r="A21" s="7" t="s">
        <v>0</v>
      </c>
      <c r="B21" s="23" t="s">
        <v>20</v>
      </c>
      <c r="C21" s="24" t="s">
        <v>0</v>
      </c>
      <c r="D21" s="24" t="s">
        <v>0</v>
      </c>
      <c r="E21" s="24" t="s">
        <v>0</v>
      </c>
      <c r="F21" s="24" t="s">
        <v>0</v>
      </c>
      <c r="G21" s="35" t="s">
        <v>0</v>
      </c>
      <c r="H21" s="36" t="s">
        <v>0</v>
      </c>
      <c r="I21" s="36" t="s">
        <v>0</v>
      </c>
    </row>
    <row r="22" spans="1:9" ht="31.5">
      <c r="A22" s="7" t="s">
        <v>0</v>
      </c>
      <c r="B22" s="37" t="s">
        <v>21</v>
      </c>
      <c r="C22" s="38" t="s">
        <v>5</v>
      </c>
      <c r="D22" s="38" t="s">
        <v>6</v>
      </c>
      <c r="E22" s="38" t="s">
        <v>22</v>
      </c>
      <c r="F22" s="39" t="s">
        <v>23</v>
      </c>
      <c r="G22" s="40" t="s">
        <v>10</v>
      </c>
      <c r="H22" s="41" t="s">
        <v>0</v>
      </c>
      <c r="I22" s="41" t="s">
        <v>0</v>
      </c>
    </row>
    <row r="23" spans="1:9">
      <c r="A23" s="14" t="s">
        <v>0</v>
      </c>
      <c r="B23" s="42" t="s">
        <v>24</v>
      </c>
      <c r="C23" s="16" t="s">
        <v>12</v>
      </c>
      <c r="D23" s="17">
        <v>1</v>
      </c>
      <c r="E23" s="19">
        <v>413603868.72000003</v>
      </c>
      <c r="F23" s="19">
        <v>-13100000</v>
      </c>
      <c r="G23" s="43">
        <v>400503868.72000003</v>
      </c>
      <c r="H23" s="14" t="s">
        <v>0</v>
      </c>
      <c r="I23" s="14" t="s">
        <v>0</v>
      </c>
    </row>
    <row r="24" spans="1:9">
      <c r="A24" s="14" t="s">
        <v>0</v>
      </c>
      <c r="B24" s="42" t="s">
        <v>25</v>
      </c>
      <c r="C24" s="16" t="s">
        <v>12</v>
      </c>
      <c r="D24" s="17">
        <v>1</v>
      </c>
      <c r="E24" s="19">
        <v>-0.05</v>
      </c>
      <c r="F24" s="19">
        <v>1.07288360598479E-7</v>
      </c>
      <c r="G24" s="43">
        <v>-4.9999892711639397E-2</v>
      </c>
      <c r="H24" s="14" t="s">
        <v>0</v>
      </c>
      <c r="I24" s="14" t="s">
        <v>0</v>
      </c>
    </row>
    <row r="25" spans="1:9">
      <c r="A25" s="14" t="s">
        <v>0</v>
      </c>
      <c r="B25" s="44" t="s">
        <v>26</v>
      </c>
      <c r="C25" s="45" t="s">
        <v>12</v>
      </c>
      <c r="D25" s="46">
        <v>1</v>
      </c>
      <c r="E25" s="47">
        <v>413603868.67000002</v>
      </c>
      <c r="F25" s="47">
        <v>-13099999.999999899</v>
      </c>
      <c r="G25" s="48">
        <v>400503868.67000002</v>
      </c>
      <c r="H25" s="14" t="s">
        <v>0</v>
      </c>
      <c r="I25" s="14" t="s">
        <v>0</v>
      </c>
    </row>
    <row r="26" spans="1:9">
      <c r="A26" s="7" t="s">
        <v>0</v>
      </c>
      <c r="B26" s="22" t="s">
        <v>0</v>
      </c>
      <c r="C26" s="22" t="s">
        <v>0</v>
      </c>
      <c r="D26" s="22" t="s">
        <v>0</v>
      </c>
      <c r="E26" s="22" t="s">
        <v>0</v>
      </c>
      <c r="F26" s="22" t="s">
        <v>0</v>
      </c>
      <c r="G26" s="22" t="s">
        <v>0</v>
      </c>
      <c r="H26" s="14" t="s">
        <v>0</v>
      </c>
      <c r="I26" s="14" t="s">
        <v>0</v>
      </c>
    </row>
    <row r="27" spans="1:9">
      <c r="A27" s="7" t="s">
        <v>0</v>
      </c>
      <c r="B27" s="14" t="s">
        <v>0</v>
      </c>
      <c r="C27" s="14" t="s">
        <v>0</v>
      </c>
      <c r="D27" s="14" t="s">
        <v>0</v>
      </c>
      <c r="E27" s="14" t="s">
        <v>0</v>
      </c>
      <c r="F27" s="14" t="s">
        <v>0</v>
      </c>
      <c r="G27" s="14" t="s">
        <v>0</v>
      </c>
      <c r="H27" s="14" t="s">
        <v>0</v>
      </c>
      <c r="I27" s="14" t="s">
        <v>0</v>
      </c>
    </row>
    <row r="28" spans="1:9">
      <c r="A28" s="7" t="s">
        <v>0</v>
      </c>
      <c r="B28" s="14" t="s">
        <v>0</v>
      </c>
      <c r="C28" s="14" t="s">
        <v>0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</row>
    <row r="29" spans="1:9">
      <c r="A29" s="7" t="s">
        <v>0</v>
      </c>
      <c r="B29" s="14" t="s">
        <v>0</v>
      </c>
      <c r="C29" s="14" t="s">
        <v>0</v>
      </c>
      <c r="D29" s="14" t="s">
        <v>0</v>
      </c>
      <c r="E29" s="14" t="s">
        <v>0</v>
      </c>
      <c r="F29" s="14" t="s">
        <v>0</v>
      </c>
      <c r="G29" s="14" t="s">
        <v>0</v>
      </c>
      <c r="H29" s="14" t="s">
        <v>0</v>
      </c>
      <c r="I29" s="14" t="s">
        <v>0</v>
      </c>
    </row>
    <row r="30" spans="1:9" ht="0" hidden="1" customHeight="1"/>
    <row r="31" spans="1:9" ht="21.75" customHeight="1"/>
  </sheetData>
  <mergeCells count="10">
    <mergeCell ref="I6:J6"/>
    <mergeCell ref="I7:J7"/>
    <mergeCell ref="I8:J8"/>
    <mergeCell ref="I1:J1"/>
    <mergeCell ref="B2:B5"/>
    <mergeCell ref="C2:F5"/>
    <mergeCell ref="I2:J2"/>
    <mergeCell ref="I3:J3"/>
    <mergeCell ref="I4:J4"/>
    <mergeCell ref="I5:J5"/>
  </mergeCells>
  <hyperlinks>
    <hyperlink ref="B11" location="'Transactions'!N636" display="Trust Account" xr:uid="{00000000-0004-0000-0000-000000000000}"/>
    <hyperlink ref="B12" location="'Transactions'!O636" display="Interest Collection Subaccount" xr:uid="{00000000-0004-0000-0000-000001000000}"/>
    <hyperlink ref="B13" location="'Transactions'!P636" display="Principal Collection Subaccount" xr:uid="{00000000-0004-0000-0000-000002000000}"/>
    <hyperlink ref="B14" location="'Transactions'!Q636" display="Payment Account" xr:uid="{00000000-0004-0000-0000-000003000000}"/>
    <hyperlink ref="B18" location="'Outstanding Payments'!A9" display="Unapplied Transactions" xr:uid="{00000000-0004-0000-0000-000004000000}"/>
    <hyperlink ref="B19" location="'Outstanding Payments'!A23" display="Past Due Receivables" xr:uid="{00000000-0004-0000-0000-000005000000}"/>
    <hyperlink ref="B22" location="'Holdings'!A7" display="Positions" xr:uid="{00000000-0004-0000-0000-000006000000}"/>
    <hyperlink ref="F22" location="'Pending Trades'!A6" display="Pending Trades_x000a_(Currency)" xr:uid="{00000000-0004-0000-0000-000007000000}"/>
  </hyperlinks>
  <pageMargins left="1" right="1" top="1" bottom="1.45" header="1" footer="1"/>
  <pageSetup orientation="portrait" horizontalDpi="300" verticalDpi="300"/>
  <headerFooter alignWithMargins="0">
    <oddFooter>&amp;R&amp;"Segoe UI,Regular"&amp;10 4/30/2025 8:56:00 PM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37"/>
  <sheetViews>
    <sheetView showGridLines="0" zoomScale="85" workbookViewId="0"/>
  </sheetViews>
  <sheetFormatPr defaultRowHeight="15"/>
  <cols>
    <col min="1" max="3" width="11.7109375" customWidth="1"/>
    <col min="4" max="4" width="32.85546875" customWidth="1"/>
    <col min="5" max="5" width="37.7109375" customWidth="1"/>
    <col min="6" max="6" width="12.5703125" customWidth="1"/>
    <col min="7" max="7" width="27.42578125" customWidth="1"/>
    <col min="8" max="8" width="11.140625" customWidth="1"/>
    <col min="9" max="9" width="13.7109375" customWidth="1"/>
    <col min="10" max="10" width="20.5703125" customWidth="1"/>
    <col min="11" max="11" width="11.7109375" customWidth="1"/>
    <col min="12" max="20" width="20.5703125" customWidth="1"/>
    <col min="21" max="22" width="13.7109375" customWidth="1"/>
    <col min="23" max="23" width="6.140625" customWidth="1"/>
  </cols>
  <sheetData>
    <row r="1" spans="1:21" ht="14.45" customHeight="1">
      <c r="A1" s="249"/>
      <c r="B1" s="249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32" t="s">
        <v>0</v>
      </c>
      <c r="O1" s="249"/>
      <c r="P1" s="249"/>
      <c r="Q1" s="249"/>
      <c r="R1" s="232" t="s">
        <v>0</v>
      </c>
      <c r="S1" s="249"/>
      <c r="T1" s="249"/>
      <c r="U1" s="49" t="s">
        <v>0</v>
      </c>
    </row>
    <row r="2" spans="1:21" ht="14.45" customHeight="1">
      <c r="A2" s="249"/>
      <c r="B2" s="249"/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32" t="s">
        <v>0</v>
      </c>
      <c r="O2" s="249"/>
      <c r="P2" s="249"/>
      <c r="Q2" s="249"/>
      <c r="R2" s="232" t="s">
        <v>0</v>
      </c>
      <c r="S2" s="249"/>
      <c r="T2" s="249"/>
      <c r="U2" s="49" t="s">
        <v>0</v>
      </c>
    </row>
    <row r="3" spans="1:21" ht="14.45" customHeight="1">
      <c r="A3" s="249"/>
      <c r="B3" s="249"/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32" t="s">
        <v>0</v>
      </c>
      <c r="O3" s="249"/>
      <c r="P3" s="249"/>
      <c r="Q3" s="249"/>
      <c r="R3" s="232" t="s">
        <v>0</v>
      </c>
      <c r="S3" s="249"/>
      <c r="T3" s="249"/>
      <c r="U3" s="49" t="s">
        <v>0</v>
      </c>
    </row>
    <row r="4" spans="1:21" ht="14.45" customHeight="1">
      <c r="A4" s="249"/>
      <c r="B4" s="249"/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32" t="s">
        <v>0</v>
      </c>
      <c r="O4" s="249"/>
      <c r="P4" s="249"/>
      <c r="Q4" s="249"/>
      <c r="R4" s="232" t="s">
        <v>0</v>
      </c>
      <c r="S4" s="249"/>
      <c r="T4" s="249"/>
      <c r="U4" s="49" t="s">
        <v>0</v>
      </c>
    </row>
    <row r="5" spans="1:21" ht="14.45" customHeight="1">
      <c r="A5" s="249"/>
      <c r="B5" s="249"/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32" t="s">
        <v>0</v>
      </c>
      <c r="O5" s="249"/>
      <c r="P5" s="249"/>
      <c r="Q5" s="249"/>
      <c r="R5" s="232" t="s">
        <v>0</v>
      </c>
      <c r="S5" s="249"/>
      <c r="T5" s="249"/>
      <c r="U5" s="49" t="s">
        <v>0</v>
      </c>
    </row>
    <row r="6" spans="1:21" ht="15.7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32" t="s">
        <v>0</v>
      </c>
      <c r="O6" s="249"/>
      <c r="P6" s="249"/>
      <c r="Q6" s="249"/>
      <c r="R6" s="232" t="s">
        <v>0</v>
      </c>
      <c r="S6" s="249"/>
      <c r="T6" s="249"/>
      <c r="U6" s="49" t="s">
        <v>0</v>
      </c>
    </row>
    <row r="7" spans="1:21" ht="15.75">
      <c r="A7" s="233" t="s">
        <v>27</v>
      </c>
      <c r="B7" s="249"/>
      <c r="C7" s="249"/>
      <c r="D7" s="249"/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32" t="s">
        <v>0</v>
      </c>
      <c r="O7" s="249"/>
      <c r="P7" s="249"/>
      <c r="Q7" s="249"/>
      <c r="R7" s="232" t="s">
        <v>0</v>
      </c>
      <c r="S7" s="249"/>
      <c r="T7" s="249"/>
      <c r="U7" s="49" t="s">
        <v>0</v>
      </c>
    </row>
    <row r="8" spans="1:21" ht="15.75">
      <c r="A8" s="227" t="s">
        <v>28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9"/>
      <c r="N8" s="230" t="s">
        <v>3</v>
      </c>
      <c r="O8" s="228"/>
      <c r="P8" s="228"/>
      <c r="Q8" s="228"/>
      <c r="R8" s="231" t="s">
        <v>29</v>
      </c>
      <c r="S8" s="228"/>
      <c r="T8" s="228"/>
      <c r="U8" s="50" t="s">
        <v>0</v>
      </c>
    </row>
    <row r="9" spans="1:21" ht="31.5">
      <c r="A9" s="51" t="s">
        <v>30</v>
      </c>
      <c r="B9" s="51" t="s">
        <v>31</v>
      </c>
      <c r="C9" s="51" t="s">
        <v>32</v>
      </c>
      <c r="D9" s="51" t="s">
        <v>33</v>
      </c>
      <c r="E9" s="51" t="s">
        <v>34</v>
      </c>
      <c r="F9" s="51" t="s">
        <v>35</v>
      </c>
      <c r="G9" s="51" t="s">
        <v>36</v>
      </c>
      <c r="H9" s="51" t="s">
        <v>4</v>
      </c>
      <c r="I9" s="51" t="s">
        <v>5</v>
      </c>
      <c r="J9" s="51" t="s">
        <v>37</v>
      </c>
      <c r="K9" s="51" t="s">
        <v>38</v>
      </c>
      <c r="L9" s="51" t="s">
        <v>39</v>
      </c>
      <c r="M9" s="52" t="s">
        <v>40</v>
      </c>
      <c r="N9" s="53" t="s">
        <v>11</v>
      </c>
      <c r="O9" s="53" t="s">
        <v>13</v>
      </c>
      <c r="P9" s="53" t="s">
        <v>14</v>
      </c>
      <c r="Q9" s="53" t="s">
        <v>15</v>
      </c>
      <c r="R9" s="54" t="s">
        <v>41</v>
      </c>
      <c r="S9" s="53" t="s">
        <v>42</v>
      </c>
      <c r="T9" s="53" t="s">
        <v>43</v>
      </c>
      <c r="U9" s="50" t="s">
        <v>0</v>
      </c>
    </row>
    <row r="10" spans="1:21" ht="15.75">
      <c r="A10" s="55" t="s">
        <v>0</v>
      </c>
      <c r="B10" s="55" t="s">
        <v>0</v>
      </c>
      <c r="C10" s="55" t="s">
        <v>0</v>
      </c>
      <c r="D10" s="55" t="s">
        <v>0</v>
      </c>
      <c r="E10" s="55" t="s">
        <v>0</v>
      </c>
      <c r="F10" s="55" t="s">
        <v>0</v>
      </c>
      <c r="G10" s="55" t="s">
        <v>0</v>
      </c>
      <c r="H10" s="55" t="s">
        <v>0</v>
      </c>
      <c r="I10" s="55" t="s">
        <v>0</v>
      </c>
      <c r="J10" s="55" t="s">
        <v>0</v>
      </c>
      <c r="K10" s="55" t="s">
        <v>0</v>
      </c>
      <c r="L10" s="55" t="s">
        <v>0</v>
      </c>
      <c r="M10" s="56" t="s">
        <v>0</v>
      </c>
      <c r="N10" s="57" t="s">
        <v>12</v>
      </c>
      <c r="O10" s="57" t="s">
        <v>12</v>
      </c>
      <c r="P10" s="57" t="s">
        <v>12</v>
      </c>
      <c r="Q10" s="57" t="s">
        <v>12</v>
      </c>
      <c r="R10" s="58" t="s">
        <v>12</v>
      </c>
      <c r="S10" s="57" t="s">
        <v>12</v>
      </c>
      <c r="T10" s="57" t="s">
        <v>12</v>
      </c>
      <c r="U10" s="50" t="s">
        <v>0</v>
      </c>
    </row>
    <row r="11" spans="1:21" ht="15.75">
      <c r="A11" s="59" t="s">
        <v>0</v>
      </c>
      <c r="B11" s="59" t="s">
        <v>0</v>
      </c>
      <c r="C11" s="59" t="s">
        <v>0</v>
      </c>
      <c r="D11" s="60" t="s">
        <v>44</v>
      </c>
      <c r="E11" s="59" t="s">
        <v>0</v>
      </c>
      <c r="F11" s="59" t="s">
        <v>0</v>
      </c>
      <c r="G11" s="59" t="s">
        <v>0</v>
      </c>
      <c r="H11" s="59" t="s">
        <v>0</v>
      </c>
      <c r="I11" s="59" t="s">
        <v>0</v>
      </c>
      <c r="J11" s="59" t="s">
        <v>0</v>
      </c>
      <c r="K11" s="59" t="s">
        <v>0</v>
      </c>
      <c r="L11" s="59" t="s">
        <v>0</v>
      </c>
      <c r="M11" s="61" t="s">
        <v>0</v>
      </c>
      <c r="N11" s="62">
        <v>0</v>
      </c>
      <c r="O11" s="62">
        <v>0</v>
      </c>
      <c r="P11" s="62">
        <v>0</v>
      </c>
      <c r="Q11" s="62">
        <v>0</v>
      </c>
      <c r="R11" s="63">
        <v>0</v>
      </c>
      <c r="S11" s="62">
        <v>0</v>
      </c>
      <c r="T11" s="62">
        <v>0</v>
      </c>
      <c r="U11" s="50" t="s">
        <v>0</v>
      </c>
    </row>
    <row r="12" spans="1:21" ht="14.45" customHeight="1">
      <c r="A12" s="64">
        <v>45642</v>
      </c>
      <c r="B12" s="64">
        <v>45642</v>
      </c>
      <c r="C12" s="64">
        <v>45642</v>
      </c>
      <c r="D12" s="65" t="s">
        <v>1</v>
      </c>
      <c r="E12" s="65" t="s">
        <v>45</v>
      </c>
      <c r="F12" s="65"/>
      <c r="G12" s="65" t="s">
        <v>46</v>
      </c>
      <c r="H12" s="65"/>
      <c r="I12" s="66" t="s">
        <v>12</v>
      </c>
      <c r="J12" s="67">
        <v>0</v>
      </c>
      <c r="K12" s="68">
        <v>1</v>
      </c>
      <c r="L12" s="67">
        <v>0</v>
      </c>
      <c r="M12" s="69">
        <v>0</v>
      </c>
      <c r="N12" s="70">
        <v>0</v>
      </c>
      <c r="O12" s="70">
        <v>0</v>
      </c>
      <c r="P12" s="70">
        <v>0</v>
      </c>
      <c r="Q12" s="70">
        <v>0</v>
      </c>
      <c r="R12" s="71">
        <v>0</v>
      </c>
      <c r="S12" s="70">
        <v>0</v>
      </c>
      <c r="T12" s="70">
        <v>0</v>
      </c>
      <c r="U12" s="72" t="s">
        <v>0</v>
      </c>
    </row>
    <row r="13" spans="1:21" ht="14.45" customHeight="1">
      <c r="A13" s="64">
        <v>45688</v>
      </c>
      <c r="B13" s="64">
        <v>45678</v>
      </c>
      <c r="C13" s="64">
        <v>45678</v>
      </c>
      <c r="D13" s="65" t="s">
        <v>47</v>
      </c>
      <c r="E13" s="65" t="s">
        <v>0</v>
      </c>
      <c r="F13" s="65"/>
      <c r="G13" s="65" t="s">
        <v>48</v>
      </c>
      <c r="H13" s="65" t="s">
        <v>14</v>
      </c>
      <c r="I13" s="66" t="s">
        <v>12</v>
      </c>
      <c r="J13" s="67">
        <v>-142600000</v>
      </c>
      <c r="K13" s="68">
        <v>0</v>
      </c>
      <c r="L13" s="67">
        <v>0</v>
      </c>
      <c r="M13" s="69">
        <v>0</v>
      </c>
      <c r="N13" s="70">
        <v>0</v>
      </c>
      <c r="O13" s="70">
        <v>0</v>
      </c>
      <c r="P13" s="70">
        <v>-142600000</v>
      </c>
      <c r="Q13" s="70">
        <v>0</v>
      </c>
      <c r="R13" s="71">
        <v>0</v>
      </c>
      <c r="S13" s="70">
        <v>0</v>
      </c>
      <c r="T13" s="70">
        <v>0</v>
      </c>
      <c r="U13" s="72" t="s">
        <v>0</v>
      </c>
    </row>
    <row r="14" spans="1:21" ht="14.45" customHeight="1">
      <c r="A14" s="64">
        <v>45688</v>
      </c>
      <c r="B14" s="64">
        <v>45678</v>
      </c>
      <c r="C14" s="64">
        <v>45678</v>
      </c>
      <c r="D14" s="65" t="s">
        <v>1</v>
      </c>
      <c r="E14" s="65" t="s">
        <v>45</v>
      </c>
      <c r="F14" s="65"/>
      <c r="G14" s="65" t="s">
        <v>49</v>
      </c>
      <c r="H14" s="65" t="s">
        <v>14</v>
      </c>
      <c r="I14" s="66" t="s">
        <v>12</v>
      </c>
      <c r="J14" s="67">
        <v>142600000</v>
      </c>
      <c r="K14" s="68">
        <v>1</v>
      </c>
      <c r="L14" s="67">
        <v>0</v>
      </c>
      <c r="M14" s="69">
        <v>0</v>
      </c>
      <c r="N14" s="70">
        <v>0</v>
      </c>
      <c r="O14" s="70">
        <v>0</v>
      </c>
      <c r="P14" s="70">
        <v>0</v>
      </c>
      <c r="Q14" s="70">
        <v>0</v>
      </c>
      <c r="R14" s="71">
        <v>0</v>
      </c>
      <c r="S14" s="70">
        <v>0</v>
      </c>
      <c r="T14" s="70">
        <v>0</v>
      </c>
      <c r="U14" s="72" t="s">
        <v>0</v>
      </c>
    </row>
    <row r="15" spans="1:21" ht="14.45" customHeight="1">
      <c r="A15" s="64">
        <v>45688</v>
      </c>
      <c r="B15" s="64">
        <v>45688</v>
      </c>
      <c r="C15" s="64">
        <v>45688</v>
      </c>
      <c r="D15" s="65" t="s">
        <v>1</v>
      </c>
      <c r="E15" s="65" t="s">
        <v>45</v>
      </c>
      <c r="F15" s="65"/>
      <c r="G15" s="65" t="s">
        <v>49</v>
      </c>
      <c r="H15" s="65" t="s">
        <v>14</v>
      </c>
      <c r="I15" s="66" t="s">
        <v>12</v>
      </c>
      <c r="J15" s="67">
        <v>72000000</v>
      </c>
      <c r="K15" s="68">
        <v>1</v>
      </c>
      <c r="L15" s="67">
        <v>0</v>
      </c>
      <c r="M15" s="69">
        <v>0</v>
      </c>
      <c r="N15" s="70">
        <v>0</v>
      </c>
      <c r="O15" s="70">
        <v>0</v>
      </c>
      <c r="P15" s="70">
        <v>72000000</v>
      </c>
      <c r="Q15" s="70">
        <v>0</v>
      </c>
      <c r="R15" s="71">
        <v>0</v>
      </c>
      <c r="S15" s="70">
        <v>0</v>
      </c>
      <c r="T15" s="70">
        <v>0</v>
      </c>
      <c r="U15" s="72" t="s">
        <v>0</v>
      </c>
    </row>
    <row r="16" spans="1:21" ht="14.45" customHeight="1">
      <c r="A16" s="64">
        <v>45692</v>
      </c>
      <c r="B16" s="64">
        <v>45686</v>
      </c>
      <c r="C16" s="64">
        <v>45686</v>
      </c>
      <c r="D16" s="65" t="s">
        <v>50</v>
      </c>
      <c r="E16" s="65" t="s">
        <v>51</v>
      </c>
      <c r="F16" s="65" t="s">
        <v>52</v>
      </c>
      <c r="G16" s="65" t="s">
        <v>53</v>
      </c>
      <c r="H16" s="65"/>
      <c r="I16" s="66" t="s">
        <v>12</v>
      </c>
      <c r="J16" s="67">
        <v>0</v>
      </c>
      <c r="K16" s="68">
        <v>0</v>
      </c>
      <c r="L16" s="67">
        <v>-491762.96</v>
      </c>
      <c r="M16" s="69">
        <v>0</v>
      </c>
      <c r="N16" s="70">
        <v>0</v>
      </c>
      <c r="O16" s="70">
        <v>0</v>
      </c>
      <c r="P16" s="70">
        <v>72000000</v>
      </c>
      <c r="Q16" s="70">
        <v>0</v>
      </c>
      <c r="R16" s="71">
        <v>-491762.96</v>
      </c>
      <c r="S16" s="70">
        <v>0</v>
      </c>
      <c r="T16" s="70">
        <v>-491762.96</v>
      </c>
      <c r="U16" s="72" t="s">
        <v>0</v>
      </c>
    </row>
    <row r="17" spans="1:21" ht="14.45" customHeight="1">
      <c r="A17" s="64">
        <v>45693</v>
      </c>
      <c r="B17" s="64">
        <v>45660</v>
      </c>
      <c r="C17" s="64">
        <v>45660</v>
      </c>
      <c r="D17" s="65" t="s">
        <v>54</v>
      </c>
      <c r="E17" s="65" t="s">
        <v>55</v>
      </c>
      <c r="F17" s="65" t="s">
        <v>56</v>
      </c>
      <c r="G17" s="65" t="s">
        <v>57</v>
      </c>
      <c r="H17" s="65"/>
      <c r="I17" s="66" t="s">
        <v>12</v>
      </c>
      <c r="J17" s="67">
        <v>0</v>
      </c>
      <c r="K17" s="68">
        <v>0</v>
      </c>
      <c r="L17" s="67">
        <v>8327.77</v>
      </c>
      <c r="M17" s="69">
        <v>0</v>
      </c>
      <c r="N17" s="70">
        <v>0</v>
      </c>
      <c r="O17" s="70">
        <v>0</v>
      </c>
      <c r="P17" s="70">
        <v>72000000</v>
      </c>
      <c r="Q17" s="70">
        <v>0</v>
      </c>
      <c r="R17" s="71">
        <v>-483435.19</v>
      </c>
      <c r="S17" s="70">
        <v>0</v>
      </c>
      <c r="T17" s="70">
        <v>-483435.19</v>
      </c>
      <c r="U17" s="72" t="s">
        <v>0</v>
      </c>
    </row>
    <row r="18" spans="1:21" ht="14.45" customHeight="1">
      <c r="A18" s="64">
        <v>45693</v>
      </c>
      <c r="B18" s="64">
        <v>45691</v>
      </c>
      <c r="C18" s="64">
        <v>45691</v>
      </c>
      <c r="D18" s="65" t="s">
        <v>54</v>
      </c>
      <c r="E18" s="65" t="s">
        <v>55</v>
      </c>
      <c r="F18" s="65" t="s">
        <v>56</v>
      </c>
      <c r="G18" s="65" t="s">
        <v>57</v>
      </c>
      <c r="H18" s="65"/>
      <c r="I18" s="66" t="s">
        <v>12</v>
      </c>
      <c r="J18" s="67">
        <v>0</v>
      </c>
      <c r="K18" s="68">
        <v>0</v>
      </c>
      <c r="L18" s="67">
        <v>8657.36</v>
      </c>
      <c r="M18" s="69">
        <v>0</v>
      </c>
      <c r="N18" s="70">
        <v>0</v>
      </c>
      <c r="O18" s="70">
        <v>0</v>
      </c>
      <c r="P18" s="70">
        <v>72000000</v>
      </c>
      <c r="Q18" s="70">
        <v>0</v>
      </c>
      <c r="R18" s="71">
        <v>-474777.83</v>
      </c>
      <c r="S18" s="70">
        <v>0</v>
      </c>
      <c r="T18" s="70">
        <v>-474777.83</v>
      </c>
      <c r="U18" s="72" t="s">
        <v>0</v>
      </c>
    </row>
    <row r="19" spans="1:21" ht="14.45" customHeight="1">
      <c r="A19" s="64">
        <v>45693</v>
      </c>
      <c r="B19" s="64">
        <v>45657</v>
      </c>
      <c r="C19" s="64">
        <v>45657</v>
      </c>
      <c r="D19" s="65" t="s">
        <v>58</v>
      </c>
      <c r="E19" s="65" t="s">
        <v>59</v>
      </c>
      <c r="F19" s="65"/>
      <c r="G19" s="65" t="s">
        <v>60</v>
      </c>
      <c r="H19" s="65"/>
      <c r="I19" s="66" t="s">
        <v>12</v>
      </c>
      <c r="J19" s="67">
        <v>0</v>
      </c>
      <c r="K19" s="68">
        <v>0</v>
      </c>
      <c r="L19" s="67">
        <v>522.15</v>
      </c>
      <c r="M19" s="73"/>
      <c r="N19" s="70">
        <v>0</v>
      </c>
      <c r="O19" s="70">
        <v>0</v>
      </c>
      <c r="P19" s="70">
        <v>72000000</v>
      </c>
      <c r="Q19" s="70">
        <v>0</v>
      </c>
      <c r="R19" s="71">
        <v>-474255.68</v>
      </c>
      <c r="S19" s="70">
        <v>0</v>
      </c>
      <c r="T19" s="70">
        <v>-474255.68</v>
      </c>
      <c r="U19" s="72" t="s">
        <v>0</v>
      </c>
    </row>
    <row r="20" spans="1:21" ht="14.45" customHeight="1">
      <c r="A20" s="64">
        <v>45693</v>
      </c>
      <c r="B20" s="64">
        <v>45659</v>
      </c>
      <c r="C20" s="64">
        <v>45659</v>
      </c>
      <c r="D20" s="65" t="s">
        <v>61</v>
      </c>
      <c r="E20" s="65" t="s">
        <v>62</v>
      </c>
      <c r="F20" s="65" t="s">
        <v>63</v>
      </c>
      <c r="G20" s="65" t="s">
        <v>57</v>
      </c>
      <c r="H20" s="65"/>
      <c r="I20" s="66" t="s">
        <v>12</v>
      </c>
      <c r="J20" s="67">
        <v>0</v>
      </c>
      <c r="K20" s="68">
        <v>0</v>
      </c>
      <c r="L20" s="67">
        <v>28686.7</v>
      </c>
      <c r="M20" s="69">
        <v>0</v>
      </c>
      <c r="N20" s="70">
        <v>0</v>
      </c>
      <c r="O20" s="70">
        <v>0</v>
      </c>
      <c r="P20" s="70">
        <v>72000000</v>
      </c>
      <c r="Q20" s="70">
        <v>0</v>
      </c>
      <c r="R20" s="71">
        <v>-445568.98</v>
      </c>
      <c r="S20" s="70">
        <v>0</v>
      </c>
      <c r="T20" s="70">
        <v>-445568.98</v>
      </c>
      <c r="U20" s="72" t="s">
        <v>0</v>
      </c>
    </row>
    <row r="21" spans="1:21" ht="14.45" customHeight="1">
      <c r="A21" s="64">
        <v>45693</v>
      </c>
      <c r="B21" s="64">
        <v>45691</v>
      </c>
      <c r="C21" s="64">
        <v>45691</v>
      </c>
      <c r="D21" s="65" t="s">
        <v>61</v>
      </c>
      <c r="E21" s="65" t="s">
        <v>62</v>
      </c>
      <c r="F21" s="65" t="s">
        <v>63</v>
      </c>
      <c r="G21" s="65" t="s">
        <v>57</v>
      </c>
      <c r="H21" s="65"/>
      <c r="I21" s="66" t="s">
        <v>12</v>
      </c>
      <c r="J21" s="67">
        <v>0</v>
      </c>
      <c r="K21" s="68">
        <v>0</v>
      </c>
      <c r="L21" s="67">
        <v>29089.33</v>
      </c>
      <c r="M21" s="69">
        <v>0</v>
      </c>
      <c r="N21" s="70">
        <v>0</v>
      </c>
      <c r="O21" s="70">
        <v>0</v>
      </c>
      <c r="P21" s="70">
        <v>72000000</v>
      </c>
      <c r="Q21" s="70">
        <v>0</v>
      </c>
      <c r="R21" s="71">
        <v>-416479.65</v>
      </c>
      <c r="S21" s="70">
        <v>0</v>
      </c>
      <c r="T21" s="70">
        <v>-416479.65</v>
      </c>
      <c r="U21" s="72" t="s">
        <v>0</v>
      </c>
    </row>
    <row r="22" spans="1:21" ht="14.45" customHeight="1">
      <c r="A22" s="64">
        <v>45693</v>
      </c>
      <c r="B22" s="64">
        <v>45688</v>
      </c>
      <c r="C22" s="64">
        <v>45688</v>
      </c>
      <c r="D22" s="65" t="s">
        <v>64</v>
      </c>
      <c r="E22" s="65" t="s">
        <v>65</v>
      </c>
      <c r="F22" s="65"/>
      <c r="G22" s="65" t="s">
        <v>66</v>
      </c>
      <c r="H22" s="65" t="s">
        <v>13</v>
      </c>
      <c r="I22" s="66" t="s">
        <v>12</v>
      </c>
      <c r="J22" s="67">
        <v>58716.25</v>
      </c>
      <c r="K22" s="68">
        <v>0</v>
      </c>
      <c r="L22" s="67">
        <v>0</v>
      </c>
      <c r="M22" s="69">
        <v>0</v>
      </c>
      <c r="N22" s="70">
        <v>0</v>
      </c>
      <c r="O22" s="70">
        <v>58716.25</v>
      </c>
      <c r="P22" s="70">
        <v>72000000</v>
      </c>
      <c r="Q22" s="70">
        <v>0</v>
      </c>
      <c r="R22" s="71">
        <v>-416479.65</v>
      </c>
      <c r="S22" s="70">
        <v>0</v>
      </c>
      <c r="T22" s="70">
        <v>-416479.65</v>
      </c>
      <c r="U22" s="72" t="s">
        <v>0</v>
      </c>
    </row>
    <row r="23" spans="1:21" ht="14.45" customHeight="1">
      <c r="A23" s="64">
        <v>45693</v>
      </c>
      <c r="B23" s="64">
        <v>45688</v>
      </c>
      <c r="C23" s="64">
        <v>45688</v>
      </c>
      <c r="D23" s="65" t="s">
        <v>67</v>
      </c>
      <c r="E23" s="65" t="s">
        <v>65</v>
      </c>
      <c r="F23" s="65" t="s">
        <v>68</v>
      </c>
      <c r="G23" s="65" t="s">
        <v>66</v>
      </c>
      <c r="H23" s="65" t="s">
        <v>13</v>
      </c>
      <c r="I23" s="66" t="s">
        <v>12</v>
      </c>
      <c r="J23" s="67">
        <v>12119.62</v>
      </c>
      <c r="K23" s="68">
        <v>0</v>
      </c>
      <c r="L23" s="67">
        <v>0</v>
      </c>
      <c r="M23" s="69">
        <v>0</v>
      </c>
      <c r="N23" s="70">
        <v>0</v>
      </c>
      <c r="O23" s="70">
        <v>70835.87</v>
      </c>
      <c r="P23" s="70">
        <v>72000000</v>
      </c>
      <c r="Q23" s="70">
        <v>0</v>
      </c>
      <c r="R23" s="71">
        <v>-416479.65</v>
      </c>
      <c r="S23" s="70">
        <v>0</v>
      </c>
      <c r="T23" s="70">
        <v>-416479.65</v>
      </c>
      <c r="U23" s="72" t="s">
        <v>0</v>
      </c>
    </row>
    <row r="24" spans="1:21" ht="14.45" customHeight="1">
      <c r="A24" s="64">
        <v>45693</v>
      </c>
      <c r="B24" s="64">
        <v>45688</v>
      </c>
      <c r="C24" s="64">
        <v>45688</v>
      </c>
      <c r="D24" s="65" t="s">
        <v>69</v>
      </c>
      <c r="E24" s="65" t="s">
        <v>65</v>
      </c>
      <c r="F24" s="65" t="s">
        <v>70</v>
      </c>
      <c r="G24" s="65" t="s">
        <v>66</v>
      </c>
      <c r="H24" s="65" t="s">
        <v>13</v>
      </c>
      <c r="I24" s="66" t="s">
        <v>12</v>
      </c>
      <c r="J24" s="67">
        <v>28603.02</v>
      </c>
      <c r="K24" s="68">
        <v>0</v>
      </c>
      <c r="L24" s="67">
        <v>0</v>
      </c>
      <c r="M24" s="69">
        <v>0</v>
      </c>
      <c r="N24" s="70">
        <v>0</v>
      </c>
      <c r="O24" s="70">
        <v>99438.89</v>
      </c>
      <c r="P24" s="70">
        <v>72000000</v>
      </c>
      <c r="Q24" s="70">
        <v>0</v>
      </c>
      <c r="R24" s="71">
        <v>-416479.65</v>
      </c>
      <c r="S24" s="70">
        <v>0</v>
      </c>
      <c r="T24" s="70">
        <v>-416479.65</v>
      </c>
      <c r="U24" s="72" t="s">
        <v>0</v>
      </c>
    </row>
    <row r="25" spans="1:21" ht="14.45" customHeight="1">
      <c r="A25" s="64">
        <v>45693</v>
      </c>
      <c r="B25" s="64">
        <v>45688</v>
      </c>
      <c r="C25" s="64">
        <v>45688</v>
      </c>
      <c r="D25" s="65" t="s">
        <v>69</v>
      </c>
      <c r="E25" s="65" t="s">
        <v>65</v>
      </c>
      <c r="F25" s="65" t="s">
        <v>70</v>
      </c>
      <c r="G25" s="65" t="s">
        <v>71</v>
      </c>
      <c r="H25" s="65" t="s">
        <v>14</v>
      </c>
      <c r="I25" s="66" t="s">
        <v>12</v>
      </c>
      <c r="J25" s="67">
        <v>22715.13</v>
      </c>
      <c r="K25" s="68">
        <v>1</v>
      </c>
      <c r="L25" s="67">
        <v>-22715.13</v>
      </c>
      <c r="M25" s="69">
        <v>0</v>
      </c>
      <c r="N25" s="70">
        <v>0</v>
      </c>
      <c r="O25" s="70">
        <v>99438.89</v>
      </c>
      <c r="P25" s="70">
        <v>72022715.129999995</v>
      </c>
      <c r="Q25" s="70">
        <v>0</v>
      </c>
      <c r="R25" s="71">
        <v>-439194.78</v>
      </c>
      <c r="S25" s="70">
        <v>0</v>
      </c>
      <c r="T25" s="70">
        <v>-439194.78</v>
      </c>
      <c r="U25" s="72" t="s">
        <v>0</v>
      </c>
    </row>
    <row r="26" spans="1:21" ht="14.45" customHeight="1">
      <c r="A26" s="64">
        <v>45693</v>
      </c>
      <c r="B26" s="64">
        <v>45688</v>
      </c>
      <c r="C26" s="64">
        <v>45688</v>
      </c>
      <c r="D26" s="65" t="s">
        <v>69</v>
      </c>
      <c r="E26" s="65" t="s">
        <v>65</v>
      </c>
      <c r="F26" s="65" t="s">
        <v>70</v>
      </c>
      <c r="G26" s="65" t="s">
        <v>72</v>
      </c>
      <c r="H26" s="65" t="s">
        <v>14</v>
      </c>
      <c r="I26" s="66" t="s">
        <v>12</v>
      </c>
      <c r="J26" s="67">
        <v>227.15</v>
      </c>
      <c r="K26" s="68">
        <v>0</v>
      </c>
      <c r="L26" s="67">
        <v>0</v>
      </c>
      <c r="M26" s="69">
        <v>0</v>
      </c>
      <c r="N26" s="70">
        <v>0</v>
      </c>
      <c r="O26" s="70">
        <v>99438.89</v>
      </c>
      <c r="P26" s="70">
        <v>72022942.280000001</v>
      </c>
      <c r="Q26" s="70">
        <v>0</v>
      </c>
      <c r="R26" s="71">
        <v>-439194.78</v>
      </c>
      <c r="S26" s="70">
        <v>0</v>
      </c>
      <c r="T26" s="70">
        <v>-439194.78</v>
      </c>
      <c r="U26" s="72" t="s">
        <v>0</v>
      </c>
    </row>
    <row r="27" spans="1:21" ht="14.45" customHeight="1">
      <c r="A27" s="64">
        <v>45693</v>
      </c>
      <c r="B27" s="64">
        <v>45688</v>
      </c>
      <c r="C27" s="64">
        <v>45674</v>
      </c>
      <c r="D27" s="65" t="s">
        <v>73</v>
      </c>
      <c r="E27" s="65" t="s">
        <v>74</v>
      </c>
      <c r="F27" s="65" t="s">
        <v>75</v>
      </c>
      <c r="G27" s="65" t="s">
        <v>76</v>
      </c>
      <c r="H27" s="65" t="s">
        <v>14</v>
      </c>
      <c r="I27" s="66" t="s">
        <v>12</v>
      </c>
      <c r="J27" s="67">
        <v>-14973750</v>
      </c>
      <c r="K27" s="68">
        <v>0.99819999999999998</v>
      </c>
      <c r="L27" s="67">
        <v>15000000</v>
      </c>
      <c r="M27" s="69">
        <v>0</v>
      </c>
      <c r="N27" s="70">
        <v>0</v>
      </c>
      <c r="O27" s="70">
        <v>99438.89</v>
      </c>
      <c r="P27" s="70">
        <v>57049192.280000001</v>
      </c>
      <c r="Q27" s="70">
        <v>0</v>
      </c>
      <c r="R27" s="71">
        <v>14560805.220000001</v>
      </c>
      <c r="S27" s="70">
        <v>0</v>
      </c>
      <c r="T27" s="70">
        <v>14560805.220000001</v>
      </c>
      <c r="U27" s="72" t="s">
        <v>0</v>
      </c>
    </row>
    <row r="28" spans="1:21" ht="14.45" customHeight="1">
      <c r="A28" s="64">
        <v>45693</v>
      </c>
      <c r="B28" s="64">
        <v>45657</v>
      </c>
      <c r="C28" s="64">
        <v>45657</v>
      </c>
      <c r="D28" s="65" t="s">
        <v>77</v>
      </c>
      <c r="E28" s="65" t="s">
        <v>0</v>
      </c>
      <c r="F28" s="65"/>
      <c r="G28" s="65" t="s">
        <v>48</v>
      </c>
      <c r="H28" s="65" t="s">
        <v>14</v>
      </c>
      <c r="I28" s="66" t="s">
        <v>12</v>
      </c>
      <c r="J28" s="67">
        <v>298635198.29000002</v>
      </c>
      <c r="K28" s="68">
        <v>0</v>
      </c>
      <c r="L28" s="67">
        <v>0</v>
      </c>
      <c r="M28" s="69">
        <v>0</v>
      </c>
      <c r="N28" s="70">
        <v>0</v>
      </c>
      <c r="O28" s="70">
        <v>99438.89</v>
      </c>
      <c r="P28" s="70">
        <v>355684390.56999999</v>
      </c>
      <c r="Q28" s="70">
        <v>0</v>
      </c>
      <c r="R28" s="71">
        <v>14560805.220000001</v>
      </c>
      <c r="S28" s="70">
        <v>0</v>
      </c>
      <c r="T28" s="70">
        <v>14560805.220000001</v>
      </c>
      <c r="U28" s="72" t="s">
        <v>0</v>
      </c>
    </row>
    <row r="29" spans="1:21" ht="14.45" customHeight="1">
      <c r="A29" s="64">
        <v>45693</v>
      </c>
      <c r="B29" s="64">
        <v>45685</v>
      </c>
      <c r="C29" s="64">
        <v>45646</v>
      </c>
      <c r="D29" s="65" t="s">
        <v>78</v>
      </c>
      <c r="E29" s="65" t="s">
        <v>65</v>
      </c>
      <c r="F29" s="65" t="s">
        <v>79</v>
      </c>
      <c r="G29" s="65" t="s">
        <v>76</v>
      </c>
      <c r="H29" s="65" t="s">
        <v>14</v>
      </c>
      <c r="I29" s="66" t="s">
        <v>12</v>
      </c>
      <c r="J29" s="67">
        <v>-3879466.43</v>
      </c>
      <c r="K29" s="68">
        <v>0.98499999999999999</v>
      </c>
      <c r="L29" s="67">
        <v>3940540.63</v>
      </c>
      <c r="M29" s="69">
        <v>0</v>
      </c>
      <c r="N29" s="70">
        <v>0</v>
      </c>
      <c r="O29" s="70">
        <v>99438.89</v>
      </c>
      <c r="P29" s="70">
        <v>351804924.13999999</v>
      </c>
      <c r="Q29" s="70">
        <v>0</v>
      </c>
      <c r="R29" s="71">
        <v>18501345.850000001</v>
      </c>
      <c r="S29" s="70">
        <v>0</v>
      </c>
      <c r="T29" s="70">
        <v>18501345.850000001</v>
      </c>
      <c r="U29" s="72" t="s">
        <v>0</v>
      </c>
    </row>
    <row r="30" spans="1:21" ht="14.45" customHeight="1">
      <c r="A30" s="64">
        <v>45693</v>
      </c>
      <c r="B30" s="64">
        <v>45665</v>
      </c>
      <c r="C30" s="64">
        <v>45593</v>
      </c>
      <c r="D30" s="65" t="s">
        <v>80</v>
      </c>
      <c r="E30" s="65" t="s">
        <v>81</v>
      </c>
      <c r="F30" s="65" t="s">
        <v>82</v>
      </c>
      <c r="G30" s="65" t="s">
        <v>76</v>
      </c>
      <c r="H30" s="65" t="s">
        <v>14</v>
      </c>
      <c r="I30" s="66" t="s">
        <v>12</v>
      </c>
      <c r="J30" s="67">
        <v>-1719796.13</v>
      </c>
      <c r="K30" s="68">
        <v>1</v>
      </c>
      <c r="L30" s="67">
        <v>1719796.13</v>
      </c>
      <c r="M30" s="69">
        <v>0</v>
      </c>
      <c r="N30" s="70">
        <v>0</v>
      </c>
      <c r="O30" s="70">
        <v>99438.89</v>
      </c>
      <c r="P30" s="70">
        <v>350085128.00999999</v>
      </c>
      <c r="Q30" s="70">
        <v>0</v>
      </c>
      <c r="R30" s="71">
        <v>20221141.98</v>
      </c>
      <c r="S30" s="70">
        <v>0</v>
      </c>
      <c r="T30" s="70">
        <v>20221141.98</v>
      </c>
      <c r="U30" s="72" t="s">
        <v>0</v>
      </c>
    </row>
    <row r="31" spans="1:21" ht="14.45" customHeight="1">
      <c r="A31" s="64">
        <v>45693</v>
      </c>
      <c r="B31" s="64">
        <v>45665</v>
      </c>
      <c r="C31" s="64">
        <v>45593</v>
      </c>
      <c r="D31" s="65" t="s">
        <v>80</v>
      </c>
      <c r="E31" s="65" t="s">
        <v>83</v>
      </c>
      <c r="F31" s="65" t="s">
        <v>84</v>
      </c>
      <c r="G31" s="65" t="s">
        <v>76</v>
      </c>
      <c r="H31" s="65" t="s">
        <v>14</v>
      </c>
      <c r="I31" s="66" t="s">
        <v>12</v>
      </c>
      <c r="J31" s="67">
        <v>-6365000</v>
      </c>
      <c r="K31" s="68">
        <v>1</v>
      </c>
      <c r="L31" s="67">
        <v>6365000</v>
      </c>
      <c r="M31" s="69">
        <v>0</v>
      </c>
      <c r="N31" s="70">
        <v>0</v>
      </c>
      <c r="O31" s="70">
        <v>99438.89</v>
      </c>
      <c r="P31" s="70">
        <v>343720128.00999999</v>
      </c>
      <c r="Q31" s="70">
        <v>0</v>
      </c>
      <c r="R31" s="71">
        <v>26586141.98</v>
      </c>
      <c r="S31" s="70">
        <v>0</v>
      </c>
      <c r="T31" s="70">
        <v>26586141.98</v>
      </c>
      <c r="U31" s="72" t="s">
        <v>0</v>
      </c>
    </row>
    <row r="32" spans="1:21" ht="14.45" customHeight="1">
      <c r="A32" s="64">
        <v>45693</v>
      </c>
      <c r="B32" s="64">
        <v>45657</v>
      </c>
      <c r="C32" s="64">
        <v>45657</v>
      </c>
      <c r="D32" s="65" t="s">
        <v>85</v>
      </c>
      <c r="E32" s="65" t="s">
        <v>86</v>
      </c>
      <c r="F32" s="65"/>
      <c r="G32" s="65" t="s">
        <v>76</v>
      </c>
      <c r="H32" s="65" t="s">
        <v>14</v>
      </c>
      <c r="I32" s="66" t="s">
        <v>12</v>
      </c>
      <c r="J32" s="67">
        <v>-1612929.57</v>
      </c>
      <c r="K32" s="68">
        <v>1</v>
      </c>
      <c r="L32" s="67">
        <v>1612929.57</v>
      </c>
      <c r="M32" s="69">
        <v>0</v>
      </c>
      <c r="N32" s="70">
        <v>0</v>
      </c>
      <c r="O32" s="70">
        <v>99438.89</v>
      </c>
      <c r="P32" s="70">
        <v>342107198.44</v>
      </c>
      <c r="Q32" s="70">
        <v>0</v>
      </c>
      <c r="R32" s="71">
        <v>28199071.550000001</v>
      </c>
      <c r="S32" s="70">
        <v>0</v>
      </c>
      <c r="T32" s="70">
        <v>28199071.550000001</v>
      </c>
      <c r="U32" s="72" t="s">
        <v>0</v>
      </c>
    </row>
    <row r="33" spans="1:21" ht="14.45" customHeight="1">
      <c r="A33" s="64">
        <v>45693</v>
      </c>
      <c r="B33" s="64">
        <v>45657</v>
      </c>
      <c r="C33" s="64">
        <v>45657</v>
      </c>
      <c r="D33" s="65" t="s">
        <v>87</v>
      </c>
      <c r="E33" s="65" t="s">
        <v>65</v>
      </c>
      <c r="F33" s="65" t="s">
        <v>88</v>
      </c>
      <c r="G33" s="65" t="s">
        <v>76</v>
      </c>
      <c r="H33" s="65" t="s">
        <v>14</v>
      </c>
      <c r="I33" s="66" t="s">
        <v>12</v>
      </c>
      <c r="J33" s="67">
        <v>-2275336.9700000002</v>
      </c>
      <c r="K33" s="68">
        <v>1</v>
      </c>
      <c r="L33" s="67">
        <v>2275336.9700000002</v>
      </c>
      <c r="M33" s="69">
        <v>0</v>
      </c>
      <c r="N33" s="70">
        <v>0</v>
      </c>
      <c r="O33" s="70">
        <v>99438.89</v>
      </c>
      <c r="P33" s="70">
        <v>339831861.47000003</v>
      </c>
      <c r="Q33" s="70">
        <v>0</v>
      </c>
      <c r="R33" s="71">
        <v>30474408.52</v>
      </c>
      <c r="S33" s="70">
        <v>0</v>
      </c>
      <c r="T33" s="70">
        <v>30474408.52</v>
      </c>
      <c r="U33" s="72" t="s">
        <v>0</v>
      </c>
    </row>
    <row r="34" spans="1:21" ht="14.45" customHeight="1">
      <c r="A34" s="64">
        <v>45693</v>
      </c>
      <c r="B34" s="64">
        <v>45657</v>
      </c>
      <c r="C34" s="64">
        <v>45657</v>
      </c>
      <c r="D34" s="65" t="s">
        <v>69</v>
      </c>
      <c r="E34" s="65" t="s">
        <v>65</v>
      </c>
      <c r="F34" s="65" t="s">
        <v>70</v>
      </c>
      <c r="G34" s="65" t="s">
        <v>76</v>
      </c>
      <c r="H34" s="65" t="s">
        <v>14</v>
      </c>
      <c r="I34" s="66" t="s">
        <v>12</v>
      </c>
      <c r="J34" s="67">
        <v>-3286471.01</v>
      </c>
      <c r="K34" s="68">
        <v>1</v>
      </c>
      <c r="L34" s="67">
        <v>3286471.01</v>
      </c>
      <c r="M34" s="69">
        <v>0</v>
      </c>
      <c r="N34" s="70">
        <v>0</v>
      </c>
      <c r="O34" s="70">
        <v>99438.89</v>
      </c>
      <c r="P34" s="70">
        <v>336545390.45999998</v>
      </c>
      <c r="Q34" s="70">
        <v>0</v>
      </c>
      <c r="R34" s="71">
        <v>33760879.530000001</v>
      </c>
      <c r="S34" s="70">
        <v>0</v>
      </c>
      <c r="T34" s="70">
        <v>33760879.530000001</v>
      </c>
      <c r="U34" s="72" t="s">
        <v>0</v>
      </c>
    </row>
    <row r="35" spans="1:21" ht="14.45" customHeight="1">
      <c r="A35" s="64">
        <v>45693</v>
      </c>
      <c r="B35" s="64">
        <v>45657</v>
      </c>
      <c r="C35" s="64">
        <v>45657</v>
      </c>
      <c r="D35" s="65" t="s">
        <v>85</v>
      </c>
      <c r="E35" s="65" t="s">
        <v>89</v>
      </c>
      <c r="F35" s="65" t="s">
        <v>90</v>
      </c>
      <c r="G35" s="65" t="s">
        <v>76</v>
      </c>
      <c r="H35" s="65" t="s">
        <v>14</v>
      </c>
      <c r="I35" s="66" t="s">
        <v>12</v>
      </c>
      <c r="J35" s="67">
        <v>-2377281.12</v>
      </c>
      <c r="K35" s="68">
        <v>1</v>
      </c>
      <c r="L35" s="67">
        <v>2377281.12</v>
      </c>
      <c r="M35" s="69">
        <v>0</v>
      </c>
      <c r="N35" s="70">
        <v>0</v>
      </c>
      <c r="O35" s="70">
        <v>99438.89</v>
      </c>
      <c r="P35" s="70">
        <v>334168109.33999997</v>
      </c>
      <c r="Q35" s="70">
        <v>0</v>
      </c>
      <c r="R35" s="71">
        <v>36138160.649999999</v>
      </c>
      <c r="S35" s="70">
        <v>0</v>
      </c>
      <c r="T35" s="70">
        <v>36138160.649999999</v>
      </c>
      <c r="U35" s="72" t="s">
        <v>0</v>
      </c>
    </row>
    <row r="36" spans="1:21" ht="14.45" customHeight="1">
      <c r="A36" s="64">
        <v>45693</v>
      </c>
      <c r="B36" s="64">
        <v>45657</v>
      </c>
      <c r="C36" s="64">
        <v>45657</v>
      </c>
      <c r="D36" s="65" t="s">
        <v>91</v>
      </c>
      <c r="E36" s="65" t="s">
        <v>65</v>
      </c>
      <c r="F36" s="65" t="s">
        <v>92</v>
      </c>
      <c r="G36" s="65" t="s">
        <v>76</v>
      </c>
      <c r="H36" s="65" t="s">
        <v>14</v>
      </c>
      <c r="I36" s="66" t="s">
        <v>12</v>
      </c>
      <c r="J36" s="67">
        <v>-5060290.42</v>
      </c>
      <c r="K36" s="68">
        <v>1</v>
      </c>
      <c r="L36" s="67">
        <v>5060290.42</v>
      </c>
      <c r="M36" s="69">
        <v>0</v>
      </c>
      <c r="N36" s="70">
        <v>0</v>
      </c>
      <c r="O36" s="70">
        <v>99438.89</v>
      </c>
      <c r="P36" s="70">
        <v>329107818.92000002</v>
      </c>
      <c r="Q36" s="70">
        <v>0</v>
      </c>
      <c r="R36" s="71">
        <v>41198451.07</v>
      </c>
      <c r="S36" s="70">
        <v>0</v>
      </c>
      <c r="T36" s="70">
        <v>41198451.07</v>
      </c>
      <c r="U36" s="72" t="s">
        <v>0</v>
      </c>
    </row>
    <row r="37" spans="1:21" ht="14.45" customHeight="1">
      <c r="A37" s="64">
        <v>45693</v>
      </c>
      <c r="B37" s="64">
        <v>45657</v>
      </c>
      <c r="C37" s="64">
        <v>45657</v>
      </c>
      <c r="D37" s="65" t="s">
        <v>93</v>
      </c>
      <c r="E37" s="65" t="s">
        <v>86</v>
      </c>
      <c r="F37" s="65" t="s">
        <v>94</v>
      </c>
      <c r="G37" s="65" t="s">
        <v>76</v>
      </c>
      <c r="H37" s="65" t="s">
        <v>14</v>
      </c>
      <c r="I37" s="66" t="s">
        <v>12</v>
      </c>
      <c r="J37" s="67">
        <v>-3642206.07</v>
      </c>
      <c r="K37" s="68">
        <v>1</v>
      </c>
      <c r="L37" s="67">
        <v>3642206.07</v>
      </c>
      <c r="M37" s="69">
        <v>0</v>
      </c>
      <c r="N37" s="70">
        <v>0</v>
      </c>
      <c r="O37" s="70">
        <v>99438.89</v>
      </c>
      <c r="P37" s="70">
        <v>325465612.85000002</v>
      </c>
      <c r="Q37" s="70">
        <v>0</v>
      </c>
      <c r="R37" s="71">
        <v>44840657.140000001</v>
      </c>
      <c r="S37" s="70">
        <v>0</v>
      </c>
      <c r="T37" s="70">
        <v>44840657.140000001</v>
      </c>
      <c r="U37" s="72" t="s">
        <v>0</v>
      </c>
    </row>
    <row r="38" spans="1:21" ht="14.45" customHeight="1">
      <c r="A38" s="64">
        <v>45693</v>
      </c>
      <c r="B38" s="64">
        <v>45657</v>
      </c>
      <c r="C38" s="64">
        <v>45657</v>
      </c>
      <c r="D38" s="65" t="s">
        <v>95</v>
      </c>
      <c r="E38" s="65" t="s">
        <v>65</v>
      </c>
      <c r="F38" s="65" t="s">
        <v>96</v>
      </c>
      <c r="G38" s="65" t="s">
        <v>76</v>
      </c>
      <c r="H38" s="65" t="s">
        <v>14</v>
      </c>
      <c r="I38" s="66" t="s">
        <v>12</v>
      </c>
      <c r="J38" s="67">
        <v>-2193219.3199999998</v>
      </c>
      <c r="K38" s="68">
        <v>1</v>
      </c>
      <c r="L38" s="67">
        <v>2193219.3199999998</v>
      </c>
      <c r="M38" s="69">
        <v>0</v>
      </c>
      <c r="N38" s="70">
        <v>0</v>
      </c>
      <c r="O38" s="70">
        <v>99438.89</v>
      </c>
      <c r="P38" s="70">
        <v>323272393.52999997</v>
      </c>
      <c r="Q38" s="70">
        <v>0</v>
      </c>
      <c r="R38" s="71">
        <v>47033876.460000001</v>
      </c>
      <c r="S38" s="70">
        <v>0</v>
      </c>
      <c r="T38" s="70">
        <v>47033876.460000001</v>
      </c>
      <c r="U38" s="72" t="s">
        <v>0</v>
      </c>
    </row>
    <row r="39" spans="1:21" ht="14.45" customHeight="1">
      <c r="A39" s="64">
        <v>45693</v>
      </c>
      <c r="B39" s="64">
        <v>45657</v>
      </c>
      <c r="C39" s="64">
        <v>45657</v>
      </c>
      <c r="D39" s="65" t="s">
        <v>97</v>
      </c>
      <c r="E39" s="65" t="s">
        <v>65</v>
      </c>
      <c r="F39" s="65" t="s">
        <v>98</v>
      </c>
      <c r="G39" s="65" t="s">
        <v>76</v>
      </c>
      <c r="H39" s="65" t="s">
        <v>14</v>
      </c>
      <c r="I39" s="66" t="s">
        <v>12</v>
      </c>
      <c r="J39" s="67">
        <v>-3940075.38</v>
      </c>
      <c r="K39" s="68">
        <v>1</v>
      </c>
      <c r="L39" s="67">
        <v>3940075.38</v>
      </c>
      <c r="M39" s="69">
        <v>0</v>
      </c>
      <c r="N39" s="70">
        <v>0</v>
      </c>
      <c r="O39" s="70">
        <v>99438.89</v>
      </c>
      <c r="P39" s="70">
        <v>319332318.14999998</v>
      </c>
      <c r="Q39" s="70">
        <v>0</v>
      </c>
      <c r="R39" s="71">
        <v>50973951.840000004</v>
      </c>
      <c r="S39" s="70">
        <v>0</v>
      </c>
      <c r="T39" s="70">
        <v>50973951.840000004</v>
      </c>
      <c r="U39" s="72" t="s">
        <v>0</v>
      </c>
    </row>
    <row r="40" spans="1:21" ht="14.45" customHeight="1">
      <c r="A40" s="64">
        <v>45693</v>
      </c>
      <c r="B40" s="64">
        <v>45657</v>
      </c>
      <c r="C40" s="64">
        <v>45657</v>
      </c>
      <c r="D40" s="65" t="s">
        <v>99</v>
      </c>
      <c r="E40" s="65" t="s">
        <v>65</v>
      </c>
      <c r="F40" s="65" t="s">
        <v>100</v>
      </c>
      <c r="G40" s="65" t="s">
        <v>76</v>
      </c>
      <c r="H40" s="65" t="s">
        <v>14</v>
      </c>
      <c r="I40" s="66" t="s">
        <v>12</v>
      </c>
      <c r="J40" s="67">
        <v>-1119537.04</v>
      </c>
      <c r="K40" s="68">
        <v>1</v>
      </c>
      <c r="L40" s="67">
        <v>1119537.04</v>
      </c>
      <c r="M40" s="69">
        <v>0</v>
      </c>
      <c r="N40" s="70">
        <v>0</v>
      </c>
      <c r="O40" s="70">
        <v>99438.89</v>
      </c>
      <c r="P40" s="70">
        <v>318212781.11000001</v>
      </c>
      <c r="Q40" s="70">
        <v>0</v>
      </c>
      <c r="R40" s="71">
        <v>52093488.880000003</v>
      </c>
      <c r="S40" s="70">
        <v>0</v>
      </c>
      <c r="T40" s="70">
        <v>52093488.880000003</v>
      </c>
      <c r="U40" s="72" t="s">
        <v>0</v>
      </c>
    </row>
    <row r="41" spans="1:21" ht="14.45" customHeight="1">
      <c r="A41" s="64">
        <v>45693</v>
      </c>
      <c r="B41" s="64">
        <v>45657</v>
      </c>
      <c r="C41" s="64">
        <v>45657</v>
      </c>
      <c r="D41" s="65" t="s">
        <v>64</v>
      </c>
      <c r="E41" s="65" t="s">
        <v>65</v>
      </c>
      <c r="F41" s="65"/>
      <c r="G41" s="65" t="s">
        <v>76</v>
      </c>
      <c r="H41" s="65" t="s">
        <v>14</v>
      </c>
      <c r="I41" s="66" t="s">
        <v>12</v>
      </c>
      <c r="J41" s="67">
        <v>-6917575.3799999999</v>
      </c>
      <c r="K41" s="68">
        <v>1</v>
      </c>
      <c r="L41" s="67">
        <v>6917575.3799999999</v>
      </c>
      <c r="M41" s="69">
        <v>0</v>
      </c>
      <c r="N41" s="70">
        <v>0</v>
      </c>
      <c r="O41" s="70">
        <v>99438.89</v>
      </c>
      <c r="P41" s="70">
        <v>311295205.73000002</v>
      </c>
      <c r="Q41" s="70">
        <v>0</v>
      </c>
      <c r="R41" s="71">
        <v>59011064.259999998</v>
      </c>
      <c r="S41" s="70">
        <v>0</v>
      </c>
      <c r="T41" s="70">
        <v>59011064.259999998</v>
      </c>
      <c r="U41" s="72" t="s">
        <v>0</v>
      </c>
    </row>
    <row r="42" spans="1:21" ht="14.45" customHeight="1">
      <c r="A42" s="64">
        <v>45693</v>
      </c>
      <c r="B42" s="64">
        <v>45657</v>
      </c>
      <c r="C42" s="64">
        <v>45657</v>
      </c>
      <c r="D42" s="65" t="s">
        <v>101</v>
      </c>
      <c r="E42" s="65" t="s">
        <v>65</v>
      </c>
      <c r="F42" s="65" t="s">
        <v>102</v>
      </c>
      <c r="G42" s="65" t="s">
        <v>76</v>
      </c>
      <c r="H42" s="65" t="s">
        <v>14</v>
      </c>
      <c r="I42" s="66" t="s">
        <v>12</v>
      </c>
      <c r="J42" s="67">
        <v>-18537394.120000001</v>
      </c>
      <c r="K42" s="68">
        <v>1</v>
      </c>
      <c r="L42" s="67">
        <v>18537394.120000001</v>
      </c>
      <c r="M42" s="69">
        <v>0</v>
      </c>
      <c r="N42" s="70">
        <v>0</v>
      </c>
      <c r="O42" s="70">
        <v>99438.89</v>
      </c>
      <c r="P42" s="70">
        <v>292757811.61000001</v>
      </c>
      <c r="Q42" s="70">
        <v>0</v>
      </c>
      <c r="R42" s="71">
        <v>77548458.379999995</v>
      </c>
      <c r="S42" s="70">
        <v>0</v>
      </c>
      <c r="T42" s="70">
        <v>77548458.379999995</v>
      </c>
      <c r="U42" s="72" t="s">
        <v>0</v>
      </c>
    </row>
    <row r="43" spans="1:21" ht="14.45" customHeight="1">
      <c r="A43" s="64">
        <v>45693</v>
      </c>
      <c r="B43" s="64">
        <v>45657</v>
      </c>
      <c r="C43" s="64">
        <v>45657</v>
      </c>
      <c r="D43" s="65" t="s">
        <v>80</v>
      </c>
      <c r="E43" s="65" t="s">
        <v>65</v>
      </c>
      <c r="F43" s="65" t="s">
        <v>103</v>
      </c>
      <c r="G43" s="65" t="s">
        <v>76</v>
      </c>
      <c r="H43" s="65" t="s">
        <v>14</v>
      </c>
      <c r="I43" s="66" t="s">
        <v>12</v>
      </c>
      <c r="J43" s="67">
        <v>-1159.44</v>
      </c>
      <c r="K43" s="68">
        <v>1</v>
      </c>
      <c r="L43" s="67">
        <v>1159.44</v>
      </c>
      <c r="M43" s="69">
        <v>0</v>
      </c>
      <c r="N43" s="70">
        <v>0</v>
      </c>
      <c r="O43" s="70">
        <v>99438.89</v>
      </c>
      <c r="P43" s="70">
        <v>292756652.17000002</v>
      </c>
      <c r="Q43" s="70">
        <v>0</v>
      </c>
      <c r="R43" s="71">
        <v>77549617.819999993</v>
      </c>
      <c r="S43" s="70">
        <v>0</v>
      </c>
      <c r="T43" s="70">
        <v>77549617.819999993</v>
      </c>
      <c r="U43" s="72" t="s">
        <v>0</v>
      </c>
    </row>
    <row r="44" spans="1:21" ht="14.45" customHeight="1">
      <c r="A44" s="64">
        <v>45693</v>
      </c>
      <c r="B44" s="64">
        <v>45657</v>
      </c>
      <c r="C44" s="64">
        <v>45657</v>
      </c>
      <c r="D44" s="65" t="s">
        <v>104</v>
      </c>
      <c r="E44" s="65" t="s">
        <v>65</v>
      </c>
      <c r="F44" s="65" t="s">
        <v>105</v>
      </c>
      <c r="G44" s="65" t="s">
        <v>76</v>
      </c>
      <c r="H44" s="65" t="s">
        <v>14</v>
      </c>
      <c r="I44" s="66" t="s">
        <v>12</v>
      </c>
      <c r="J44" s="67">
        <v>-609654.28</v>
      </c>
      <c r="K44" s="68">
        <v>1</v>
      </c>
      <c r="L44" s="67">
        <v>609654.28</v>
      </c>
      <c r="M44" s="69">
        <v>0</v>
      </c>
      <c r="N44" s="70">
        <v>0</v>
      </c>
      <c r="O44" s="70">
        <v>99438.89</v>
      </c>
      <c r="P44" s="70">
        <v>292146997.88999999</v>
      </c>
      <c r="Q44" s="70">
        <v>0</v>
      </c>
      <c r="R44" s="71">
        <v>78159272.099999994</v>
      </c>
      <c r="S44" s="70">
        <v>0</v>
      </c>
      <c r="T44" s="70">
        <v>78159272.099999994</v>
      </c>
      <c r="U44" s="72" t="s">
        <v>0</v>
      </c>
    </row>
    <row r="45" spans="1:21" ht="14.45" customHeight="1">
      <c r="A45" s="64">
        <v>45693</v>
      </c>
      <c r="B45" s="64">
        <v>45657</v>
      </c>
      <c r="C45" s="64">
        <v>45657</v>
      </c>
      <c r="D45" s="65" t="s">
        <v>106</v>
      </c>
      <c r="E45" s="65" t="s">
        <v>107</v>
      </c>
      <c r="F45" s="65" t="s">
        <v>108</v>
      </c>
      <c r="G45" s="65" t="s">
        <v>76</v>
      </c>
      <c r="H45" s="65" t="s">
        <v>14</v>
      </c>
      <c r="I45" s="66" t="s">
        <v>12</v>
      </c>
      <c r="J45" s="67">
        <v>-2338198.4700000002</v>
      </c>
      <c r="K45" s="68">
        <v>1</v>
      </c>
      <c r="L45" s="67">
        <v>2338198.4700000002</v>
      </c>
      <c r="M45" s="69">
        <v>0</v>
      </c>
      <c r="N45" s="70">
        <v>0</v>
      </c>
      <c r="O45" s="70">
        <v>99438.89</v>
      </c>
      <c r="P45" s="70">
        <v>289808799.42000002</v>
      </c>
      <c r="Q45" s="70">
        <v>0</v>
      </c>
      <c r="R45" s="71">
        <v>80497470.569999993</v>
      </c>
      <c r="S45" s="70">
        <v>0</v>
      </c>
      <c r="T45" s="70">
        <v>80497470.569999993</v>
      </c>
      <c r="U45" s="72" t="s">
        <v>0</v>
      </c>
    </row>
    <row r="46" spans="1:21" ht="14.45" customHeight="1">
      <c r="A46" s="64">
        <v>45693</v>
      </c>
      <c r="B46" s="64">
        <v>45657</v>
      </c>
      <c r="C46" s="64">
        <v>45657</v>
      </c>
      <c r="D46" s="65" t="s">
        <v>109</v>
      </c>
      <c r="E46" s="65" t="s">
        <v>83</v>
      </c>
      <c r="F46" s="65" t="s">
        <v>110</v>
      </c>
      <c r="G46" s="65" t="s">
        <v>76</v>
      </c>
      <c r="H46" s="65" t="s">
        <v>14</v>
      </c>
      <c r="I46" s="66" t="s">
        <v>12</v>
      </c>
      <c r="J46" s="67">
        <v>-1402092.33</v>
      </c>
      <c r="K46" s="68">
        <v>1</v>
      </c>
      <c r="L46" s="67">
        <v>1402092.33</v>
      </c>
      <c r="M46" s="69">
        <v>0</v>
      </c>
      <c r="N46" s="70">
        <v>0</v>
      </c>
      <c r="O46" s="70">
        <v>99438.89</v>
      </c>
      <c r="P46" s="70">
        <v>288406707.08999997</v>
      </c>
      <c r="Q46" s="70">
        <v>0</v>
      </c>
      <c r="R46" s="71">
        <v>81899562.900000006</v>
      </c>
      <c r="S46" s="70">
        <v>0</v>
      </c>
      <c r="T46" s="70">
        <v>81899562.900000006</v>
      </c>
      <c r="U46" s="72" t="s">
        <v>0</v>
      </c>
    </row>
    <row r="47" spans="1:21" ht="14.45" customHeight="1">
      <c r="A47" s="64">
        <v>45693</v>
      </c>
      <c r="B47" s="64">
        <v>45657</v>
      </c>
      <c r="C47" s="64">
        <v>45657</v>
      </c>
      <c r="D47" s="65" t="s">
        <v>109</v>
      </c>
      <c r="E47" s="65" t="s">
        <v>86</v>
      </c>
      <c r="F47" s="65" t="s">
        <v>111</v>
      </c>
      <c r="G47" s="65" t="s">
        <v>76</v>
      </c>
      <c r="H47" s="65" t="s">
        <v>14</v>
      </c>
      <c r="I47" s="66" t="s">
        <v>12</v>
      </c>
      <c r="J47" s="67">
        <v>-653448.36</v>
      </c>
      <c r="K47" s="68">
        <v>1</v>
      </c>
      <c r="L47" s="67">
        <v>653448.36</v>
      </c>
      <c r="M47" s="69">
        <v>0</v>
      </c>
      <c r="N47" s="70">
        <v>0</v>
      </c>
      <c r="O47" s="70">
        <v>99438.89</v>
      </c>
      <c r="P47" s="70">
        <v>287753258.73000002</v>
      </c>
      <c r="Q47" s="70">
        <v>0</v>
      </c>
      <c r="R47" s="71">
        <v>82553011.260000005</v>
      </c>
      <c r="S47" s="70">
        <v>0</v>
      </c>
      <c r="T47" s="70">
        <v>82553011.260000005</v>
      </c>
      <c r="U47" s="72" t="s">
        <v>0</v>
      </c>
    </row>
    <row r="48" spans="1:21" ht="14.45" customHeight="1">
      <c r="A48" s="64">
        <v>45693</v>
      </c>
      <c r="B48" s="64">
        <v>45657</v>
      </c>
      <c r="C48" s="64">
        <v>45657</v>
      </c>
      <c r="D48" s="65" t="s">
        <v>112</v>
      </c>
      <c r="E48" s="65" t="s">
        <v>86</v>
      </c>
      <c r="F48" s="65" t="s">
        <v>113</v>
      </c>
      <c r="G48" s="65" t="s">
        <v>76</v>
      </c>
      <c r="H48" s="65" t="s">
        <v>14</v>
      </c>
      <c r="I48" s="66" t="s">
        <v>12</v>
      </c>
      <c r="J48" s="67">
        <v>-1980511.16</v>
      </c>
      <c r="K48" s="68">
        <v>1</v>
      </c>
      <c r="L48" s="67">
        <v>1980511.16</v>
      </c>
      <c r="M48" s="69">
        <v>0</v>
      </c>
      <c r="N48" s="70">
        <v>0</v>
      </c>
      <c r="O48" s="70">
        <v>99438.89</v>
      </c>
      <c r="P48" s="70">
        <v>285772747.56999999</v>
      </c>
      <c r="Q48" s="70">
        <v>0</v>
      </c>
      <c r="R48" s="71">
        <v>84533522.420000002</v>
      </c>
      <c r="S48" s="70">
        <v>0</v>
      </c>
      <c r="T48" s="70">
        <v>84533522.420000002</v>
      </c>
      <c r="U48" s="72" t="s">
        <v>0</v>
      </c>
    </row>
    <row r="49" spans="1:21" ht="14.45" customHeight="1">
      <c r="A49" s="64">
        <v>45693</v>
      </c>
      <c r="B49" s="64">
        <v>45657</v>
      </c>
      <c r="C49" s="64">
        <v>45657</v>
      </c>
      <c r="D49" s="65" t="s">
        <v>114</v>
      </c>
      <c r="E49" s="65" t="s">
        <v>115</v>
      </c>
      <c r="F49" s="65"/>
      <c r="G49" s="65" t="s">
        <v>76</v>
      </c>
      <c r="H49" s="65" t="s">
        <v>14</v>
      </c>
      <c r="I49" s="66" t="s">
        <v>12</v>
      </c>
      <c r="J49" s="67">
        <v>-465740.53</v>
      </c>
      <c r="K49" s="68">
        <v>1</v>
      </c>
      <c r="L49" s="67">
        <v>465740.53</v>
      </c>
      <c r="M49" s="69">
        <v>0</v>
      </c>
      <c r="N49" s="70">
        <v>0</v>
      </c>
      <c r="O49" s="70">
        <v>99438.89</v>
      </c>
      <c r="P49" s="70">
        <v>285307007.04000002</v>
      </c>
      <c r="Q49" s="70">
        <v>0</v>
      </c>
      <c r="R49" s="71">
        <v>84999262.950000003</v>
      </c>
      <c r="S49" s="70">
        <v>0</v>
      </c>
      <c r="T49" s="70">
        <v>84999262.950000003</v>
      </c>
      <c r="U49" s="72" t="s">
        <v>0</v>
      </c>
    </row>
    <row r="50" spans="1:21" ht="14.45" customHeight="1">
      <c r="A50" s="64">
        <v>45693</v>
      </c>
      <c r="B50" s="64">
        <v>45657</v>
      </c>
      <c r="C50" s="64">
        <v>45657</v>
      </c>
      <c r="D50" s="65" t="s">
        <v>116</v>
      </c>
      <c r="E50" s="65" t="s">
        <v>65</v>
      </c>
      <c r="F50" s="65" t="s">
        <v>117</v>
      </c>
      <c r="G50" s="65" t="s">
        <v>76</v>
      </c>
      <c r="H50" s="65" t="s">
        <v>14</v>
      </c>
      <c r="I50" s="66" t="s">
        <v>12</v>
      </c>
      <c r="J50" s="67">
        <v>-9614976.2100000009</v>
      </c>
      <c r="K50" s="68">
        <v>1</v>
      </c>
      <c r="L50" s="67">
        <v>9614976.2100000009</v>
      </c>
      <c r="M50" s="69">
        <v>0</v>
      </c>
      <c r="N50" s="70">
        <v>0</v>
      </c>
      <c r="O50" s="70">
        <v>99438.89</v>
      </c>
      <c r="P50" s="70">
        <v>275692030.82999998</v>
      </c>
      <c r="Q50" s="70">
        <v>0</v>
      </c>
      <c r="R50" s="71">
        <v>94614239.159999996</v>
      </c>
      <c r="S50" s="70">
        <v>0</v>
      </c>
      <c r="T50" s="70">
        <v>94614239.159999996</v>
      </c>
      <c r="U50" s="72" t="s">
        <v>0</v>
      </c>
    </row>
    <row r="51" spans="1:21" ht="14.45" customHeight="1">
      <c r="A51" s="64">
        <v>45693</v>
      </c>
      <c r="B51" s="64">
        <v>45657</v>
      </c>
      <c r="C51" s="64">
        <v>45657</v>
      </c>
      <c r="D51" s="65" t="s">
        <v>118</v>
      </c>
      <c r="E51" s="65" t="s">
        <v>119</v>
      </c>
      <c r="F51" s="65" t="s">
        <v>120</v>
      </c>
      <c r="G51" s="65" t="s">
        <v>76</v>
      </c>
      <c r="H51" s="65" t="s">
        <v>14</v>
      </c>
      <c r="I51" s="66" t="s">
        <v>12</v>
      </c>
      <c r="J51" s="67">
        <v>-2779875</v>
      </c>
      <c r="K51" s="68">
        <v>1</v>
      </c>
      <c r="L51" s="67">
        <v>2779875</v>
      </c>
      <c r="M51" s="69">
        <v>0</v>
      </c>
      <c r="N51" s="70">
        <v>0</v>
      </c>
      <c r="O51" s="70">
        <v>99438.89</v>
      </c>
      <c r="P51" s="70">
        <v>272912155.82999998</v>
      </c>
      <c r="Q51" s="70">
        <v>0</v>
      </c>
      <c r="R51" s="71">
        <v>97394114.159999996</v>
      </c>
      <c r="S51" s="70">
        <v>0</v>
      </c>
      <c r="T51" s="70">
        <v>97394114.159999996</v>
      </c>
      <c r="U51" s="72" t="s">
        <v>0</v>
      </c>
    </row>
    <row r="52" spans="1:21" ht="14.45" customHeight="1">
      <c r="A52" s="64">
        <v>45693</v>
      </c>
      <c r="B52" s="64">
        <v>45657</v>
      </c>
      <c r="C52" s="64">
        <v>45657</v>
      </c>
      <c r="D52" s="65" t="s">
        <v>121</v>
      </c>
      <c r="E52" s="65" t="s">
        <v>122</v>
      </c>
      <c r="F52" s="65" t="s">
        <v>123</v>
      </c>
      <c r="G52" s="65" t="s">
        <v>76</v>
      </c>
      <c r="H52" s="65" t="s">
        <v>14</v>
      </c>
      <c r="I52" s="66" t="s">
        <v>12</v>
      </c>
      <c r="J52" s="67">
        <v>-3787411.62</v>
      </c>
      <c r="K52" s="68">
        <v>1</v>
      </c>
      <c r="L52" s="67">
        <v>3787411.62</v>
      </c>
      <c r="M52" s="69">
        <v>0</v>
      </c>
      <c r="N52" s="70">
        <v>0</v>
      </c>
      <c r="O52" s="70">
        <v>99438.89</v>
      </c>
      <c r="P52" s="70">
        <v>269124744.20999998</v>
      </c>
      <c r="Q52" s="70">
        <v>0</v>
      </c>
      <c r="R52" s="71">
        <v>101181525.78</v>
      </c>
      <c r="S52" s="70">
        <v>0</v>
      </c>
      <c r="T52" s="70">
        <v>101181525.78</v>
      </c>
      <c r="U52" s="72" t="s">
        <v>0</v>
      </c>
    </row>
    <row r="53" spans="1:21" ht="14.45" customHeight="1">
      <c r="A53" s="64">
        <v>45693</v>
      </c>
      <c r="B53" s="64">
        <v>45657</v>
      </c>
      <c r="C53" s="64">
        <v>45657</v>
      </c>
      <c r="D53" s="65" t="s">
        <v>124</v>
      </c>
      <c r="E53" s="65" t="s">
        <v>65</v>
      </c>
      <c r="F53" s="65" t="s">
        <v>125</v>
      </c>
      <c r="G53" s="65" t="s">
        <v>76</v>
      </c>
      <c r="H53" s="65" t="s">
        <v>14</v>
      </c>
      <c r="I53" s="66" t="s">
        <v>12</v>
      </c>
      <c r="J53" s="67">
        <v>-4263446.3099999996</v>
      </c>
      <c r="K53" s="68">
        <v>1</v>
      </c>
      <c r="L53" s="67">
        <v>4263446.3099999996</v>
      </c>
      <c r="M53" s="69">
        <v>0</v>
      </c>
      <c r="N53" s="70">
        <v>0</v>
      </c>
      <c r="O53" s="70">
        <v>99438.89</v>
      </c>
      <c r="P53" s="70">
        <v>264861297.90000001</v>
      </c>
      <c r="Q53" s="70">
        <v>0</v>
      </c>
      <c r="R53" s="71">
        <v>105444972.09</v>
      </c>
      <c r="S53" s="70">
        <v>0</v>
      </c>
      <c r="T53" s="70">
        <v>105444972.09</v>
      </c>
      <c r="U53" s="72" t="s">
        <v>0</v>
      </c>
    </row>
    <row r="54" spans="1:21" ht="14.45" customHeight="1">
      <c r="A54" s="64">
        <v>45693</v>
      </c>
      <c r="B54" s="64">
        <v>45657</v>
      </c>
      <c r="C54" s="64">
        <v>45657</v>
      </c>
      <c r="D54" s="65" t="s">
        <v>126</v>
      </c>
      <c r="E54" s="65" t="s">
        <v>65</v>
      </c>
      <c r="F54" s="65" t="s">
        <v>127</v>
      </c>
      <c r="G54" s="65" t="s">
        <v>76</v>
      </c>
      <c r="H54" s="65" t="s">
        <v>14</v>
      </c>
      <c r="I54" s="66" t="s">
        <v>12</v>
      </c>
      <c r="J54" s="67">
        <v>-4955037.5999999996</v>
      </c>
      <c r="K54" s="68">
        <v>1</v>
      </c>
      <c r="L54" s="67">
        <v>4955037.5999999996</v>
      </c>
      <c r="M54" s="69">
        <v>0</v>
      </c>
      <c r="N54" s="70">
        <v>0</v>
      </c>
      <c r="O54" s="70">
        <v>99438.89</v>
      </c>
      <c r="P54" s="70">
        <v>259906260.30000001</v>
      </c>
      <c r="Q54" s="70">
        <v>0</v>
      </c>
      <c r="R54" s="71">
        <v>110400009.69</v>
      </c>
      <c r="S54" s="70">
        <v>0</v>
      </c>
      <c r="T54" s="70">
        <v>110400009.69</v>
      </c>
      <c r="U54" s="72" t="s">
        <v>0</v>
      </c>
    </row>
    <row r="55" spans="1:21" ht="14.45" customHeight="1">
      <c r="A55" s="64">
        <v>45693</v>
      </c>
      <c r="B55" s="64">
        <v>45657</v>
      </c>
      <c r="C55" s="64">
        <v>45657</v>
      </c>
      <c r="D55" s="65" t="s">
        <v>128</v>
      </c>
      <c r="E55" s="65" t="s">
        <v>65</v>
      </c>
      <c r="F55" s="65" t="s">
        <v>129</v>
      </c>
      <c r="G55" s="65" t="s">
        <v>76</v>
      </c>
      <c r="H55" s="65" t="s">
        <v>14</v>
      </c>
      <c r="I55" s="66" t="s">
        <v>12</v>
      </c>
      <c r="J55" s="67">
        <v>-3790175.69</v>
      </c>
      <c r="K55" s="68">
        <v>1</v>
      </c>
      <c r="L55" s="67">
        <v>3790175.69</v>
      </c>
      <c r="M55" s="69">
        <v>0</v>
      </c>
      <c r="N55" s="70">
        <v>0</v>
      </c>
      <c r="O55" s="70">
        <v>99438.89</v>
      </c>
      <c r="P55" s="70">
        <v>256116084.61000001</v>
      </c>
      <c r="Q55" s="70">
        <v>0</v>
      </c>
      <c r="R55" s="71">
        <v>114190185.38</v>
      </c>
      <c r="S55" s="70">
        <v>0</v>
      </c>
      <c r="T55" s="70">
        <v>114190185.38</v>
      </c>
      <c r="U55" s="72" t="s">
        <v>0</v>
      </c>
    </row>
    <row r="56" spans="1:21" ht="14.45" customHeight="1">
      <c r="A56" s="64">
        <v>45693</v>
      </c>
      <c r="B56" s="64">
        <v>45657</v>
      </c>
      <c r="C56" s="64">
        <v>45657</v>
      </c>
      <c r="D56" s="65" t="s">
        <v>116</v>
      </c>
      <c r="E56" s="65" t="s">
        <v>130</v>
      </c>
      <c r="F56" s="65"/>
      <c r="G56" s="65" t="s">
        <v>76</v>
      </c>
      <c r="H56" s="65" t="s">
        <v>14</v>
      </c>
      <c r="I56" s="66" t="s">
        <v>12</v>
      </c>
      <c r="J56" s="67">
        <v>-4884575.97</v>
      </c>
      <c r="K56" s="68">
        <v>1</v>
      </c>
      <c r="L56" s="67">
        <v>4884575.97</v>
      </c>
      <c r="M56" s="69">
        <v>0</v>
      </c>
      <c r="N56" s="70">
        <v>0</v>
      </c>
      <c r="O56" s="70">
        <v>99438.89</v>
      </c>
      <c r="P56" s="70">
        <v>251231508.63999999</v>
      </c>
      <c r="Q56" s="70">
        <v>0</v>
      </c>
      <c r="R56" s="71">
        <v>119074761.34999999</v>
      </c>
      <c r="S56" s="70">
        <v>0</v>
      </c>
      <c r="T56" s="70">
        <v>119074761.34999999</v>
      </c>
      <c r="U56" s="72" t="s">
        <v>0</v>
      </c>
    </row>
    <row r="57" spans="1:21" ht="14.45" customHeight="1">
      <c r="A57" s="64">
        <v>45693</v>
      </c>
      <c r="B57" s="64">
        <v>45657</v>
      </c>
      <c r="C57" s="64">
        <v>45657</v>
      </c>
      <c r="D57" s="65" t="s">
        <v>131</v>
      </c>
      <c r="E57" s="65" t="s">
        <v>132</v>
      </c>
      <c r="F57" s="65" t="s">
        <v>133</v>
      </c>
      <c r="G57" s="65" t="s">
        <v>76</v>
      </c>
      <c r="H57" s="65" t="s">
        <v>14</v>
      </c>
      <c r="I57" s="66" t="s">
        <v>12</v>
      </c>
      <c r="J57" s="67">
        <v>-9085899.5999999996</v>
      </c>
      <c r="K57" s="68">
        <v>1</v>
      </c>
      <c r="L57" s="67">
        <v>9085899.5999999996</v>
      </c>
      <c r="M57" s="69">
        <v>0</v>
      </c>
      <c r="N57" s="70">
        <v>0</v>
      </c>
      <c r="O57" s="70">
        <v>99438.89</v>
      </c>
      <c r="P57" s="70">
        <v>242145609.03999999</v>
      </c>
      <c r="Q57" s="70">
        <v>0</v>
      </c>
      <c r="R57" s="71">
        <v>128160660.95</v>
      </c>
      <c r="S57" s="70">
        <v>0</v>
      </c>
      <c r="T57" s="70">
        <v>128160660.95</v>
      </c>
      <c r="U57" s="72" t="s">
        <v>0</v>
      </c>
    </row>
    <row r="58" spans="1:21" ht="14.45" customHeight="1">
      <c r="A58" s="64">
        <v>45693</v>
      </c>
      <c r="B58" s="64">
        <v>45657</v>
      </c>
      <c r="C58" s="64">
        <v>45657</v>
      </c>
      <c r="D58" s="65" t="s">
        <v>134</v>
      </c>
      <c r="E58" s="65" t="s">
        <v>65</v>
      </c>
      <c r="F58" s="65" t="s">
        <v>135</v>
      </c>
      <c r="G58" s="65" t="s">
        <v>76</v>
      </c>
      <c r="H58" s="65" t="s">
        <v>14</v>
      </c>
      <c r="I58" s="66" t="s">
        <v>12</v>
      </c>
      <c r="J58" s="67">
        <v>-12917543.859999999</v>
      </c>
      <c r="K58" s="68">
        <v>1</v>
      </c>
      <c r="L58" s="67">
        <v>12917543.859999999</v>
      </c>
      <c r="M58" s="69">
        <v>0</v>
      </c>
      <c r="N58" s="70">
        <v>0</v>
      </c>
      <c r="O58" s="70">
        <v>99438.89</v>
      </c>
      <c r="P58" s="70">
        <v>229228065.18000001</v>
      </c>
      <c r="Q58" s="70">
        <v>0</v>
      </c>
      <c r="R58" s="71">
        <v>141078204.81</v>
      </c>
      <c r="S58" s="70">
        <v>0</v>
      </c>
      <c r="T58" s="70">
        <v>141078204.81</v>
      </c>
      <c r="U58" s="72" t="s">
        <v>0</v>
      </c>
    </row>
    <row r="59" spans="1:21" ht="14.45" customHeight="1">
      <c r="A59" s="64">
        <v>45693</v>
      </c>
      <c r="B59" s="64">
        <v>45657</v>
      </c>
      <c r="C59" s="64">
        <v>45657</v>
      </c>
      <c r="D59" s="65" t="s">
        <v>67</v>
      </c>
      <c r="E59" s="65" t="s">
        <v>65</v>
      </c>
      <c r="F59" s="65" t="s">
        <v>68</v>
      </c>
      <c r="G59" s="65" t="s">
        <v>76</v>
      </c>
      <c r="H59" s="65" t="s">
        <v>14</v>
      </c>
      <c r="I59" s="66" t="s">
        <v>12</v>
      </c>
      <c r="J59" s="67">
        <v>-1392538.29</v>
      </c>
      <c r="K59" s="68">
        <v>1</v>
      </c>
      <c r="L59" s="67">
        <v>1392538.29</v>
      </c>
      <c r="M59" s="69">
        <v>0</v>
      </c>
      <c r="N59" s="70">
        <v>0</v>
      </c>
      <c r="O59" s="70">
        <v>99438.89</v>
      </c>
      <c r="P59" s="70">
        <v>227835526.88999999</v>
      </c>
      <c r="Q59" s="70">
        <v>0</v>
      </c>
      <c r="R59" s="71">
        <v>142470743.09999999</v>
      </c>
      <c r="S59" s="70">
        <v>0</v>
      </c>
      <c r="T59" s="70">
        <v>142470743.09999999</v>
      </c>
      <c r="U59" s="72" t="s">
        <v>0</v>
      </c>
    </row>
    <row r="60" spans="1:21" ht="14.45" customHeight="1">
      <c r="A60" s="64">
        <v>45693</v>
      </c>
      <c r="B60" s="64">
        <v>45657</v>
      </c>
      <c r="C60" s="64">
        <v>45657</v>
      </c>
      <c r="D60" s="65" t="s">
        <v>50</v>
      </c>
      <c r="E60" s="65" t="s">
        <v>51</v>
      </c>
      <c r="F60" s="65" t="s">
        <v>52</v>
      </c>
      <c r="G60" s="65" t="s">
        <v>76</v>
      </c>
      <c r="H60" s="65" t="s">
        <v>14</v>
      </c>
      <c r="I60" s="66" t="s">
        <v>12</v>
      </c>
      <c r="J60" s="67">
        <v>-498746.87</v>
      </c>
      <c r="K60" s="68">
        <v>1</v>
      </c>
      <c r="L60" s="67">
        <v>498746.87</v>
      </c>
      <c r="M60" s="69">
        <v>0</v>
      </c>
      <c r="N60" s="70">
        <v>0</v>
      </c>
      <c r="O60" s="70">
        <v>99438.89</v>
      </c>
      <c r="P60" s="70">
        <v>227336780.02000001</v>
      </c>
      <c r="Q60" s="70">
        <v>0</v>
      </c>
      <c r="R60" s="71">
        <v>142969489.97</v>
      </c>
      <c r="S60" s="70">
        <v>0</v>
      </c>
      <c r="T60" s="70">
        <v>142969489.97</v>
      </c>
      <c r="U60" s="72" t="s">
        <v>0</v>
      </c>
    </row>
    <row r="61" spans="1:21" ht="14.45" customHeight="1">
      <c r="A61" s="64">
        <v>45693</v>
      </c>
      <c r="B61" s="64">
        <v>45657</v>
      </c>
      <c r="C61" s="64">
        <v>45657</v>
      </c>
      <c r="D61" s="65" t="s">
        <v>136</v>
      </c>
      <c r="E61" s="65" t="s">
        <v>65</v>
      </c>
      <c r="F61" s="65" t="s">
        <v>137</v>
      </c>
      <c r="G61" s="65" t="s">
        <v>76</v>
      </c>
      <c r="H61" s="65" t="s">
        <v>14</v>
      </c>
      <c r="I61" s="66" t="s">
        <v>12</v>
      </c>
      <c r="J61" s="67">
        <v>-249597.72</v>
      </c>
      <c r="K61" s="68">
        <v>1</v>
      </c>
      <c r="L61" s="67">
        <v>249597.72</v>
      </c>
      <c r="M61" s="69">
        <v>0</v>
      </c>
      <c r="N61" s="70">
        <v>0</v>
      </c>
      <c r="O61" s="70">
        <v>99438.89</v>
      </c>
      <c r="P61" s="70">
        <v>227087182.30000001</v>
      </c>
      <c r="Q61" s="70">
        <v>0</v>
      </c>
      <c r="R61" s="71">
        <v>143219087.69</v>
      </c>
      <c r="S61" s="70">
        <v>0</v>
      </c>
      <c r="T61" s="70">
        <v>143219087.69</v>
      </c>
      <c r="U61" s="72" t="s">
        <v>0</v>
      </c>
    </row>
    <row r="62" spans="1:21" ht="14.45" customHeight="1">
      <c r="A62" s="64">
        <v>45693</v>
      </c>
      <c r="B62" s="64">
        <v>45657</v>
      </c>
      <c r="C62" s="64">
        <v>45657</v>
      </c>
      <c r="D62" s="65" t="s">
        <v>138</v>
      </c>
      <c r="E62" s="65" t="s">
        <v>122</v>
      </c>
      <c r="F62" s="65" t="s">
        <v>139</v>
      </c>
      <c r="G62" s="65" t="s">
        <v>76</v>
      </c>
      <c r="H62" s="65" t="s">
        <v>14</v>
      </c>
      <c r="I62" s="66" t="s">
        <v>12</v>
      </c>
      <c r="J62" s="67">
        <v>-1975037.59</v>
      </c>
      <c r="K62" s="68">
        <v>1</v>
      </c>
      <c r="L62" s="67">
        <v>1975037.59</v>
      </c>
      <c r="M62" s="69">
        <v>0</v>
      </c>
      <c r="N62" s="70">
        <v>0</v>
      </c>
      <c r="O62" s="70">
        <v>99438.89</v>
      </c>
      <c r="P62" s="70">
        <v>225112144.71000001</v>
      </c>
      <c r="Q62" s="70">
        <v>0</v>
      </c>
      <c r="R62" s="71">
        <v>145194125.28</v>
      </c>
      <c r="S62" s="70">
        <v>0</v>
      </c>
      <c r="T62" s="70">
        <v>145194125.28</v>
      </c>
      <c r="U62" s="72" t="s">
        <v>0</v>
      </c>
    </row>
    <row r="63" spans="1:21" ht="14.45" customHeight="1">
      <c r="A63" s="64">
        <v>45693</v>
      </c>
      <c r="B63" s="64">
        <v>45657</v>
      </c>
      <c r="C63" s="64">
        <v>45657</v>
      </c>
      <c r="D63" s="65" t="s">
        <v>118</v>
      </c>
      <c r="E63" s="65" t="s">
        <v>140</v>
      </c>
      <c r="F63" s="65" t="s">
        <v>141</v>
      </c>
      <c r="G63" s="65" t="s">
        <v>76</v>
      </c>
      <c r="H63" s="65" t="s">
        <v>14</v>
      </c>
      <c r="I63" s="66" t="s">
        <v>12</v>
      </c>
      <c r="J63" s="67">
        <v>-4875500</v>
      </c>
      <c r="K63" s="68">
        <v>1</v>
      </c>
      <c r="L63" s="67">
        <v>4875500</v>
      </c>
      <c r="M63" s="69">
        <v>0</v>
      </c>
      <c r="N63" s="70">
        <v>0</v>
      </c>
      <c r="O63" s="70">
        <v>99438.89</v>
      </c>
      <c r="P63" s="70">
        <v>220236644.71000001</v>
      </c>
      <c r="Q63" s="70">
        <v>0</v>
      </c>
      <c r="R63" s="71">
        <v>150069625.28</v>
      </c>
      <c r="S63" s="70">
        <v>0</v>
      </c>
      <c r="T63" s="70">
        <v>150069625.28</v>
      </c>
      <c r="U63" s="72" t="s">
        <v>0</v>
      </c>
    </row>
    <row r="64" spans="1:21" ht="14.45" customHeight="1">
      <c r="A64" s="64">
        <v>45693</v>
      </c>
      <c r="B64" s="64">
        <v>45657</v>
      </c>
      <c r="C64" s="64">
        <v>45657</v>
      </c>
      <c r="D64" s="65" t="s">
        <v>142</v>
      </c>
      <c r="E64" s="65" t="s">
        <v>65</v>
      </c>
      <c r="F64" s="65" t="s">
        <v>143</v>
      </c>
      <c r="G64" s="65" t="s">
        <v>76</v>
      </c>
      <c r="H64" s="65" t="s">
        <v>14</v>
      </c>
      <c r="I64" s="66" t="s">
        <v>12</v>
      </c>
      <c r="J64" s="67">
        <v>-5000000</v>
      </c>
      <c r="K64" s="68">
        <v>1</v>
      </c>
      <c r="L64" s="67">
        <v>5000000</v>
      </c>
      <c r="M64" s="69">
        <v>0</v>
      </c>
      <c r="N64" s="70">
        <v>0</v>
      </c>
      <c r="O64" s="70">
        <v>99438.89</v>
      </c>
      <c r="P64" s="70">
        <v>215236644.71000001</v>
      </c>
      <c r="Q64" s="70">
        <v>0</v>
      </c>
      <c r="R64" s="71">
        <v>155069625.28</v>
      </c>
      <c r="S64" s="70">
        <v>0</v>
      </c>
      <c r="T64" s="70">
        <v>155069625.28</v>
      </c>
      <c r="U64" s="72" t="s">
        <v>0</v>
      </c>
    </row>
    <row r="65" spans="1:21" ht="14.45" customHeight="1">
      <c r="A65" s="64">
        <v>45693</v>
      </c>
      <c r="B65" s="64">
        <v>45657</v>
      </c>
      <c r="C65" s="64">
        <v>45657</v>
      </c>
      <c r="D65" s="65" t="s">
        <v>144</v>
      </c>
      <c r="E65" s="65" t="s">
        <v>86</v>
      </c>
      <c r="F65" s="65" t="s">
        <v>145</v>
      </c>
      <c r="G65" s="65" t="s">
        <v>76</v>
      </c>
      <c r="H65" s="65" t="s">
        <v>14</v>
      </c>
      <c r="I65" s="66" t="s">
        <v>12</v>
      </c>
      <c r="J65" s="67">
        <v>-3000000</v>
      </c>
      <c r="K65" s="68">
        <v>1</v>
      </c>
      <c r="L65" s="67">
        <v>3000000</v>
      </c>
      <c r="M65" s="69">
        <v>0</v>
      </c>
      <c r="N65" s="70">
        <v>0</v>
      </c>
      <c r="O65" s="70">
        <v>99438.89</v>
      </c>
      <c r="P65" s="70">
        <v>212236644.71000001</v>
      </c>
      <c r="Q65" s="70">
        <v>0</v>
      </c>
      <c r="R65" s="71">
        <v>158069625.28</v>
      </c>
      <c r="S65" s="70">
        <v>0</v>
      </c>
      <c r="T65" s="70">
        <v>158069625.28</v>
      </c>
      <c r="U65" s="72" t="s">
        <v>0</v>
      </c>
    </row>
    <row r="66" spans="1:21" ht="14.45" customHeight="1">
      <c r="A66" s="64">
        <v>45693</v>
      </c>
      <c r="B66" s="64">
        <v>45657</v>
      </c>
      <c r="C66" s="64">
        <v>45657</v>
      </c>
      <c r="D66" s="65" t="s">
        <v>118</v>
      </c>
      <c r="E66" s="65" t="s">
        <v>146</v>
      </c>
      <c r="F66" s="65" t="s">
        <v>147</v>
      </c>
      <c r="G66" s="65" t="s">
        <v>76</v>
      </c>
      <c r="H66" s="65" t="s">
        <v>14</v>
      </c>
      <c r="I66" s="66" t="s">
        <v>12</v>
      </c>
      <c r="J66" s="67">
        <v>-979049.89</v>
      </c>
      <c r="K66" s="68">
        <v>1</v>
      </c>
      <c r="L66" s="67">
        <v>979049.89</v>
      </c>
      <c r="M66" s="69">
        <v>0</v>
      </c>
      <c r="N66" s="70">
        <v>0</v>
      </c>
      <c r="O66" s="70">
        <v>99438.89</v>
      </c>
      <c r="P66" s="70">
        <v>211257594.81999999</v>
      </c>
      <c r="Q66" s="70">
        <v>0</v>
      </c>
      <c r="R66" s="71">
        <v>159048675.16999999</v>
      </c>
      <c r="S66" s="70">
        <v>0</v>
      </c>
      <c r="T66" s="70">
        <v>159048675.16999999</v>
      </c>
      <c r="U66" s="72" t="s">
        <v>0</v>
      </c>
    </row>
    <row r="67" spans="1:21" ht="14.45" customHeight="1">
      <c r="A67" s="64">
        <v>45693</v>
      </c>
      <c r="B67" s="64">
        <v>45657</v>
      </c>
      <c r="C67" s="64">
        <v>45657</v>
      </c>
      <c r="D67" s="65" t="s">
        <v>148</v>
      </c>
      <c r="E67" s="65" t="s">
        <v>86</v>
      </c>
      <c r="F67" s="65" t="s">
        <v>149</v>
      </c>
      <c r="G67" s="65" t="s">
        <v>76</v>
      </c>
      <c r="H67" s="65" t="s">
        <v>14</v>
      </c>
      <c r="I67" s="66" t="s">
        <v>12</v>
      </c>
      <c r="J67" s="67">
        <v>-2693250</v>
      </c>
      <c r="K67" s="68">
        <v>1</v>
      </c>
      <c r="L67" s="67">
        <v>2693250</v>
      </c>
      <c r="M67" s="69">
        <v>0</v>
      </c>
      <c r="N67" s="70">
        <v>0</v>
      </c>
      <c r="O67" s="70">
        <v>99438.89</v>
      </c>
      <c r="P67" s="70">
        <v>208564344.81999999</v>
      </c>
      <c r="Q67" s="70">
        <v>0</v>
      </c>
      <c r="R67" s="71">
        <v>161741925.16999999</v>
      </c>
      <c r="S67" s="70">
        <v>0</v>
      </c>
      <c r="T67" s="70">
        <v>161741925.16999999</v>
      </c>
      <c r="U67" s="72" t="s">
        <v>0</v>
      </c>
    </row>
    <row r="68" spans="1:21" ht="14.45" customHeight="1">
      <c r="A68" s="64">
        <v>45693</v>
      </c>
      <c r="B68" s="64">
        <v>45657</v>
      </c>
      <c r="C68" s="64">
        <v>45657</v>
      </c>
      <c r="D68" s="65" t="s">
        <v>150</v>
      </c>
      <c r="E68" s="65" t="s">
        <v>86</v>
      </c>
      <c r="F68" s="65" t="s">
        <v>151</v>
      </c>
      <c r="G68" s="65" t="s">
        <v>76</v>
      </c>
      <c r="H68" s="65" t="s">
        <v>14</v>
      </c>
      <c r="I68" s="66" t="s">
        <v>12</v>
      </c>
      <c r="J68" s="67">
        <v>-8977500</v>
      </c>
      <c r="K68" s="68">
        <v>1</v>
      </c>
      <c r="L68" s="67">
        <v>8977500</v>
      </c>
      <c r="M68" s="69">
        <v>0</v>
      </c>
      <c r="N68" s="70">
        <v>0</v>
      </c>
      <c r="O68" s="70">
        <v>99438.89</v>
      </c>
      <c r="P68" s="70">
        <v>199586844.81999999</v>
      </c>
      <c r="Q68" s="70">
        <v>0</v>
      </c>
      <c r="R68" s="71">
        <v>170719425.16999999</v>
      </c>
      <c r="S68" s="70">
        <v>0</v>
      </c>
      <c r="T68" s="70">
        <v>170719425.16999999</v>
      </c>
      <c r="U68" s="72" t="s">
        <v>0</v>
      </c>
    </row>
    <row r="69" spans="1:21" ht="14.45" customHeight="1">
      <c r="A69" s="64">
        <v>45693</v>
      </c>
      <c r="B69" s="64">
        <v>45657</v>
      </c>
      <c r="C69" s="64">
        <v>45657</v>
      </c>
      <c r="D69" s="65" t="s">
        <v>152</v>
      </c>
      <c r="E69" s="65" t="s">
        <v>65</v>
      </c>
      <c r="F69" s="65" t="s">
        <v>153</v>
      </c>
      <c r="G69" s="65" t="s">
        <v>76</v>
      </c>
      <c r="H69" s="65" t="s">
        <v>14</v>
      </c>
      <c r="I69" s="66" t="s">
        <v>12</v>
      </c>
      <c r="J69" s="67">
        <v>-4000000</v>
      </c>
      <c r="K69" s="68">
        <v>1</v>
      </c>
      <c r="L69" s="67">
        <v>4000000</v>
      </c>
      <c r="M69" s="69">
        <v>0</v>
      </c>
      <c r="N69" s="70">
        <v>0</v>
      </c>
      <c r="O69" s="70">
        <v>99438.89</v>
      </c>
      <c r="P69" s="70">
        <v>195586844.81999999</v>
      </c>
      <c r="Q69" s="70">
        <v>0</v>
      </c>
      <c r="R69" s="71">
        <v>174719425.16999999</v>
      </c>
      <c r="S69" s="70">
        <v>0</v>
      </c>
      <c r="T69" s="70">
        <v>174719425.16999999</v>
      </c>
      <c r="U69" s="72" t="s">
        <v>0</v>
      </c>
    </row>
    <row r="70" spans="1:21" ht="14.45" customHeight="1">
      <c r="A70" s="64">
        <v>45693</v>
      </c>
      <c r="B70" s="64">
        <v>45657</v>
      </c>
      <c r="C70" s="64">
        <v>45657</v>
      </c>
      <c r="D70" s="65" t="s">
        <v>154</v>
      </c>
      <c r="E70" s="65" t="s">
        <v>86</v>
      </c>
      <c r="F70" s="65" t="s">
        <v>155</v>
      </c>
      <c r="G70" s="65" t="s">
        <v>76</v>
      </c>
      <c r="H70" s="65" t="s">
        <v>14</v>
      </c>
      <c r="I70" s="66" t="s">
        <v>12</v>
      </c>
      <c r="J70" s="67">
        <v>-2331641.6</v>
      </c>
      <c r="K70" s="68">
        <v>1</v>
      </c>
      <c r="L70" s="67">
        <v>2331641.6</v>
      </c>
      <c r="M70" s="69">
        <v>0</v>
      </c>
      <c r="N70" s="70">
        <v>0</v>
      </c>
      <c r="O70" s="70">
        <v>99438.89</v>
      </c>
      <c r="P70" s="70">
        <v>193255203.22</v>
      </c>
      <c r="Q70" s="70">
        <v>0</v>
      </c>
      <c r="R70" s="71">
        <v>177051066.77000001</v>
      </c>
      <c r="S70" s="70">
        <v>0</v>
      </c>
      <c r="T70" s="70">
        <v>177051066.77000001</v>
      </c>
      <c r="U70" s="72" t="s">
        <v>0</v>
      </c>
    </row>
    <row r="71" spans="1:21" ht="14.45" customHeight="1">
      <c r="A71" s="64">
        <v>45693</v>
      </c>
      <c r="B71" s="64">
        <v>45657</v>
      </c>
      <c r="C71" s="64">
        <v>45657</v>
      </c>
      <c r="D71" s="65" t="s">
        <v>156</v>
      </c>
      <c r="E71" s="65" t="s">
        <v>86</v>
      </c>
      <c r="F71" s="65" t="s">
        <v>157</v>
      </c>
      <c r="G71" s="65" t="s">
        <v>76</v>
      </c>
      <c r="H71" s="65" t="s">
        <v>14</v>
      </c>
      <c r="I71" s="66" t="s">
        <v>12</v>
      </c>
      <c r="J71" s="67">
        <v>-1496250</v>
      </c>
      <c r="K71" s="68">
        <v>1</v>
      </c>
      <c r="L71" s="67">
        <v>1496250</v>
      </c>
      <c r="M71" s="69">
        <v>0</v>
      </c>
      <c r="N71" s="70">
        <v>0</v>
      </c>
      <c r="O71" s="70">
        <v>99438.89</v>
      </c>
      <c r="P71" s="70">
        <v>191758953.22</v>
      </c>
      <c r="Q71" s="70">
        <v>0</v>
      </c>
      <c r="R71" s="71">
        <v>178547316.77000001</v>
      </c>
      <c r="S71" s="70">
        <v>0</v>
      </c>
      <c r="T71" s="70">
        <v>178547316.77000001</v>
      </c>
      <c r="U71" s="72" t="s">
        <v>0</v>
      </c>
    </row>
    <row r="72" spans="1:21" ht="14.45" customHeight="1">
      <c r="A72" s="64">
        <v>45693</v>
      </c>
      <c r="B72" s="64">
        <v>45657</v>
      </c>
      <c r="C72" s="64">
        <v>45657</v>
      </c>
      <c r="D72" s="65" t="s">
        <v>158</v>
      </c>
      <c r="E72" s="65" t="s">
        <v>86</v>
      </c>
      <c r="F72" s="65" t="s">
        <v>159</v>
      </c>
      <c r="G72" s="65" t="s">
        <v>76</v>
      </c>
      <c r="H72" s="65" t="s">
        <v>14</v>
      </c>
      <c r="I72" s="66" t="s">
        <v>12</v>
      </c>
      <c r="J72" s="67">
        <v>-5219257.78</v>
      </c>
      <c r="K72" s="68">
        <v>1</v>
      </c>
      <c r="L72" s="67">
        <v>5219257.78</v>
      </c>
      <c r="M72" s="69">
        <v>0</v>
      </c>
      <c r="N72" s="70">
        <v>0</v>
      </c>
      <c r="O72" s="70">
        <v>99438.89</v>
      </c>
      <c r="P72" s="70">
        <v>186539695.44</v>
      </c>
      <c r="Q72" s="70">
        <v>0</v>
      </c>
      <c r="R72" s="71">
        <v>183766574.55000001</v>
      </c>
      <c r="S72" s="70">
        <v>0</v>
      </c>
      <c r="T72" s="70">
        <v>183766574.55000001</v>
      </c>
      <c r="U72" s="72" t="s">
        <v>0</v>
      </c>
    </row>
    <row r="73" spans="1:21" ht="14.45" customHeight="1">
      <c r="A73" s="64">
        <v>45693</v>
      </c>
      <c r="B73" s="64">
        <v>45657</v>
      </c>
      <c r="C73" s="64">
        <v>45657</v>
      </c>
      <c r="D73" s="65" t="s">
        <v>160</v>
      </c>
      <c r="E73" s="65" t="s">
        <v>65</v>
      </c>
      <c r="F73" s="65" t="s">
        <v>161</v>
      </c>
      <c r="G73" s="65" t="s">
        <v>76</v>
      </c>
      <c r="H73" s="65" t="s">
        <v>14</v>
      </c>
      <c r="I73" s="66" t="s">
        <v>12</v>
      </c>
      <c r="J73" s="67">
        <v>-2992500</v>
      </c>
      <c r="K73" s="68">
        <v>1</v>
      </c>
      <c r="L73" s="67">
        <v>2992500</v>
      </c>
      <c r="M73" s="69">
        <v>0</v>
      </c>
      <c r="N73" s="70">
        <v>0</v>
      </c>
      <c r="O73" s="70">
        <v>99438.89</v>
      </c>
      <c r="P73" s="70">
        <v>183547195.44</v>
      </c>
      <c r="Q73" s="70">
        <v>0</v>
      </c>
      <c r="R73" s="71">
        <v>186759074.55000001</v>
      </c>
      <c r="S73" s="70">
        <v>0</v>
      </c>
      <c r="T73" s="70">
        <v>186759074.55000001</v>
      </c>
      <c r="U73" s="72" t="s">
        <v>0</v>
      </c>
    </row>
    <row r="74" spans="1:21" ht="14.45" customHeight="1">
      <c r="A74" s="64">
        <v>45693</v>
      </c>
      <c r="B74" s="64">
        <v>45657</v>
      </c>
      <c r="C74" s="64">
        <v>45657</v>
      </c>
      <c r="D74" s="65" t="s">
        <v>162</v>
      </c>
      <c r="E74" s="65" t="s">
        <v>86</v>
      </c>
      <c r="F74" s="65" t="s">
        <v>163</v>
      </c>
      <c r="G74" s="65" t="s">
        <v>76</v>
      </c>
      <c r="H74" s="65" t="s">
        <v>14</v>
      </c>
      <c r="I74" s="66" t="s">
        <v>12</v>
      </c>
      <c r="J74" s="67">
        <v>-800000</v>
      </c>
      <c r="K74" s="68">
        <v>1</v>
      </c>
      <c r="L74" s="67">
        <v>800000</v>
      </c>
      <c r="M74" s="69">
        <v>0</v>
      </c>
      <c r="N74" s="70">
        <v>0</v>
      </c>
      <c r="O74" s="70">
        <v>99438.89</v>
      </c>
      <c r="P74" s="70">
        <v>182747195.44</v>
      </c>
      <c r="Q74" s="70">
        <v>0</v>
      </c>
      <c r="R74" s="71">
        <v>187559074.55000001</v>
      </c>
      <c r="S74" s="70">
        <v>0</v>
      </c>
      <c r="T74" s="70">
        <v>187559074.55000001</v>
      </c>
      <c r="U74" s="72" t="s">
        <v>0</v>
      </c>
    </row>
    <row r="75" spans="1:21" ht="14.45" customHeight="1">
      <c r="A75" s="64">
        <v>45693</v>
      </c>
      <c r="B75" s="64">
        <v>45657</v>
      </c>
      <c r="C75" s="64">
        <v>45657</v>
      </c>
      <c r="D75" s="65" t="s">
        <v>164</v>
      </c>
      <c r="E75" s="65" t="s">
        <v>165</v>
      </c>
      <c r="F75" s="65" t="s">
        <v>166</v>
      </c>
      <c r="G75" s="65" t="s">
        <v>76</v>
      </c>
      <c r="H75" s="65" t="s">
        <v>14</v>
      </c>
      <c r="I75" s="66" t="s">
        <v>12</v>
      </c>
      <c r="J75" s="67">
        <v>-1104561.49</v>
      </c>
      <c r="K75" s="68">
        <v>1</v>
      </c>
      <c r="L75" s="67">
        <v>1104561.49</v>
      </c>
      <c r="M75" s="69">
        <v>0</v>
      </c>
      <c r="N75" s="70">
        <v>0</v>
      </c>
      <c r="O75" s="70">
        <v>99438.89</v>
      </c>
      <c r="P75" s="70">
        <v>181642633.94999999</v>
      </c>
      <c r="Q75" s="70">
        <v>0</v>
      </c>
      <c r="R75" s="71">
        <v>188663636.03999999</v>
      </c>
      <c r="S75" s="70">
        <v>0</v>
      </c>
      <c r="T75" s="70">
        <v>188663636.03999999</v>
      </c>
      <c r="U75" s="72" t="s">
        <v>0</v>
      </c>
    </row>
    <row r="76" spans="1:21" ht="14.45" customHeight="1">
      <c r="A76" s="64">
        <v>45693</v>
      </c>
      <c r="B76" s="64">
        <v>45657</v>
      </c>
      <c r="C76" s="64">
        <v>45657</v>
      </c>
      <c r="D76" s="65" t="s">
        <v>91</v>
      </c>
      <c r="E76" s="65" t="s">
        <v>167</v>
      </c>
      <c r="F76" s="65" t="s">
        <v>168</v>
      </c>
      <c r="G76" s="65" t="s">
        <v>76</v>
      </c>
      <c r="H76" s="65" t="s">
        <v>14</v>
      </c>
      <c r="I76" s="66" t="s">
        <v>12</v>
      </c>
      <c r="J76" s="67">
        <v>-1971361.7</v>
      </c>
      <c r="K76" s="68">
        <v>1</v>
      </c>
      <c r="L76" s="67">
        <v>1971361.7</v>
      </c>
      <c r="M76" s="69">
        <v>0</v>
      </c>
      <c r="N76" s="70">
        <v>0</v>
      </c>
      <c r="O76" s="70">
        <v>99438.89</v>
      </c>
      <c r="P76" s="70">
        <v>179671272.25</v>
      </c>
      <c r="Q76" s="70">
        <v>0</v>
      </c>
      <c r="R76" s="71">
        <v>190634997.74000001</v>
      </c>
      <c r="S76" s="70">
        <v>0</v>
      </c>
      <c r="T76" s="70">
        <v>190634997.74000001</v>
      </c>
      <c r="U76" s="72" t="s">
        <v>0</v>
      </c>
    </row>
    <row r="77" spans="1:21" ht="14.45" customHeight="1">
      <c r="A77" s="64">
        <v>45693</v>
      </c>
      <c r="B77" s="64">
        <v>45657</v>
      </c>
      <c r="C77" s="64">
        <v>45657</v>
      </c>
      <c r="D77" s="65" t="s">
        <v>169</v>
      </c>
      <c r="E77" s="65" t="s">
        <v>86</v>
      </c>
      <c r="F77" s="65" t="s">
        <v>170</v>
      </c>
      <c r="G77" s="65" t="s">
        <v>76</v>
      </c>
      <c r="H77" s="65" t="s">
        <v>14</v>
      </c>
      <c r="I77" s="66" t="s">
        <v>12</v>
      </c>
      <c r="J77" s="67">
        <v>-5868450.2999999998</v>
      </c>
      <c r="K77" s="68">
        <v>1</v>
      </c>
      <c r="L77" s="67">
        <v>5868450.2999999998</v>
      </c>
      <c r="M77" s="69">
        <v>0</v>
      </c>
      <c r="N77" s="70">
        <v>0</v>
      </c>
      <c r="O77" s="70">
        <v>99438.89</v>
      </c>
      <c r="P77" s="70">
        <v>173802821.94999999</v>
      </c>
      <c r="Q77" s="70">
        <v>0</v>
      </c>
      <c r="R77" s="71">
        <v>196503448.03999999</v>
      </c>
      <c r="S77" s="70">
        <v>0</v>
      </c>
      <c r="T77" s="70">
        <v>196503448.03999999</v>
      </c>
      <c r="U77" s="72" t="s">
        <v>0</v>
      </c>
    </row>
    <row r="78" spans="1:21" ht="14.45" customHeight="1">
      <c r="A78" s="64">
        <v>45693</v>
      </c>
      <c r="B78" s="64">
        <v>45657</v>
      </c>
      <c r="C78" s="64">
        <v>45657</v>
      </c>
      <c r="D78" s="65" t="s">
        <v>169</v>
      </c>
      <c r="E78" s="65" t="s">
        <v>83</v>
      </c>
      <c r="F78" s="65" t="s">
        <v>171</v>
      </c>
      <c r="G78" s="65" t="s">
        <v>76</v>
      </c>
      <c r="H78" s="65" t="s">
        <v>14</v>
      </c>
      <c r="I78" s="66" t="s">
        <v>12</v>
      </c>
      <c r="J78" s="67">
        <v>-5582812.8300000001</v>
      </c>
      <c r="K78" s="68">
        <v>1</v>
      </c>
      <c r="L78" s="67">
        <v>5582812.8300000001</v>
      </c>
      <c r="M78" s="69">
        <v>0</v>
      </c>
      <c r="N78" s="70">
        <v>0</v>
      </c>
      <c r="O78" s="70">
        <v>99438.89</v>
      </c>
      <c r="P78" s="70">
        <v>168220009.12</v>
      </c>
      <c r="Q78" s="70">
        <v>0</v>
      </c>
      <c r="R78" s="71">
        <v>202086260.87</v>
      </c>
      <c r="S78" s="70">
        <v>0</v>
      </c>
      <c r="T78" s="70">
        <v>202086260.87</v>
      </c>
      <c r="U78" s="72" t="s">
        <v>0</v>
      </c>
    </row>
    <row r="79" spans="1:21" ht="14.45" customHeight="1">
      <c r="A79" s="64">
        <v>45693</v>
      </c>
      <c r="B79" s="64">
        <v>45657</v>
      </c>
      <c r="C79" s="64">
        <v>45657</v>
      </c>
      <c r="D79" s="65" t="s">
        <v>172</v>
      </c>
      <c r="E79" s="65" t="s">
        <v>173</v>
      </c>
      <c r="F79" s="65" t="s">
        <v>174</v>
      </c>
      <c r="G79" s="65" t="s">
        <v>76</v>
      </c>
      <c r="H79" s="65" t="s">
        <v>14</v>
      </c>
      <c r="I79" s="66" t="s">
        <v>12</v>
      </c>
      <c r="J79" s="67">
        <v>-3200181.89</v>
      </c>
      <c r="K79" s="68">
        <v>1</v>
      </c>
      <c r="L79" s="67">
        <v>3200181.89</v>
      </c>
      <c r="M79" s="69">
        <v>0</v>
      </c>
      <c r="N79" s="70">
        <v>0</v>
      </c>
      <c r="O79" s="70">
        <v>99438.89</v>
      </c>
      <c r="P79" s="70">
        <v>165019827.22999999</v>
      </c>
      <c r="Q79" s="70">
        <v>0</v>
      </c>
      <c r="R79" s="71">
        <v>205286442.75999999</v>
      </c>
      <c r="S79" s="70">
        <v>0</v>
      </c>
      <c r="T79" s="70">
        <v>205286442.75999999</v>
      </c>
      <c r="U79" s="72" t="s">
        <v>0</v>
      </c>
    </row>
    <row r="80" spans="1:21" ht="14.45" customHeight="1">
      <c r="A80" s="64">
        <v>45693</v>
      </c>
      <c r="B80" s="64">
        <v>45657</v>
      </c>
      <c r="C80" s="64">
        <v>45657</v>
      </c>
      <c r="D80" s="65" t="s">
        <v>175</v>
      </c>
      <c r="E80" s="65" t="s">
        <v>176</v>
      </c>
      <c r="F80" s="65" t="s">
        <v>177</v>
      </c>
      <c r="G80" s="65" t="s">
        <v>76</v>
      </c>
      <c r="H80" s="65" t="s">
        <v>14</v>
      </c>
      <c r="I80" s="66" t="s">
        <v>12</v>
      </c>
      <c r="J80" s="67">
        <v>-5331337.58</v>
      </c>
      <c r="K80" s="68">
        <v>1</v>
      </c>
      <c r="L80" s="67">
        <v>5331337.58</v>
      </c>
      <c r="M80" s="69">
        <v>0</v>
      </c>
      <c r="N80" s="70">
        <v>0</v>
      </c>
      <c r="O80" s="70">
        <v>99438.89</v>
      </c>
      <c r="P80" s="70">
        <v>159688489.65000001</v>
      </c>
      <c r="Q80" s="70">
        <v>0</v>
      </c>
      <c r="R80" s="71">
        <v>210617780.34</v>
      </c>
      <c r="S80" s="70">
        <v>0</v>
      </c>
      <c r="T80" s="70">
        <v>210617780.34</v>
      </c>
      <c r="U80" s="72" t="s">
        <v>0</v>
      </c>
    </row>
    <row r="81" spans="1:21" ht="14.45" customHeight="1">
      <c r="A81" s="64">
        <v>45693</v>
      </c>
      <c r="B81" s="64">
        <v>45657</v>
      </c>
      <c r="C81" s="64">
        <v>45657</v>
      </c>
      <c r="D81" s="65" t="s">
        <v>178</v>
      </c>
      <c r="E81" s="65" t="s">
        <v>179</v>
      </c>
      <c r="F81" s="65" t="s">
        <v>180</v>
      </c>
      <c r="G81" s="65" t="s">
        <v>76</v>
      </c>
      <c r="H81" s="65" t="s">
        <v>14</v>
      </c>
      <c r="I81" s="66" t="s">
        <v>12</v>
      </c>
      <c r="J81" s="67">
        <v>-1000000</v>
      </c>
      <c r="K81" s="68">
        <v>1</v>
      </c>
      <c r="L81" s="67">
        <v>1000000</v>
      </c>
      <c r="M81" s="69">
        <v>0</v>
      </c>
      <c r="N81" s="70">
        <v>0</v>
      </c>
      <c r="O81" s="70">
        <v>99438.89</v>
      </c>
      <c r="P81" s="70">
        <v>158688489.65000001</v>
      </c>
      <c r="Q81" s="70">
        <v>0</v>
      </c>
      <c r="R81" s="71">
        <v>211617780.34</v>
      </c>
      <c r="S81" s="70">
        <v>0</v>
      </c>
      <c r="T81" s="70">
        <v>211617780.34</v>
      </c>
      <c r="U81" s="72" t="s">
        <v>0</v>
      </c>
    </row>
    <row r="82" spans="1:21" ht="14.45" customHeight="1">
      <c r="A82" s="64">
        <v>45693</v>
      </c>
      <c r="B82" s="64">
        <v>45657</v>
      </c>
      <c r="C82" s="64">
        <v>45657</v>
      </c>
      <c r="D82" s="65" t="s">
        <v>181</v>
      </c>
      <c r="E82" s="65" t="s">
        <v>86</v>
      </c>
      <c r="F82" s="65" t="s">
        <v>182</v>
      </c>
      <c r="G82" s="65" t="s">
        <v>76</v>
      </c>
      <c r="H82" s="65" t="s">
        <v>14</v>
      </c>
      <c r="I82" s="66" t="s">
        <v>12</v>
      </c>
      <c r="J82" s="67">
        <v>-9236036.3800000008</v>
      </c>
      <c r="K82" s="68">
        <v>1</v>
      </c>
      <c r="L82" s="67">
        <v>9236036.3800000008</v>
      </c>
      <c r="M82" s="69">
        <v>0</v>
      </c>
      <c r="N82" s="70">
        <v>0</v>
      </c>
      <c r="O82" s="70">
        <v>99438.89</v>
      </c>
      <c r="P82" s="70">
        <v>149452453.27000001</v>
      </c>
      <c r="Q82" s="70">
        <v>0</v>
      </c>
      <c r="R82" s="71">
        <v>220853816.72</v>
      </c>
      <c r="S82" s="70">
        <v>0</v>
      </c>
      <c r="T82" s="70">
        <v>220853816.72</v>
      </c>
      <c r="U82" s="72" t="s">
        <v>0</v>
      </c>
    </row>
    <row r="83" spans="1:21" ht="14.45" customHeight="1">
      <c r="A83" s="64">
        <v>45693</v>
      </c>
      <c r="B83" s="64">
        <v>45657</v>
      </c>
      <c r="C83" s="64">
        <v>45657</v>
      </c>
      <c r="D83" s="65" t="s">
        <v>183</v>
      </c>
      <c r="E83" s="65" t="s">
        <v>184</v>
      </c>
      <c r="F83" s="65" t="s">
        <v>185</v>
      </c>
      <c r="G83" s="65" t="s">
        <v>76</v>
      </c>
      <c r="H83" s="65" t="s">
        <v>14</v>
      </c>
      <c r="I83" s="66" t="s">
        <v>12</v>
      </c>
      <c r="J83" s="67">
        <v>-3438910.58</v>
      </c>
      <c r="K83" s="68">
        <v>1</v>
      </c>
      <c r="L83" s="67">
        <v>3438910.58</v>
      </c>
      <c r="M83" s="69">
        <v>0</v>
      </c>
      <c r="N83" s="70">
        <v>0</v>
      </c>
      <c r="O83" s="70">
        <v>99438.89</v>
      </c>
      <c r="P83" s="70">
        <v>146013542.69</v>
      </c>
      <c r="Q83" s="70">
        <v>0</v>
      </c>
      <c r="R83" s="71">
        <v>224292727.30000001</v>
      </c>
      <c r="S83" s="70">
        <v>0</v>
      </c>
      <c r="T83" s="70">
        <v>224292727.30000001</v>
      </c>
      <c r="U83" s="72" t="s">
        <v>0</v>
      </c>
    </row>
    <row r="84" spans="1:21" ht="14.45" customHeight="1">
      <c r="A84" s="64">
        <v>45693</v>
      </c>
      <c r="B84" s="64">
        <v>45657</v>
      </c>
      <c r="C84" s="64">
        <v>45657</v>
      </c>
      <c r="D84" s="65" t="s">
        <v>183</v>
      </c>
      <c r="E84" s="65" t="s">
        <v>186</v>
      </c>
      <c r="F84" s="65" t="s">
        <v>187</v>
      </c>
      <c r="G84" s="65" t="s">
        <v>76</v>
      </c>
      <c r="H84" s="65" t="s">
        <v>14</v>
      </c>
      <c r="I84" s="66" t="s">
        <v>12</v>
      </c>
      <c r="J84" s="67">
        <v>-235093.99</v>
      </c>
      <c r="K84" s="68">
        <v>1</v>
      </c>
      <c r="L84" s="67">
        <v>235093.99</v>
      </c>
      <c r="M84" s="69">
        <v>0</v>
      </c>
      <c r="N84" s="70">
        <v>0</v>
      </c>
      <c r="O84" s="70">
        <v>99438.89</v>
      </c>
      <c r="P84" s="70">
        <v>145778448.69999999</v>
      </c>
      <c r="Q84" s="70">
        <v>0</v>
      </c>
      <c r="R84" s="71">
        <v>224527821.28999999</v>
      </c>
      <c r="S84" s="70">
        <v>0</v>
      </c>
      <c r="T84" s="70">
        <v>224527821.28999999</v>
      </c>
      <c r="U84" s="72" t="s">
        <v>0</v>
      </c>
    </row>
    <row r="85" spans="1:21" ht="14.45" customHeight="1">
      <c r="A85" s="64">
        <v>45693</v>
      </c>
      <c r="B85" s="64">
        <v>45657</v>
      </c>
      <c r="C85" s="64">
        <v>45657</v>
      </c>
      <c r="D85" s="65" t="s">
        <v>106</v>
      </c>
      <c r="E85" s="65" t="s">
        <v>188</v>
      </c>
      <c r="F85" s="65" t="s">
        <v>189</v>
      </c>
      <c r="G85" s="65" t="s">
        <v>76</v>
      </c>
      <c r="H85" s="65" t="s">
        <v>14</v>
      </c>
      <c r="I85" s="66" t="s">
        <v>12</v>
      </c>
      <c r="J85" s="67">
        <v>-4254716.2</v>
      </c>
      <c r="K85" s="68">
        <v>1</v>
      </c>
      <c r="L85" s="67">
        <v>4254716.2</v>
      </c>
      <c r="M85" s="69">
        <v>0</v>
      </c>
      <c r="N85" s="70">
        <v>0</v>
      </c>
      <c r="O85" s="70">
        <v>99438.89</v>
      </c>
      <c r="P85" s="70">
        <v>141523732.5</v>
      </c>
      <c r="Q85" s="70">
        <v>0</v>
      </c>
      <c r="R85" s="71">
        <v>228782537.49000001</v>
      </c>
      <c r="S85" s="70">
        <v>0</v>
      </c>
      <c r="T85" s="70">
        <v>228782537.49000001</v>
      </c>
      <c r="U85" s="72" t="s">
        <v>0</v>
      </c>
    </row>
    <row r="86" spans="1:21" ht="14.45" customHeight="1">
      <c r="A86" s="64">
        <v>45693</v>
      </c>
      <c r="B86" s="64">
        <v>45657</v>
      </c>
      <c r="C86" s="64">
        <v>45657</v>
      </c>
      <c r="D86" s="65" t="s">
        <v>183</v>
      </c>
      <c r="E86" s="65" t="s">
        <v>65</v>
      </c>
      <c r="F86" s="65" t="s">
        <v>190</v>
      </c>
      <c r="G86" s="65" t="s">
        <v>76</v>
      </c>
      <c r="H86" s="65" t="s">
        <v>14</v>
      </c>
      <c r="I86" s="66" t="s">
        <v>12</v>
      </c>
      <c r="J86" s="67">
        <v>-5727103.2000000002</v>
      </c>
      <c r="K86" s="68">
        <v>1</v>
      </c>
      <c r="L86" s="67">
        <v>5727103.2000000002</v>
      </c>
      <c r="M86" s="69">
        <v>0</v>
      </c>
      <c r="N86" s="70">
        <v>0</v>
      </c>
      <c r="O86" s="70">
        <v>99438.89</v>
      </c>
      <c r="P86" s="70">
        <v>135796629.30000001</v>
      </c>
      <c r="Q86" s="70">
        <v>0</v>
      </c>
      <c r="R86" s="71">
        <v>234509640.69</v>
      </c>
      <c r="S86" s="70">
        <v>0</v>
      </c>
      <c r="T86" s="70">
        <v>234509640.69</v>
      </c>
      <c r="U86" s="72" t="s">
        <v>0</v>
      </c>
    </row>
    <row r="87" spans="1:21" ht="14.45" customHeight="1">
      <c r="A87" s="64">
        <v>45693</v>
      </c>
      <c r="B87" s="64">
        <v>45657</v>
      </c>
      <c r="C87" s="64">
        <v>45657</v>
      </c>
      <c r="D87" s="65" t="s">
        <v>191</v>
      </c>
      <c r="E87" s="65" t="s">
        <v>192</v>
      </c>
      <c r="F87" s="65" t="s">
        <v>193</v>
      </c>
      <c r="G87" s="65" t="s">
        <v>76</v>
      </c>
      <c r="H87" s="65" t="s">
        <v>14</v>
      </c>
      <c r="I87" s="66" t="s">
        <v>12</v>
      </c>
      <c r="J87" s="67">
        <v>-2941452.96</v>
      </c>
      <c r="K87" s="68">
        <v>1</v>
      </c>
      <c r="L87" s="67">
        <v>2941452.96</v>
      </c>
      <c r="M87" s="69">
        <v>0</v>
      </c>
      <c r="N87" s="70">
        <v>0</v>
      </c>
      <c r="O87" s="70">
        <v>99438.89</v>
      </c>
      <c r="P87" s="70">
        <v>132855176.34</v>
      </c>
      <c r="Q87" s="70">
        <v>0</v>
      </c>
      <c r="R87" s="71">
        <v>237451093.65000001</v>
      </c>
      <c r="S87" s="70">
        <v>0</v>
      </c>
      <c r="T87" s="70">
        <v>237451093.65000001</v>
      </c>
      <c r="U87" s="72" t="s">
        <v>0</v>
      </c>
    </row>
    <row r="88" spans="1:21" ht="14.45" customHeight="1">
      <c r="A88" s="64">
        <v>45693</v>
      </c>
      <c r="B88" s="64">
        <v>45657</v>
      </c>
      <c r="C88" s="64">
        <v>45657</v>
      </c>
      <c r="D88" s="65" t="s">
        <v>191</v>
      </c>
      <c r="E88" s="65" t="s">
        <v>194</v>
      </c>
      <c r="F88" s="65" t="s">
        <v>195</v>
      </c>
      <c r="G88" s="65" t="s">
        <v>76</v>
      </c>
      <c r="H88" s="65" t="s">
        <v>14</v>
      </c>
      <c r="I88" s="66" t="s">
        <v>12</v>
      </c>
      <c r="J88" s="67">
        <v>-2189982.84</v>
      </c>
      <c r="K88" s="68">
        <v>1</v>
      </c>
      <c r="L88" s="67">
        <v>2189982.84</v>
      </c>
      <c r="M88" s="69">
        <v>0</v>
      </c>
      <c r="N88" s="70">
        <v>0</v>
      </c>
      <c r="O88" s="70">
        <v>99438.89</v>
      </c>
      <c r="P88" s="70">
        <v>130665193.5</v>
      </c>
      <c r="Q88" s="70">
        <v>0</v>
      </c>
      <c r="R88" s="71">
        <v>239641076.49000001</v>
      </c>
      <c r="S88" s="70">
        <v>0</v>
      </c>
      <c r="T88" s="70">
        <v>239641076.49000001</v>
      </c>
      <c r="U88" s="72" t="s">
        <v>0</v>
      </c>
    </row>
    <row r="89" spans="1:21" ht="14.45" customHeight="1">
      <c r="A89" s="64">
        <v>45693</v>
      </c>
      <c r="B89" s="64">
        <v>45657</v>
      </c>
      <c r="C89" s="64">
        <v>45657</v>
      </c>
      <c r="D89" s="65" t="s">
        <v>196</v>
      </c>
      <c r="E89" s="65" t="s">
        <v>197</v>
      </c>
      <c r="F89" s="65" t="s">
        <v>198</v>
      </c>
      <c r="G89" s="65" t="s">
        <v>76</v>
      </c>
      <c r="H89" s="65" t="s">
        <v>14</v>
      </c>
      <c r="I89" s="66" t="s">
        <v>12</v>
      </c>
      <c r="J89" s="67">
        <v>-5754732.71</v>
      </c>
      <c r="K89" s="68">
        <v>1</v>
      </c>
      <c r="L89" s="67">
        <v>5754732.71</v>
      </c>
      <c r="M89" s="69">
        <v>0</v>
      </c>
      <c r="N89" s="70">
        <v>0</v>
      </c>
      <c r="O89" s="70">
        <v>99438.89</v>
      </c>
      <c r="P89" s="70">
        <v>124910460.79000001</v>
      </c>
      <c r="Q89" s="70">
        <v>0</v>
      </c>
      <c r="R89" s="71">
        <v>245395809.19999999</v>
      </c>
      <c r="S89" s="70">
        <v>0</v>
      </c>
      <c r="T89" s="70">
        <v>245395809.19999999</v>
      </c>
      <c r="U89" s="72" t="s">
        <v>0</v>
      </c>
    </row>
    <row r="90" spans="1:21" ht="14.45" customHeight="1">
      <c r="A90" s="64">
        <v>45693</v>
      </c>
      <c r="B90" s="64">
        <v>45657</v>
      </c>
      <c r="C90" s="64">
        <v>45657</v>
      </c>
      <c r="D90" s="65" t="s">
        <v>196</v>
      </c>
      <c r="E90" s="65" t="s">
        <v>199</v>
      </c>
      <c r="F90" s="65" t="s">
        <v>200</v>
      </c>
      <c r="G90" s="65" t="s">
        <v>76</v>
      </c>
      <c r="H90" s="65" t="s">
        <v>14</v>
      </c>
      <c r="I90" s="66" t="s">
        <v>12</v>
      </c>
      <c r="J90" s="67">
        <v>-1584191.55</v>
      </c>
      <c r="K90" s="68">
        <v>1</v>
      </c>
      <c r="L90" s="67">
        <v>1584191.55</v>
      </c>
      <c r="M90" s="69">
        <v>0</v>
      </c>
      <c r="N90" s="70">
        <v>0</v>
      </c>
      <c r="O90" s="70">
        <v>99438.89</v>
      </c>
      <c r="P90" s="70">
        <v>123326269.23999999</v>
      </c>
      <c r="Q90" s="70">
        <v>0</v>
      </c>
      <c r="R90" s="71">
        <v>246980000.75</v>
      </c>
      <c r="S90" s="70">
        <v>0</v>
      </c>
      <c r="T90" s="70">
        <v>246980000.75</v>
      </c>
      <c r="U90" s="72" t="s">
        <v>0</v>
      </c>
    </row>
    <row r="91" spans="1:21" ht="14.45" customHeight="1">
      <c r="A91" s="64">
        <v>45693</v>
      </c>
      <c r="B91" s="64">
        <v>45657</v>
      </c>
      <c r="C91" s="64">
        <v>45657</v>
      </c>
      <c r="D91" s="65" t="s">
        <v>201</v>
      </c>
      <c r="E91" s="65" t="s">
        <v>65</v>
      </c>
      <c r="F91" s="65" t="s">
        <v>202</v>
      </c>
      <c r="G91" s="65" t="s">
        <v>76</v>
      </c>
      <c r="H91" s="65" t="s">
        <v>14</v>
      </c>
      <c r="I91" s="66" t="s">
        <v>12</v>
      </c>
      <c r="J91" s="67">
        <v>-12543514.789999999</v>
      </c>
      <c r="K91" s="68">
        <v>1</v>
      </c>
      <c r="L91" s="67">
        <v>12543514.789999999</v>
      </c>
      <c r="M91" s="69">
        <v>0</v>
      </c>
      <c r="N91" s="70">
        <v>0</v>
      </c>
      <c r="O91" s="70">
        <v>99438.89</v>
      </c>
      <c r="P91" s="70">
        <v>110782754.45</v>
      </c>
      <c r="Q91" s="70">
        <v>0</v>
      </c>
      <c r="R91" s="71">
        <v>259523515.53999999</v>
      </c>
      <c r="S91" s="70">
        <v>0</v>
      </c>
      <c r="T91" s="70">
        <v>259523515.53999999</v>
      </c>
      <c r="U91" s="72" t="s">
        <v>0</v>
      </c>
    </row>
    <row r="92" spans="1:21" ht="14.45" customHeight="1">
      <c r="A92" s="64">
        <v>45693</v>
      </c>
      <c r="B92" s="64">
        <v>45657</v>
      </c>
      <c r="C92" s="64">
        <v>45657</v>
      </c>
      <c r="D92" s="65" t="s">
        <v>203</v>
      </c>
      <c r="E92" s="65" t="s">
        <v>204</v>
      </c>
      <c r="F92" s="65" t="s">
        <v>205</v>
      </c>
      <c r="G92" s="65" t="s">
        <v>76</v>
      </c>
      <c r="H92" s="65" t="s">
        <v>14</v>
      </c>
      <c r="I92" s="66" t="s">
        <v>12</v>
      </c>
      <c r="J92" s="67">
        <v>-3285213.55</v>
      </c>
      <c r="K92" s="68">
        <v>1</v>
      </c>
      <c r="L92" s="67">
        <v>3285213.55</v>
      </c>
      <c r="M92" s="69">
        <v>0</v>
      </c>
      <c r="N92" s="70">
        <v>0</v>
      </c>
      <c r="O92" s="70">
        <v>99438.89</v>
      </c>
      <c r="P92" s="70">
        <v>107497540.90000001</v>
      </c>
      <c r="Q92" s="70">
        <v>0</v>
      </c>
      <c r="R92" s="71">
        <v>262808729.09</v>
      </c>
      <c r="S92" s="70">
        <v>0</v>
      </c>
      <c r="T92" s="70">
        <v>262808729.09</v>
      </c>
      <c r="U92" s="72" t="s">
        <v>0</v>
      </c>
    </row>
    <row r="93" spans="1:21" ht="14.45" customHeight="1">
      <c r="A93" s="64">
        <v>45693</v>
      </c>
      <c r="B93" s="64">
        <v>45657</v>
      </c>
      <c r="C93" s="64">
        <v>45657</v>
      </c>
      <c r="D93" s="65" t="s">
        <v>206</v>
      </c>
      <c r="E93" s="65" t="s">
        <v>83</v>
      </c>
      <c r="F93" s="65" t="s">
        <v>207</v>
      </c>
      <c r="G93" s="65" t="s">
        <v>76</v>
      </c>
      <c r="H93" s="65" t="s">
        <v>14</v>
      </c>
      <c r="I93" s="66" t="s">
        <v>12</v>
      </c>
      <c r="J93" s="67">
        <v>-2915176.78</v>
      </c>
      <c r="K93" s="68">
        <v>1</v>
      </c>
      <c r="L93" s="67">
        <v>2915176.78</v>
      </c>
      <c r="M93" s="69">
        <v>0</v>
      </c>
      <c r="N93" s="70">
        <v>0</v>
      </c>
      <c r="O93" s="70">
        <v>99438.89</v>
      </c>
      <c r="P93" s="70">
        <v>104582364.12</v>
      </c>
      <c r="Q93" s="70">
        <v>0</v>
      </c>
      <c r="R93" s="71">
        <v>265723905.87</v>
      </c>
      <c r="S93" s="70">
        <v>0</v>
      </c>
      <c r="T93" s="70">
        <v>265723905.87</v>
      </c>
      <c r="U93" s="72" t="s">
        <v>0</v>
      </c>
    </row>
    <row r="94" spans="1:21" ht="14.45" customHeight="1">
      <c r="A94" s="64">
        <v>45693</v>
      </c>
      <c r="B94" s="64">
        <v>45657</v>
      </c>
      <c r="C94" s="64">
        <v>45657</v>
      </c>
      <c r="D94" s="65" t="s">
        <v>206</v>
      </c>
      <c r="E94" s="65" t="s">
        <v>86</v>
      </c>
      <c r="F94" s="65" t="s">
        <v>208</v>
      </c>
      <c r="G94" s="65" t="s">
        <v>76</v>
      </c>
      <c r="H94" s="65" t="s">
        <v>14</v>
      </c>
      <c r="I94" s="66" t="s">
        <v>12</v>
      </c>
      <c r="J94" s="67">
        <v>-329100.53999999998</v>
      </c>
      <c r="K94" s="68">
        <v>1</v>
      </c>
      <c r="L94" s="67">
        <v>329100.53999999998</v>
      </c>
      <c r="M94" s="69">
        <v>0</v>
      </c>
      <c r="N94" s="70">
        <v>0</v>
      </c>
      <c r="O94" s="70">
        <v>99438.89</v>
      </c>
      <c r="P94" s="70">
        <v>104253263.58</v>
      </c>
      <c r="Q94" s="70">
        <v>0</v>
      </c>
      <c r="R94" s="71">
        <v>266053006.41</v>
      </c>
      <c r="S94" s="70">
        <v>0</v>
      </c>
      <c r="T94" s="70">
        <v>266053006.41</v>
      </c>
      <c r="U94" s="72" t="s">
        <v>0</v>
      </c>
    </row>
    <row r="95" spans="1:21" ht="14.45" customHeight="1">
      <c r="A95" s="64">
        <v>45693</v>
      </c>
      <c r="B95" s="64">
        <v>45657</v>
      </c>
      <c r="C95" s="64">
        <v>45657</v>
      </c>
      <c r="D95" s="65" t="s">
        <v>116</v>
      </c>
      <c r="E95" s="65" t="s">
        <v>209</v>
      </c>
      <c r="F95" s="65"/>
      <c r="G95" s="65" t="s">
        <v>76</v>
      </c>
      <c r="H95" s="65" t="s">
        <v>14</v>
      </c>
      <c r="I95" s="66" t="s">
        <v>12</v>
      </c>
      <c r="J95" s="67">
        <v>-500447.82</v>
      </c>
      <c r="K95" s="68">
        <v>1</v>
      </c>
      <c r="L95" s="67">
        <v>500447.82</v>
      </c>
      <c r="M95" s="69">
        <v>0</v>
      </c>
      <c r="N95" s="70">
        <v>0</v>
      </c>
      <c r="O95" s="70">
        <v>99438.89</v>
      </c>
      <c r="P95" s="70">
        <v>103752815.76000001</v>
      </c>
      <c r="Q95" s="70">
        <v>0</v>
      </c>
      <c r="R95" s="71">
        <v>266553454.22999999</v>
      </c>
      <c r="S95" s="70">
        <v>0</v>
      </c>
      <c r="T95" s="70">
        <v>266553454.22999999</v>
      </c>
      <c r="U95" s="72" t="s">
        <v>0</v>
      </c>
    </row>
    <row r="96" spans="1:21" ht="14.45" customHeight="1">
      <c r="A96" s="64">
        <v>45693</v>
      </c>
      <c r="B96" s="64">
        <v>45657</v>
      </c>
      <c r="C96" s="64">
        <v>45657</v>
      </c>
      <c r="D96" s="65" t="s">
        <v>210</v>
      </c>
      <c r="E96" s="65" t="s">
        <v>211</v>
      </c>
      <c r="F96" s="65" t="s">
        <v>212</v>
      </c>
      <c r="G96" s="65" t="s">
        <v>76</v>
      </c>
      <c r="H96" s="65" t="s">
        <v>14</v>
      </c>
      <c r="I96" s="66" t="s">
        <v>12</v>
      </c>
      <c r="J96" s="67">
        <v>-2512707.4700000002</v>
      </c>
      <c r="K96" s="68">
        <v>1</v>
      </c>
      <c r="L96" s="67">
        <v>2512707.4700000002</v>
      </c>
      <c r="M96" s="69">
        <v>0</v>
      </c>
      <c r="N96" s="70">
        <v>0</v>
      </c>
      <c r="O96" s="70">
        <v>99438.89</v>
      </c>
      <c r="P96" s="70">
        <v>101240108.29000001</v>
      </c>
      <c r="Q96" s="70">
        <v>0</v>
      </c>
      <c r="R96" s="71">
        <v>269066161.69999999</v>
      </c>
      <c r="S96" s="70">
        <v>0</v>
      </c>
      <c r="T96" s="70">
        <v>269066161.69999999</v>
      </c>
      <c r="U96" s="72" t="s">
        <v>0</v>
      </c>
    </row>
    <row r="97" spans="1:21" ht="14.45" customHeight="1">
      <c r="A97" s="64">
        <v>45693</v>
      </c>
      <c r="B97" s="64">
        <v>45657</v>
      </c>
      <c r="C97" s="64">
        <v>45657</v>
      </c>
      <c r="D97" s="65" t="s">
        <v>213</v>
      </c>
      <c r="E97" s="65" t="s">
        <v>65</v>
      </c>
      <c r="F97" s="65"/>
      <c r="G97" s="65" t="s">
        <v>76</v>
      </c>
      <c r="H97" s="65" t="s">
        <v>14</v>
      </c>
      <c r="I97" s="66" t="s">
        <v>12</v>
      </c>
      <c r="J97" s="67">
        <v>-6982500</v>
      </c>
      <c r="K97" s="68">
        <v>1</v>
      </c>
      <c r="L97" s="67">
        <v>6982500</v>
      </c>
      <c r="M97" s="69">
        <v>0</v>
      </c>
      <c r="N97" s="70">
        <v>0</v>
      </c>
      <c r="O97" s="70">
        <v>99438.89</v>
      </c>
      <c r="P97" s="70">
        <v>94257608.290000007</v>
      </c>
      <c r="Q97" s="70">
        <v>0</v>
      </c>
      <c r="R97" s="71">
        <v>276048661.69999999</v>
      </c>
      <c r="S97" s="70">
        <v>0</v>
      </c>
      <c r="T97" s="70">
        <v>276048661.69999999</v>
      </c>
      <c r="U97" s="72" t="s">
        <v>0</v>
      </c>
    </row>
    <row r="98" spans="1:21" ht="14.45" customHeight="1">
      <c r="A98" s="64">
        <v>45693</v>
      </c>
      <c r="B98" s="64">
        <v>45657</v>
      </c>
      <c r="C98" s="64">
        <v>45657</v>
      </c>
      <c r="D98" s="65" t="s">
        <v>91</v>
      </c>
      <c r="E98" s="65" t="s">
        <v>214</v>
      </c>
      <c r="F98" s="65" t="s">
        <v>215</v>
      </c>
      <c r="G98" s="65" t="s">
        <v>76</v>
      </c>
      <c r="H98" s="65" t="s">
        <v>14</v>
      </c>
      <c r="I98" s="66" t="s">
        <v>12</v>
      </c>
      <c r="J98" s="67">
        <v>-4354323.25</v>
      </c>
      <c r="K98" s="68">
        <v>1</v>
      </c>
      <c r="L98" s="67">
        <v>4354323.25</v>
      </c>
      <c r="M98" s="69">
        <v>0</v>
      </c>
      <c r="N98" s="70">
        <v>0</v>
      </c>
      <c r="O98" s="70">
        <v>99438.89</v>
      </c>
      <c r="P98" s="70">
        <v>89903285.040000007</v>
      </c>
      <c r="Q98" s="70">
        <v>0</v>
      </c>
      <c r="R98" s="71">
        <v>280402984.94999999</v>
      </c>
      <c r="S98" s="70">
        <v>0</v>
      </c>
      <c r="T98" s="70">
        <v>280402984.94999999</v>
      </c>
      <c r="U98" s="72" t="s">
        <v>0</v>
      </c>
    </row>
    <row r="99" spans="1:21" ht="14.45" customHeight="1">
      <c r="A99" s="64">
        <v>45693</v>
      </c>
      <c r="B99" s="64">
        <v>45657</v>
      </c>
      <c r="C99" s="64">
        <v>45657</v>
      </c>
      <c r="D99" s="65" t="s">
        <v>148</v>
      </c>
      <c r="E99" s="65" t="s">
        <v>176</v>
      </c>
      <c r="F99" s="65" t="s">
        <v>216</v>
      </c>
      <c r="G99" s="65" t="s">
        <v>76</v>
      </c>
      <c r="H99" s="65" t="s">
        <v>14</v>
      </c>
      <c r="I99" s="66" t="s">
        <v>12</v>
      </c>
      <c r="J99" s="67">
        <v>-3452013.34</v>
      </c>
      <c r="K99" s="68">
        <v>1</v>
      </c>
      <c r="L99" s="67">
        <v>3452013.34</v>
      </c>
      <c r="M99" s="69">
        <v>0</v>
      </c>
      <c r="N99" s="70">
        <v>0</v>
      </c>
      <c r="O99" s="70">
        <v>99438.89</v>
      </c>
      <c r="P99" s="70">
        <v>86451271.700000003</v>
      </c>
      <c r="Q99" s="70">
        <v>0</v>
      </c>
      <c r="R99" s="71">
        <v>283854998.29000002</v>
      </c>
      <c r="S99" s="70">
        <v>0</v>
      </c>
      <c r="T99" s="70">
        <v>283854998.29000002</v>
      </c>
      <c r="U99" s="72" t="s">
        <v>0</v>
      </c>
    </row>
    <row r="100" spans="1:21" ht="14.45" customHeight="1">
      <c r="A100" s="64">
        <v>45693</v>
      </c>
      <c r="B100" s="64">
        <v>45657</v>
      </c>
      <c r="C100" s="64">
        <v>45657</v>
      </c>
      <c r="D100" s="65" t="s">
        <v>91</v>
      </c>
      <c r="E100" s="65" t="s">
        <v>217</v>
      </c>
      <c r="F100" s="65" t="s">
        <v>218</v>
      </c>
      <c r="G100" s="65" t="s">
        <v>76</v>
      </c>
      <c r="H100" s="65" t="s">
        <v>14</v>
      </c>
      <c r="I100" s="66" t="s">
        <v>12</v>
      </c>
      <c r="J100" s="67">
        <v>-907682.02</v>
      </c>
      <c r="K100" s="68">
        <v>1</v>
      </c>
      <c r="L100" s="67">
        <v>907682.02</v>
      </c>
      <c r="M100" s="69">
        <v>0</v>
      </c>
      <c r="N100" s="70">
        <v>0</v>
      </c>
      <c r="O100" s="70">
        <v>99438.89</v>
      </c>
      <c r="P100" s="70">
        <v>85543589.680000007</v>
      </c>
      <c r="Q100" s="70">
        <v>0</v>
      </c>
      <c r="R100" s="71">
        <v>284762680.31</v>
      </c>
      <c r="S100" s="70">
        <v>0</v>
      </c>
      <c r="T100" s="70">
        <v>284762680.31</v>
      </c>
      <c r="U100" s="72" t="s">
        <v>0</v>
      </c>
    </row>
    <row r="101" spans="1:21" ht="14.45" customHeight="1">
      <c r="A101" s="64">
        <v>45693</v>
      </c>
      <c r="B101" s="64">
        <v>45657</v>
      </c>
      <c r="C101" s="64">
        <v>45657</v>
      </c>
      <c r="D101" s="65" t="s">
        <v>144</v>
      </c>
      <c r="E101" s="65" t="s">
        <v>83</v>
      </c>
      <c r="F101" s="65" t="s">
        <v>219</v>
      </c>
      <c r="G101" s="65" t="s">
        <v>76</v>
      </c>
      <c r="H101" s="65" t="s">
        <v>14</v>
      </c>
      <c r="I101" s="66" t="s">
        <v>12</v>
      </c>
      <c r="J101" s="67">
        <v>-1514565.56</v>
      </c>
      <c r="K101" s="68">
        <v>1</v>
      </c>
      <c r="L101" s="67">
        <v>1514565.56</v>
      </c>
      <c r="M101" s="69">
        <v>0</v>
      </c>
      <c r="N101" s="70">
        <v>0</v>
      </c>
      <c r="O101" s="70">
        <v>99438.89</v>
      </c>
      <c r="P101" s="70">
        <v>84029024.120000005</v>
      </c>
      <c r="Q101" s="70">
        <v>0</v>
      </c>
      <c r="R101" s="71">
        <v>286277245.87</v>
      </c>
      <c r="S101" s="70">
        <v>0</v>
      </c>
      <c r="T101" s="70">
        <v>286277245.87</v>
      </c>
      <c r="U101" s="72" t="s">
        <v>0</v>
      </c>
    </row>
    <row r="102" spans="1:21" ht="14.45" customHeight="1">
      <c r="A102" s="64">
        <v>45693</v>
      </c>
      <c r="B102" s="64">
        <v>45657</v>
      </c>
      <c r="C102" s="64">
        <v>45657</v>
      </c>
      <c r="D102" s="65" t="s">
        <v>54</v>
      </c>
      <c r="E102" s="65" t="s">
        <v>55</v>
      </c>
      <c r="F102" s="65" t="s">
        <v>56</v>
      </c>
      <c r="G102" s="65" t="s">
        <v>76</v>
      </c>
      <c r="H102" s="65" t="s">
        <v>14</v>
      </c>
      <c r="I102" s="66" t="s">
        <v>12</v>
      </c>
      <c r="J102" s="67">
        <v>-1378390.15</v>
      </c>
      <c r="K102" s="68">
        <v>1</v>
      </c>
      <c r="L102" s="67">
        <v>1378390.15</v>
      </c>
      <c r="M102" s="69">
        <v>0</v>
      </c>
      <c r="N102" s="70">
        <v>0</v>
      </c>
      <c r="O102" s="70">
        <v>99438.89</v>
      </c>
      <c r="P102" s="70">
        <v>82650633.969999999</v>
      </c>
      <c r="Q102" s="70">
        <v>0</v>
      </c>
      <c r="R102" s="71">
        <v>287655636.01999998</v>
      </c>
      <c r="S102" s="70">
        <v>0</v>
      </c>
      <c r="T102" s="70">
        <v>287655636.01999998</v>
      </c>
      <c r="U102" s="72" t="s">
        <v>0</v>
      </c>
    </row>
    <row r="103" spans="1:21" ht="14.45" customHeight="1">
      <c r="A103" s="64">
        <v>45693</v>
      </c>
      <c r="B103" s="64">
        <v>45657</v>
      </c>
      <c r="C103" s="64">
        <v>45657</v>
      </c>
      <c r="D103" s="65" t="s">
        <v>220</v>
      </c>
      <c r="E103" s="65" t="s">
        <v>221</v>
      </c>
      <c r="F103" s="65" t="s">
        <v>222</v>
      </c>
      <c r="G103" s="65" t="s">
        <v>76</v>
      </c>
      <c r="H103" s="65" t="s">
        <v>14</v>
      </c>
      <c r="I103" s="66" t="s">
        <v>12</v>
      </c>
      <c r="J103" s="67">
        <v>-7000000</v>
      </c>
      <c r="K103" s="68">
        <v>1</v>
      </c>
      <c r="L103" s="67">
        <v>7000000</v>
      </c>
      <c r="M103" s="69">
        <v>0</v>
      </c>
      <c r="N103" s="70">
        <v>0</v>
      </c>
      <c r="O103" s="70">
        <v>99438.89</v>
      </c>
      <c r="P103" s="70">
        <v>75650633.969999999</v>
      </c>
      <c r="Q103" s="70">
        <v>0</v>
      </c>
      <c r="R103" s="71">
        <v>294655636.01999998</v>
      </c>
      <c r="S103" s="70">
        <v>0</v>
      </c>
      <c r="T103" s="70">
        <v>294655636.01999998</v>
      </c>
      <c r="U103" s="72" t="s">
        <v>0</v>
      </c>
    </row>
    <row r="104" spans="1:21" ht="14.45" customHeight="1">
      <c r="A104" s="64">
        <v>45693</v>
      </c>
      <c r="B104" s="64">
        <v>45657</v>
      </c>
      <c r="C104" s="64">
        <v>45657</v>
      </c>
      <c r="D104" s="65" t="s">
        <v>87</v>
      </c>
      <c r="E104" s="65" t="s">
        <v>223</v>
      </c>
      <c r="F104" s="65" t="s">
        <v>224</v>
      </c>
      <c r="G104" s="65" t="s">
        <v>76</v>
      </c>
      <c r="H104" s="65" t="s">
        <v>14</v>
      </c>
      <c r="I104" s="66" t="s">
        <v>12</v>
      </c>
      <c r="J104" s="67">
        <v>-2084250</v>
      </c>
      <c r="K104" s="68">
        <v>1</v>
      </c>
      <c r="L104" s="67">
        <v>2084250</v>
      </c>
      <c r="M104" s="69">
        <v>0</v>
      </c>
      <c r="N104" s="70">
        <v>0</v>
      </c>
      <c r="O104" s="70">
        <v>99438.89</v>
      </c>
      <c r="P104" s="70">
        <v>73566383.969999999</v>
      </c>
      <c r="Q104" s="70">
        <v>0</v>
      </c>
      <c r="R104" s="71">
        <v>296739886.01999998</v>
      </c>
      <c r="S104" s="70">
        <v>0</v>
      </c>
      <c r="T104" s="70">
        <v>296739886.01999998</v>
      </c>
      <c r="U104" s="72" t="s">
        <v>0</v>
      </c>
    </row>
    <row r="105" spans="1:21" ht="14.45" customHeight="1">
      <c r="A105" s="64">
        <v>45693</v>
      </c>
      <c r="B105" s="64">
        <v>45657</v>
      </c>
      <c r="C105" s="64">
        <v>45657</v>
      </c>
      <c r="D105" s="65" t="s">
        <v>154</v>
      </c>
      <c r="E105" s="65" t="s">
        <v>192</v>
      </c>
      <c r="F105" s="65" t="s">
        <v>225</v>
      </c>
      <c r="G105" s="65" t="s">
        <v>76</v>
      </c>
      <c r="H105" s="65" t="s">
        <v>14</v>
      </c>
      <c r="I105" s="66" t="s">
        <v>12</v>
      </c>
      <c r="J105" s="67">
        <v>-4019856.22</v>
      </c>
      <c r="K105" s="68">
        <v>1</v>
      </c>
      <c r="L105" s="67">
        <v>4019856.22</v>
      </c>
      <c r="M105" s="69">
        <v>0</v>
      </c>
      <c r="N105" s="70">
        <v>0</v>
      </c>
      <c r="O105" s="70">
        <v>99438.89</v>
      </c>
      <c r="P105" s="70">
        <v>69546527.75</v>
      </c>
      <c r="Q105" s="70">
        <v>0</v>
      </c>
      <c r="R105" s="71">
        <v>300759742.24000001</v>
      </c>
      <c r="S105" s="70">
        <v>0</v>
      </c>
      <c r="T105" s="70">
        <v>300759742.24000001</v>
      </c>
      <c r="U105" s="72" t="s">
        <v>0</v>
      </c>
    </row>
    <row r="106" spans="1:21" ht="14.45" customHeight="1">
      <c r="A106" s="64">
        <v>45693</v>
      </c>
      <c r="B106" s="64">
        <v>45657</v>
      </c>
      <c r="C106" s="64">
        <v>45657</v>
      </c>
      <c r="D106" s="65" t="s">
        <v>80</v>
      </c>
      <c r="E106" s="65" t="s">
        <v>226</v>
      </c>
      <c r="F106" s="65" t="s">
        <v>227</v>
      </c>
      <c r="G106" s="65" t="s">
        <v>76</v>
      </c>
      <c r="H106" s="65" t="s">
        <v>14</v>
      </c>
      <c r="I106" s="66" t="s">
        <v>12</v>
      </c>
      <c r="J106" s="67">
        <v>-6405704.7400000002</v>
      </c>
      <c r="K106" s="68">
        <v>1</v>
      </c>
      <c r="L106" s="67">
        <v>6405704.7400000002</v>
      </c>
      <c r="M106" s="69">
        <v>0</v>
      </c>
      <c r="N106" s="70">
        <v>0</v>
      </c>
      <c r="O106" s="70">
        <v>99438.89</v>
      </c>
      <c r="P106" s="70">
        <v>63140823.009999998</v>
      </c>
      <c r="Q106" s="70">
        <v>0</v>
      </c>
      <c r="R106" s="71">
        <v>307165446.98000002</v>
      </c>
      <c r="S106" s="70">
        <v>0</v>
      </c>
      <c r="T106" s="70">
        <v>307165446.98000002</v>
      </c>
      <c r="U106" s="72" t="s">
        <v>0</v>
      </c>
    </row>
    <row r="107" spans="1:21" ht="14.45" customHeight="1">
      <c r="A107" s="64">
        <v>45693</v>
      </c>
      <c r="B107" s="64">
        <v>45685</v>
      </c>
      <c r="C107" s="64">
        <v>45646</v>
      </c>
      <c r="D107" s="65" t="s">
        <v>78</v>
      </c>
      <c r="E107" s="65" t="s">
        <v>173</v>
      </c>
      <c r="F107" s="65" t="s">
        <v>228</v>
      </c>
      <c r="G107" s="65" t="s">
        <v>76</v>
      </c>
      <c r="H107" s="65" t="s">
        <v>14</v>
      </c>
      <c r="I107" s="66" t="s">
        <v>12</v>
      </c>
      <c r="J107" s="67">
        <v>-2337461.44</v>
      </c>
      <c r="K107" s="68">
        <v>0.98499999999999999</v>
      </c>
      <c r="L107" s="67">
        <v>2374259.7000000002</v>
      </c>
      <c r="M107" s="69">
        <v>0</v>
      </c>
      <c r="N107" s="70">
        <v>0</v>
      </c>
      <c r="O107" s="70">
        <v>99438.89</v>
      </c>
      <c r="P107" s="70">
        <v>60803361.57</v>
      </c>
      <c r="Q107" s="70">
        <v>0</v>
      </c>
      <c r="R107" s="71">
        <v>309539706.68000001</v>
      </c>
      <c r="S107" s="70">
        <v>0</v>
      </c>
      <c r="T107" s="70">
        <v>309539706.68000001</v>
      </c>
      <c r="U107" s="72" t="s">
        <v>0</v>
      </c>
    </row>
    <row r="108" spans="1:21" ht="14.45" customHeight="1">
      <c r="A108" s="64">
        <v>45693</v>
      </c>
      <c r="B108" s="64">
        <v>45685</v>
      </c>
      <c r="C108" s="64">
        <v>45646</v>
      </c>
      <c r="D108" s="65" t="s">
        <v>78</v>
      </c>
      <c r="E108" s="65" t="s">
        <v>173</v>
      </c>
      <c r="F108" s="65" t="s">
        <v>228</v>
      </c>
      <c r="G108" s="65" t="s">
        <v>229</v>
      </c>
      <c r="H108" s="65" t="s">
        <v>14</v>
      </c>
      <c r="I108" s="66" t="s">
        <v>12</v>
      </c>
      <c r="J108" s="67">
        <v>-3150.46</v>
      </c>
      <c r="K108" s="68">
        <v>0</v>
      </c>
      <c r="L108" s="67">
        <v>0</v>
      </c>
      <c r="M108" s="69">
        <v>0</v>
      </c>
      <c r="N108" s="70">
        <v>0</v>
      </c>
      <c r="O108" s="70">
        <v>99438.89</v>
      </c>
      <c r="P108" s="70">
        <v>60800211.109999999</v>
      </c>
      <c r="Q108" s="70">
        <v>0</v>
      </c>
      <c r="R108" s="71">
        <v>309539706.68000001</v>
      </c>
      <c r="S108" s="70">
        <v>0</v>
      </c>
      <c r="T108" s="70">
        <v>309539706.68000001</v>
      </c>
      <c r="U108" s="72" t="s">
        <v>0</v>
      </c>
    </row>
    <row r="109" spans="1:21" ht="14.45" customHeight="1">
      <c r="A109" s="64">
        <v>45693</v>
      </c>
      <c r="B109" s="64">
        <v>45657</v>
      </c>
      <c r="C109" s="64">
        <v>45657</v>
      </c>
      <c r="D109" s="65" t="s">
        <v>85</v>
      </c>
      <c r="E109" s="65" t="s">
        <v>86</v>
      </c>
      <c r="F109" s="65"/>
      <c r="G109" s="65" t="s">
        <v>76</v>
      </c>
      <c r="H109" s="65" t="s">
        <v>14</v>
      </c>
      <c r="I109" s="66" t="s">
        <v>12</v>
      </c>
      <c r="J109" s="67">
        <v>-2270815.46</v>
      </c>
      <c r="K109" s="68">
        <v>1</v>
      </c>
      <c r="L109" s="67">
        <v>2270815.46</v>
      </c>
      <c r="M109" s="69">
        <v>0</v>
      </c>
      <c r="N109" s="70">
        <v>0</v>
      </c>
      <c r="O109" s="70">
        <v>99438.89</v>
      </c>
      <c r="P109" s="70">
        <v>58529395.649999999</v>
      </c>
      <c r="Q109" s="70">
        <v>0</v>
      </c>
      <c r="R109" s="71">
        <v>311810522.13999999</v>
      </c>
      <c r="S109" s="70">
        <v>0</v>
      </c>
      <c r="T109" s="70">
        <v>311810522.13999999</v>
      </c>
      <c r="U109" s="72" t="s">
        <v>0</v>
      </c>
    </row>
    <row r="110" spans="1:21" ht="14.45" customHeight="1">
      <c r="A110" s="64">
        <v>45693</v>
      </c>
      <c r="B110" s="64">
        <v>45657</v>
      </c>
      <c r="C110" s="64">
        <v>44561</v>
      </c>
      <c r="D110" s="65" t="s">
        <v>91</v>
      </c>
      <c r="E110" s="65" t="s">
        <v>230</v>
      </c>
      <c r="F110" s="65" t="s">
        <v>231</v>
      </c>
      <c r="G110" s="65" t="s">
        <v>76</v>
      </c>
      <c r="H110" s="65" t="s">
        <v>14</v>
      </c>
      <c r="I110" s="66" t="s">
        <v>12</v>
      </c>
      <c r="J110" s="67">
        <v>-376591.21</v>
      </c>
      <c r="K110" s="68">
        <v>1</v>
      </c>
      <c r="L110" s="67">
        <v>376591.21</v>
      </c>
      <c r="M110" s="69">
        <v>0</v>
      </c>
      <c r="N110" s="70">
        <v>0</v>
      </c>
      <c r="O110" s="70">
        <v>99438.89</v>
      </c>
      <c r="P110" s="70">
        <v>58152804.439999998</v>
      </c>
      <c r="Q110" s="70">
        <v>0</v>
      </c>
      <c r="R110" s="71">
        <v>312187113.35000002</v>
      </c>
      <c r="S110" s="70">
        <v>0</v>
      </c>
      <c r="T110" s="70">
        <v>312187113.35000002</v>
      </c>
      <c r="U110" s="72" t="s">
        <v>0</v>
      </c>
    </row>
    <row r="111" spans="1:21" ht="14.45" customHeight="1">
      <c r="A111" s="64">
        <v>45693</v>
      </c>
      <c r="B111" s="64">
        <v>45657</v>
      </c>
      <c r="C111" s="64">
        <v>45657</v>
      </c>
      <c r="D111" s="65" t="s">
        <v>91</v>
      </c>
      <c r="E111" s="65" t="s">
        <v>232</v>
      </c>
      <c r="F111" s="65"/>
      <c r="G111" s="65" t="s">
        <v>76</v>
      </c>
      <c r="H111" s="65" t="s">
        <v>14</v>
      </c>
      <c r="I111" s="66" t="s">
        <v>12</v>
      </c>
      <c r="J111" s="67">
        <v>-1860972.86</v>
      </c>
      <c r="K111" s="68">
        <v>1</v>
      </c>
      <c r="L111" s="67">
        <v>1860972.86</v>
      </c>
      <c r="M111" s="69">
        <v>0</v>
      </c>
      <c r="N111" s="70">
        <v>0</v>
      </c>
      <c r="O111" s="70">
        <v>99438.89</v>
      </c>
      <c r="P111" s="70">
        <v>56291831.579999998</v>
      </c>
      <c r="Q111" s="70">
        <v>0</v>
      </c>
      <c r="R111" s="71">
        <v>314048086.20999998</v>
      </c>
      <c r="S111" s="70">
        <v>0</v>
      </c>
      <c r="T111" s="70">
        <v>314048086.20999998</v>
      </c>
      <c r="U111" s="72" t="s">
        <v>0</v>
      </c>
    </row>
    <row r="112" spans="1:21" ht="14.45" customHeight="1">
      <c r="A112" s="64">
        <v>45693</v>
      </c>
      <c r="B112" s="64">
        <v>45670</v>
      </c>
      <c r="C112" s="64">
        <v>45658</v>
      </c>
      <c r="D112" s="65" t="s">
        <v>233</v>
      </c>
      <c r="E112" s="65" t="s">
        <v>234</v>
      </c>
      <c r="F112" s="65" t="s">
        <v>235</v>
      </c>
      <c r="G112" s="65" t="s">
        <v>76</v>
      </c>
      <c r="H112" s="65" t="s">
        <v>14</v>
      </c>
      <c r="I112" s="66" t="s">
        <v>12</v>
      </c>
      <c r="J112" s="67">
        <v>-718441.96</v>
      </c>
      <c r="K112" s="68">
        <v>0.99019999999999997</v>
      </c>
      <c r="L112" s="67">
        <v>725567.03</v>
      </c>
      <c r="M112" s="69">
        <v>0</v>
      </c>
      <c r="N112" s="70">
        <v>0</v>
      </c>
      <c r="O112" s="70">
        <v>99438.89</v>
      </c>
      <c r="P112" s="70">
        <v>55573389.619999997</v>
      </c>
      <c r="Q112" s="70">
        <v>0</v>
      </c>
      <c r="R112" s="71">
        <v>314773653.24000001</v>
      </c>
      <c r="S112" s="70">
        <v>0</v>
      </c>
      <c r="T112" s="70">
        <v>314773653.24000001</v>
      </c>
      <c r="U112" s="72" t="s">
        <v>0</v>
      </c>
    </row>
    <row r="113" spans="1:21" ht="14.45" customHeight="1">
      <c r="A113" s="64">
        <v>45693</v>
      </c>
      <c r="B113" s="64">
        <v>45670</v>
      </c>
      <c r="C113" s="64">
        <v>45658</v>
      </c>
      <c r="D113" s="65" t="s">
        <v>233</v>
      </c>
      <c r="E113" s="65" t="s">
        <v>223</v>
      </c>
      <c r="F113" s="65" t="s">
        <v>236</v>
      </c>
      <c r="G113" s="65" t="s">
        <v>76</v>
      </c>
      <c r="H113" s="65" t="s">
        <v>14</v>
      </c>
      <c r="I113" s="66" t="s">
        <v>12</v>
      </c>
      <c r="J113" s="67">
        <v>-5029093.59</v>
      </c>
      <c r="K113" s="68">
        <v>0.99019999999999997</v>
      </c>
      <c r="L113" s="67">
        <v>5078969.07</v>
      </c>
      <c r="M113" s="69">
        <v>0</v>
      </c>
      <c r="N113" s="70">
        <v>0</v>
      </c>
      <c r="O113" s="70">
        <v>99438.89</v>
      </c>
      <c r="P113" s="70">
        <v>50544296.030000001</v>
      </c>
      <c r="Q113" s="70">
        <v>0</v>
      </c>
      <c r="R113" s="71">
        <v>319852622.31</v>
      </c>
      <c r="S113" s="70">
        <v>0</v>
      </c>
      <c r="T113" s="70">
        <v>319852622.31</v>
      </c>
      <c r="U113" s="72" t="s">
        <v>0</v>
      </c>
    </row>
    <row r="114" spans="1:21" ht="14.45" customHeight="1">
      <c r="A114" s="64">
        <v>45693</v>
      </c>
      <c r="B114" s="64">
        <v>45670</v>
      </c>
      <c r="C114" s="64">
        <v>45658</v>
      </c>
      <c r="D114" s="65" t="s">
        <v>233</v>
      </c>
      <c r="E114" s="65" t="s">
        <v>86</v>
      </c>
      <c r="F114" s="65" t="s">
        <v>237</v>
      </c>
      <c r="G114" s="65" t="s">
        <v>76</v>
      </c>
      <c r="H114" s="65" t="s">
        <v>14</v>
      </c>
      <c r="I114" s="66" t="s">
        <v>12</v>
      </c>
      <c r="J114" s="67">
        <v>-13937773.68</v>
      </c>
      <c r="K114" s="68">
        <v>0.99019999999999997</v>
      </c>
      <c r="L114" s="67">
        <v>14076000</v>
      </c>
      <c r="M114" s="69">
        <v>0</v>
      </c>
      <c r="N114" s="70">
        <v>0</v>
      </c>
      <c r="O114" s="70">
        <v>99438.89</v>
      </c>
      <c r="P114" s="70">
        <v>36606522.350000001</v>
      </c>
      <c r="Q114" s="70">
        <v>0</v>
      </c>
      <c r="R114" s="71">
        <v>333928622.31</v>
      </c>
      <c r="S114" s="70">
        <v>0</v>
      </c>
      <c r="T114" s="70">
        <v>333928622.31</v>
      </c>
      <c r="U114" s="72" t="s">
        <v>0</v>
      </c>
    </row>
    <row r="115" spans="1:21" ht="14.45" customHeight="1">
      <c r="A115" s="64">
        <v>45693</v>
      </c>
      <c r="B115" s="64">
        <v>45657</v>
      </c>
      <c r="C115" s="64">
        <v>45657</v>
      </c>
      <c r="D115" s="65" t="s">
        <v>238</v>
      </c>
      <c r="E115" s="65" t="s">
        <v>239</v>
      </c>
      <c r="F115" s="65" t="s">
        <v>240</v>
      </c>
      <c r="G115" s="65" t="s">
        <v>76</v>
      </c>
      <c r="H115" s="65" t="s">
        <v>14</v>
      </c>
      <c r="I115" s="66" t="s">
        <v>12</v>
      </c>
      <c r="J115" s="67">
        <v>-8308978.9800000004</v>
      </c>
      <c r="K115" s="68">
        <v>1</v>
      </c>
      <c r="L115" s="67">
        <v>8308978.9800000004</v>
      </c>
      <c r="M115" s="69">
        <v>0</v>
      </c>
      <c r="N115" s="70">
        <v>0</v>
      </c>
      <c r="O115" s="70">
        <v>99438.89</v>
      </c>
      <c r="P115" s="70">
        <v>28297543.370000001</v>
      </c>
      <c r="Q115" s="70">
        <v>0</v>
      </c>
      <c r="R115" s="71">
        <v>342237601.29000002</v>
      </c>
      <c r="S115" s="70">
        <v>0</v>
      </c>
      <c r="T115" s="70">
        <v>342237601.29000002</v>
      </c>
      <c r="U115" s="72" t="s">
        <v>0</v>
      </c>
    </row>
    <row r="116" spans="1:21" ht="14.45" customHeight="1">
      <c r="A116" s="64">
        <v>45693</v>
      </c>
      <c r="B116" s="64">
        <v>45657</v>
      </c>
      <c r="C116" s="64">
        <v>45657</v>
      </c>
      <c r="D116" s="65" t="s">
        <v>241</v>
      </c>
      <c r="E116" s="65" t="s">
        <v>242</v>
      </c>
      <c r="F116" s="65"/>
      <c r="G116" s="65" t="s">
        <v>243</v>
      </c>
      <c r="H116" s="65" t="s">
        <v>14</v>
      </c>
      <c r="I116" s="66" t="s">
        <v>12</v>
      </c>
      <c r="J116" s="67">
        <v>-1388432.5</v>
      </c>
      <c r="K116" s="68">
        <v>17.5</v>
      </c>
      <c r="L116" s="67">
        <v>79339</v>
      </c>
      <c r="M116" s="69">
        <v>0</v>
      </c>
      <c r="N116" s="70">
        <v>0</v>
      </c>
      <c r="O116" s="70">
        <v>99438.89</v>
      </c>
      <c r="P116" s="70">
        <v>26909110.870000001</v>
      </c>
      <c r="Q116" s="70">
        <v>0</v>
      </c>
      <c r="R116" s="71">
        <v>342316940.29000002</v>
      </c>
      <c r="S116" s="70">
        <v>0</v>
      </c>
      <c r="T116" s="70">
        <v>342316940.29000002</v>
      </c>
      <c r="U116" s="72" t="s">
        <v>0</v>
      </c>
    </row>
    <row r="117" spans="1:21" ht="14.45" customHeight="1">
      <c r="A117" s="64">
        <v>45693</v>
      </c>
      <c r="B117" s="64">
        <v>45657</v>
      </c>
      <c r="C117" s="64">
        <v>45657</v>
      </c>
      <c r="D117" s="65" t="s">
        <v>61</v>
      </c>
      <c r="E117" s="65" t="s">
        <v>62</v>
      </c>
      <c r="F117" s="65" t="s">
        <v>63</v>
      </c>
      <c r="G117" s="65" t="s">
        <v>76</v>
      </c>
      <c r="H117" s="65" t="s">
        <v>14</v>
      </c>
      <c r="I117" s="66" t="s">
        <v>12</v>
      </c>
      <c r="J117" s="67">
        <v>-3850102.28</v>
      </c>
      <c r="K117" s="68">
        <v>1</v>
      </c>
      <c r="L117" s="67">
        <v>3850102.28</v>
      </c>
      <c r="M117" s="69">
        <v>-0.04</v>
      </c>
      <c r="N117" s="70">
        <v>0</v>
      </c>
      <c r="O117" s="70">
        <v>99438.89</v>
      </c>
      <c r="P117" s="70">
        <v>23059008.59</v>
      </c>
      <c r="Q117" s="70">
        <v>0</v>
      </c>
      <c r="R117" s="71">
        <v>346167042.56999999</v>
      </c>
      <c r="S117" s="70">
        <v>-0.04</v>
      </c>
      <c r="T117" s="70">
        <v>346167042.52999997</v>
      </c>
      <c r="U117" s="72" t="s">
        <v>0</v>
      </c>
    </row>
    <row r="118" spans="1:21" ht="14.45" customHeight="1">
      <c r="A118" s="64">
        <v>45693</v>
      </c>
      <c r="B118" s="64">
        <v>45693</v>
      </c>
      <c r="C118" s="64">
        <v>45688</v>
      </c>
      <c r="D118" s="65" t="s">
        <v>244</v>
      </c>
      <c r="E118" s="65" t="s">
        <v>245</v>
      </c>
      <c r="F118" s="65"/>
      <c r="G118" s="65" t="s">
        <v>76</v>
      </c>
      <c r="H118" s="65" t="s">
        <v>14</v>
      </c>
      <c r="I118" s="66" t="s">
        <v>12</v>
      </c>
      <c r="J118" s="67">
        <v>-14932500</v>
      </c>
      <c r="K118" s="68">
        <v>0.99550000000000005</v>
      </c>
      <c r="L118" s="67">
        <v>15000000</v>
      </c>
      <c r="M118" s="69">
        <v>0</v>
      </c>
      <c r="N118" s="70">
        <v>0</v>
      </c>
      <c r="O118" s="70">
        <v>99438.89</v>
      </c>
      <c r="P118" s="70">
        <v>8126508.5899999999</v>
      </c>
      <c r="Q118" s="70">
        <v>0</v>
      </c>
      <c r="R118" s="71">
        <v>361167042.56999999</v>
      </c>
      <c r="S118" s="70">
        <v>-0.04</v>
      </c>
      <c r="T118" s="70">
        <v>361167042.52999997</v>
      </c>
      <c r="U118" s="72" t="s">
        <v>0</v>
      </c>
    </row>
    <row r="119" spans="1:21" ht="14.45" customHeight="1">
      <c r="A119" s="64">
        <v>45693</v>
      </c>
      <c r="B119" s="64">
        <v>45686</v>
      </c>
      <c r="C119" s="64">
        <v>45686</v>
      </c>
      <c r="D119" s="65" t="s">
        <v>50</v>
      </c>
      <c r="E119" s="65" t="s">
        <v>51</v>
      </c>
      <c r="F119" s="65" t="s">
        <v>52</v>
      </c>
      <c r="G119" s="65" t="s">
        <v>53</v>
      </c>
      <c r="H119" s="65"/>
      <c r="I119" s="66" t="s">
        <v>12</v>
      </c>
      <c r="J119" s="67">
        <v>0</v>
      </c>
      <c r="K119" s="68">
        <v>0</v>
      </c>
      <c r="L119" s="67">
        <v>491762.96</v>
      </c>
      <c r="M119" s="69">
        <v>0</v>
      </c>
      <c r="N119" s="70">
        <v>0</v>
      </c>
      <c r="O119" s="70">
        <v>99438.89</v>
      </c>
      <c r="P119" s="70">
        <v>8126508.5899999999</v>
      </c>
      <c r="Q119" s="70">
        <v>0</v>
      </c>
      <c r="R119" s="71">
        <v>361658805.52999997</v>
      </c>
      <c r="S119" s="70">
        <v>-0.04</v>
      </c>
      <c r="T119" s="70">
        <v>361658805.49000001</v>
      </c>
      <c r="U119" s="72" t="s">
        <v>0</v>
      </c>
    </row>
    <row r="120" spans="1:21" ht="14.45" customHeight="1">
      <c r="A120" s="64">
        <v>45693</v>
      </c>
      <c r="B120" s="64">
        <v>45686</v>
      </c>
      <c r="C120" s="64">
        <v>45686</v>
      </c>
      <c r="D120" s="65" t="s">
        <v>50</v>
      </c>
      <c r="E120" s="65" t="s">
        <v>51</v>
      </c>
      <c r="F120" s="65" t="s">
        <v>52</v>
      </c>
      <c r="G120" s="65" t="s">
        <v>53</v>
      </c>
      <c r="H120" s="65"/>
      <c r="I120" s="66" t="s">
        <v>12</v>
      </c>
      <c r="J120" s="67">
        <v>0</v>
      </c>
      <c r="K120" s="68">
        <v>0</v>
      </c>
      <c r="L120" s="67">
        <v>-498746.87</v>
      </c>
      <c r="M120" s="69">
        <v>0</v>
      </c>
      <c r="N120" s="70">
        <v>0</v>
      </c>
      <c r="O120" s="70">
        <v>99438.89</v>
      </c>
      <c r="P120" s="70">
        <v>8126508.5899999999</v>
      </c>
      <c r="Q120" s="70">
        <v>0</v>
      </c>
      <c r="R120" s="71">
        <v>361160058.66000003</v>
      </c>
      <c r="S120" s="70">
        <v>-0.04</v>
      </c>
      <c r="T120" s="70">
        <v>361160058.62</v>
      </c>
      <c r="U120" s="72" t="s">
        <v>0</v>
      </c>
    </row>
    <row r="121" spans="1:21" ht="14.45" customHeight="1">
      <c r="A121" s="64">
        <v>45693</v>
      </c>
      <c r="B121" s="64">
        <v>45686</v>
      </c>
      <c r="C121" s="64">
        <v>45686</v>
      </c>
      <c r="D121" s="65" t="s">
        <v>50</v>
      </c>
      <c r="E121" s="65" t="s">
        <v>246</v>
      </c>
      <c r="F121" s="65" t="s">
        <v>247</v>
      </c>
      <c r="G121" s="65" t="s">
        <v>248</v>
      </c>
      <c r="H121" s="65"/>
      <c r="I121" s="66" t="s">
        <v>12</v>
      </c>
      <c r="J121" s="67">
        <v>0</v>
      </c>
      <c r="K121" s="68">
        <v>0</v>
      </c>
      <c r="L121" s="67">
        <v>498746.87</v>
      </c>
      <c r="M121" s="69">
        <v>0</v>
      </c>
      <c r="N121" s="70">
        <v>0</v>
      </c>
      <c r="O121" s="70">
        <v>99438.89</v>
      </c>
      <c r="P121" s="70">
        <v>8126508.5899999999</v>
      </c>
      <c r="Q121" s="70">
        <v>0</v>
      </c>
      <c r="R121" s="71">
        <v>361658805.52999997</v>
      </c>
      <c r="S121" s="70">
        <v>-0.04</v>
      </c>
      <c r="T121" s="70">
        <v>361658805.49000001</v>
      </c>
      <c r="U121" s="72" t="s">
        <v>0</v>
      </c>
    </row>
    <row r="122" spans="1:21" ht="14.45" customHeight="1">
      <c r="A122" s="64">
        <v>45694</v>
      </c>
      <c r="B122" s="64">
        <v>45688</v>
      </c>
      <c r="C122" s="64">
        <v>45688</v>
      </c>
      <c r="D122" s="65" t="s">
        <v>203</v>
      </c>
      <c r="E122" s="65" t="s">
        <v>204</v>
      </c>
      <c r="F122" s="65" t="s">
        <v>205</v>
      </c>
      <c r="G122" s="65" t="s">
        <v>57</v>
      </c>
      <c r="H122" s="65"/>
      <c r="I122" s="66" t="s">
        <v>12</v>
      </c>
      <c r="J122" s="67">
        <v>0</v>
      </c>
      <c r="K122" s="68">
        <v>0</v>
      </c>
      <c r="L122" s="67">
        <v>42817.279999999999</v>
      </c>
      <c r="M122" s="69">
        <v>0</v>
      </c>
      <c r="N122" s="70">
        <v>0</v>
      </c>
      <c r="O122" s="70">
        <v>99438.89</v>
      </c>
      <c r="P122" s="70">
        <v>8126508.5899999999</v>
      </c>
      <c r="Q122" s="70">
        <v>0</v>
      </c>
      <c r="R122" s="71">
        <v>361701622.81</v>
      </c>
      <c r="S122" s="70">
        <v>-0.04</v>
      </c>
      <c r="T122" s="70">
        <v>361701622.76999998</v>
      </c>
      <c r="U122" s="72" t="s">
        <v>0</v>
      </c>
    </row>
    <row r="123" spans="1:21" ht="14.45" customHeight="1">
      <c r="A123" s="64">
        <v>45694</v>
      </c>
      <c r="B123" s="64">
        <v>45691</v>
      </c>
      <c r="C123" s="64">
        <v>45679</v>
      </c>
      <c r="D123" s="65" t="s">
        <v>233</v>
      </c>
      <c r="E123" s="65" t="s">
        <v>86</v>
      </c>
      <c r="F123" s="65" t="s">
        <v>237</v>
      </c>
      <c r="G123" s="65" t="s">
        <v>249</v>
      </c>
      <c r="H123" s="65" t="s">
        <v>14</v>
      </c>
      <c r="I123" s="66" t="s">
        <v>12</v>
      </c>
      <c r="J123" s="67">
        <v>2376000</v>
      </c>
      <c r="K123" s="68">
        <v>0.99</v>
      </c>
      <c r="L123" s="67">
        <v>-2400000</v>
      </c>
      <c r="M123" s="69">
        <v>0</v>
      </c>
      <c r="N123" s="70">
        <v>0</v>
      </c>
      <c r="O123" s="70">
        <v>99438.89</v>
      </c>
      <c r="P123" s="70">
        <v>10502508.59</v>
      </c>
      <c r="Q123" s="70">
        <v>0</v>
      </c>
      <c r="R123" s="71">
        <v>359301622.81</v>
      </c>
      <c r="S123" s="70">
        <v>-0.04</v>
      </c>
      <c r="T123" s="70">
        <v>359301622.76999998</v>
      </c>
      <c r="U123" s="72" t="s">
        <v>0</v>
      </c>
    </row>
    <row r="124" spans="1:21" ht="14.45" customHeight="1">
      <c r="A124" s="64">
        <v>45694</v>
      </c>
      <c r="B124" s="64">
        <v>45691</v>
      </c>
      <c r="C124" s="64">
        <v>45679</v>
      </c>
      <c r="D124" s="65" t="s">
        <v>233</v>
      </c>
      <c r="E124" s="65" t="s">
        <v>86</v>
      </c>
      <c r="F124" s="65" t="s">
        <v>237</v>
      </c>
      <c r="G124" s="65" t="s">
        <v>249</v>
      </c>
      <c r="H124" s="65" t="s">
        <v>14</v>
      </c>
      <c r="I124" s="66" t="s">
        <v>12</v>
      </c>
      <c r="J124" s="67">
        <v>990000</v>
      </c>
      <c r="K124" s="68">
        <v>0.99</v>
      </c>
      <c r="L124" s="67">
        <v>-1000000</v>
      </c>
      <c r="M124" s="69">
        <v>0</v>
      </c>
      <c r="N124" s="70">
        <v>0</v>
      </c>
      <c r="O124" s="70">
        <v>99438.89</v>
      </c>
      <c r="P124" s="70">
        <v>11492508.59</v>
      </c>
      <c r="Q124" s="70">
        <v>0</v>
      </c>
      <c r="R124" s="71">
        <v>358301622.81</v>
      </c>
      <c r="S124" s="70">
        <v>-0.04</v>
      </c>
      <c r="T124" s="70">
        <v>358301622.76999998</v>
      </c>
      <c r="U124" s="72" t="s">
        <v>0</v>
      </c>
    </row>
    <row r="125" spans="1:21" ht="14.45" customHeight="1">
      <c r="A125" s="64">
        <v>45694</v>
      </c>
      <c r="B125" s="64">
        <v>45688</v>
      </c>
      <c r="C125" s="64">
        <v>45688</v>
      </c>
      <c r="D125" s="65" t="s">
        <v>175</v>
      </c>
      <c r="E125" s="65" t="s">
        <v>176</v>
      </c>
      <c r="F125" s="65" t="s">
        <v>177</v>
      </c>
      <c r="G125" s="65" t="s">
        <v>66</v>
      </c>
      <c r="H125" s="65" t="s">
        <v>13</v>
      </c>
      <c r="I125" s="66" t="s">
        <v>12</v>
      </c>
      <c r="J125" s="67">
        <v>42956.85</v>
      </c>
      <c r="K125" s="68">
        <v>0</v>
      </c>
      <c r="L125" s="67">
        <v>0</v>
      </c>
      <c r="M125" s="69">
        <v>0</v>
      </c>
      <c r="N125" s="70">
        <v>0</v>
      </c>
      <c r="O125" s="70">
        <v>142395.74</v>
      </c>
      <c r="P125" s="70">
        <v>11492508.59</v>
      </c>
      <c r="Q125" s="70">
        <v>0</v>
      </c>
      <c r="R125" s="71">
        <v>358301622.81</v>
      </c>
      <c r="S125" s="70">
        <v>-0.04</v>
      </c>
      <c r="T125" s="70">
        <v>358301622.76999998</v>
      </c>
      <c r="U125" s="72" t="s">
        <v>0</v>
      </c>
    </row>
    <row r="126" spans="1:21" ht="14.45" customHeight="1">
      <c r="A126" s="64">
        <v>45694</v>
      </c>
      <c r="B126" s="64">
        <v>45688</v>
      </c>
      <c r="C126" s="64">
        <v>45688</v>
      </c>
      <c r="D126" s="65" t="s">
        <v>250</v>
      </c>
      <c r="E126" s="65" t="s">
        <v>0</v>
      </c>
      <c r="F126" s="65"/>
      <c r="G126" s="65" t="s">
        <v>48</v>
      </c>
      <c r="H126" s="65" t="s">
        <v>14</v>
      </c>
      <c r="I126" s="66" t="s">
        <v>12</v>
      </c>
      <c r="J126" s="67">
        <v>32740646.629999999</v>
      </c>
      <c r="K126" s="68">
        <v>0</v>
      </c>
      <c r="L126" s="67">
        <v>0</v>
      </c>
      <c r="M126" s="69">
        <v>0</v>
      </c>
      <c r="N126" s="70">
        <v>0</v>
      </c>
      <c r="O126" s="70">
        <v>142395.74</v>
      </c>
      <c r="P126" s="70">
        <v>44233155.219999999</v>
      </c>
      <c r="Q126" s="70">
        <v>0</v>
      </c>
      <c r="R126" s="71">
        <v>358301622.81</v>
      </c>
      <c r="S126" s="70">
        <v>-0.04</v>
      </c>
      <c r="T126" s="70">
        <v>358301622.76999998</v>
      </c>
      <c r="U126" s="72" t="s">
        <v>0</v>
      </c>
    </row>
    <row r="127" spans="1:21" ht="14.45" customHeight="1">
      <c r="A127" s="64">
        <v>45694</v>
      </c>
      <c r="B127" s="64">
        <v>45673</v>
      </c>
      <c r="C127" s="64">
        <v>45658</v>
      </c>
      <c r="D127" s="65" t="s">
        <v>114</v>
      </c>
      <c r="E127" s="65" t="s">
        <v>251</v>
      </c>
      <c r="F127" s="65"/>
      <c r="G127" s="65" t="s">
        <v>76</v>
      </c>
      <c r="H127" s="65" t="s">
        <v>14</v>
      </c>
      <c r="I127" s="66" t="s">
        <v>12</v>
      </c>
      <c r="J127" s="67">
        <v>-3421249.49</v>
      </c>
      <c r="K127" s="68">
        <v>0.99</v>
      </c>
      <c r="L127" s="67">
        <v>3455807.57</v>
      </c>
      <c r="M127" s="69">
        <v>0</v>
      </c>
      <c r="N127" s="70">
        <v>0</v>
      </c>
      <c r="O127" s="70">
        <v>142395.74</v>
      </c>
      <c r="P127" s="70">
        <v>40811905.729999997</v>
      </c>
      <c r="Q127" s="70">
        <v>0</v>
      </c>
      <c r="R127" s="71">
        <v>361757430.38</v>
      </c>
      <c r="S127" s="70">
        <v>-0.04</v>
      </c>
      <c r="T127" s="70">
        <v>361757430.33999997</v>
      </c>
      <c r="U127" s="72" t="s">
        <v>0</v>
      </c>
    </row>
    <row r="128" spans="1:21" ht="14.45" customHeight="1">
      <c r="A128" s="64">
        <v>45694</v>
      </c>
      <c r="B128" s="64">
        <v>45685</v>
      </c>
      <c r="C128" s="64">
        <v>45646</v>
      </c>
      <c r="D128" s="65" t="s">
        <v>252</v>
      </c>
      <c r="E128" s="65" t="s">
        <v>253</v>
      </c>
      <c r="F128" s="65" t="s">
        <v>254</v>
      </c>
      <c r="G128" s="65" t="s">
        <v>76</v>
      </c>
      <c r="H128" s="65" t="s">
        <v>14</v>
      </c>
      <c r="I128" s="66" t="s">
        <v>12</v>
      </c>
      <c r="J128" s="67">
        <v>-2506186.23</v>
      </c>
      <c r="K128" s="68">
        <v>1</v>
      </c>
      <c r="L128" s="67">
        <v>2506186.23</v>
      </c>
      <c r="M128" s="69">
        <v>0</v>
      </c>
      <c r="N128" s="70">
        <v>0</v>
      </c>
      <c r="O128" s="70">
        <v>142395.74</v>
      </c>
      <c r="P128" s="70">
        <v>38305719.5</v>
      </c>
      <c r="Q128" s="70">
        <v>0</v>
      </c>
      <c r="R128" s="71">
        <v>364263616.61000001</v>
      </c>
      <c r="S128" s="70">
        <v>-0.04</v>
      </c>
      <c r="T128" s="70">
        <v>364263616.56999999</v>
      </c>
      <c r="U128" s="72" t="s">
        <v>0</v>
      </c>
    </row>
    <row r="129" spans="1:21" ht="14.45" customHeight="1">
      <c r="A129" s="64">
        <v>45694</v>
      </c>
      <c r="B129" s="64">
        <v>45684</v>
      </c>
      <c r="C129" s="64">
        <v>45646</v>
      </c>
      <c r="D129" s="65" t="s">
        <v>118</v>
      </c>
      <c r="E129" s="65" t="s">
        <v>255</v>
      </c>
      <c r="F129" s="65" t="s">
        <v>256</v>
      </c>
      <c r="G129" s="65" t="s">
        <v>76</v>
      </c>
      <c r="H129" s="65" t="s">
        <v>14</v>
      </c>
      <c r="I129" s="66" t="s">
        <v>12</v>
      </c>
      <c r="J129" s="67">
        <v>-3437902.3</v>
      </c>
      <c r="K129" s="68">
        <v>0.98499999999999999</v>
      </c>
      <c r="L129" s="67">
        <v>3490256.14</v>
      </c>
      <c r="M129" s="69">
        <v>0</v>
      </c>
      <c r="N129" s="70">
        <v>0</v>
      </c>
      <c r="O129" s="70">
        <v>142395.74</v>
      </c>
      <c r="P129" s="70">
        <v>34867817.200000003</v>
      </c>
      <c r="Q129" s="70">
        <v>0</v>
      </c>
      <c r="R129" s="71">
        <v>367753872.75</v>
      </c>
      <c r="S129" s="70">
        <v>-0.04</v>
      </c>
      <c r="T129" s="70">
        <v>367753872.70999998</v>
      </c>
      <c r="U129" s="72" t="s">
        <v>0</v>
      </c>
    </row>
    <row r="130" spans="1:21" ht="14.45" customHeight="1">
      <c r="A130" s="64">
        <v>45694</v>
      </c>
      <c r="B130" s="64">
        <v>45670</v>
      </c>
      <c r="C130" s="64">
        <v>45657</v>
      </c>
      <c r="D130" s="65" t="s">
        <v>150</v>
      </c>
      <c r="E130" s="65" t="s">
        <v>86</v>
      </c>
      <c r="F130" s="65" t="s">
        <v>151</v>
      </c>
      <c r="G130" s="65" t="s">
        <v>249</v>
      </c>
      <c r="H130" s="65" t="s">
        <v>14</v>
      </c>
      <c r="I130" s="66" t="s">
        <v>12</v>
      </c>
      <c r="J130" s="67">
        <v>3456315.79</v>
      </c>
      <c r="K130" s="68">
        <v>0.99</v>
      </c>
      <c r="L130" s="67">
        <v>-3491228.07</v>
      </c>
      <c r="M130" s="69">
        <v>0</v>
      </c>
      <c r="N130" s="70">
        <v>0</v>
      </c>
      <c r="O130" s="70">
        <v>142395.74</v>
      </c>
      <c r="P130" s="70">
        <v>38324132.990000002</v>
      </c>
      <c r="Q130" s="70">
        <v>0</v>
      </c>
      <c r="R130" s="71">
        <v>364262644.68000001</v>
      </c>
      <c r="S130" s="70">
        <v>-0.04</v>
      </c>
      <c r="T130" s="70">
        <v>364262644.63999999</v>
      </c>
      <c r="U130" s="72" t="s">
        <v>0</v>
      </c>
    </row>
    <row r="131" spans="1:21" ht="14.45" customHeight="1">
      <c r="A131" s="64">
        <v>45694</v>
      </c>
      <c r="B131" s="64">
        <v>45678</v>
      </c>
      <c r="C131" s="64">
        <v>45657</v>
      </c>
      <c r="D131" s="65" t="s">
        <v>169</v>
      </c>
      <c r="E131" s="65" t="s">
        <v>86</v>
      </c>
      <c r="F131" s="65" t="s">
        <v>170</v>
      </c>
      <c r="G131" s="65" t="s">
        <v>249</v>
      </c>
      <c r="H131" s="65" t="s">
        <v>14</v>
      </c>
      <c r="I131" s="66" t="s">
        <v>12</v>
      </c>
      <c r="J131" s="67">
        <v>5780423.5499999998</v>
      </c>
      <c r="K131" s="68">
        <v>0.98499999999999999</v>
      </c>
      <c r="L131" s="67">
        <v>-5868450.2999999998</v>
      </c>
      <c r="M131" s="69">
        <v>0</v>
      </c>
      <c r="N131" s="70">
        <v>0</v>
      </c>
      <c r="O131" s="70">
        <v>142395.74</v>
      </c>
      <c r="P131" s="70">
        <v>44104556.539999999</v>
      </c>
      <c r="Q131" s="70">
        <v>0</v>
      </c>
      <c r="R131" s="71">
        <v>358394194.38</v>
      </c>
      <c r="S131" s="70">
        <v>-0.04</v>
      </c>
      <c r="T131" s="70">
        <v>358394194.33999997</v>
      </c>
      <c r="U131" s="72" t="s">
        <v>0</v>
      </c>
    </row>
    <row r="132" spans="1:21" ht="14.45" customHeight="1">
      <c r="A132" s="64">
        <v>45694</v>
      </c>
      <c r="B132" s="64">
        <v>45678</v>
      </c>
      <c r="C132" s="64">
        <v>45658</v>
      </c>
      <c r="D132" s="65" t="s">
        <v>169</v>
      </c>
      <c r="E132" s="65" t="s">
        <v>83</v>
      </c>
      <c r="F132" s="65" t="s">
        <v>171</v>
      </c>
      <c r="G132" s="65" t="s">
        <v>249</v>
      </c>
      <c r="H132" s="65" t="s">
        <v>14</v>
      </c>
      <c r="I132" s="66" t="s">
        <v>12</v>
      </c>
      <c r="J132" s="67">
        <v>114635.59</v>
      </c>
      <c r="K132" s="68">
        <v>0.98499999999999999</v>
      </c>
      <c r="L132" s="67">
        <v>-116381.31</v>
      </c>
      <c r="M132" s="69">
        <v>0</v>
      </c>
      <c r="N132" s="70">
        <v>0</v>
      </c>
      <c r="O132" s="70">
        <v>142395.74</v>
      </c>
      <c r="P132" s="70">
        <v>44219192.130000003</v>
      </c>
      <c r="Q132" s="70">
        <v>0</v>
      </c>
      <c r="R132" s="71">
        <v>358277813.06999999</v>
      </c>
      <c r="S132" s="70">
        <v>-0.04</v>
      </c>
      <c r="T132" s="70">
        <v>358277813.02999997</v>
      </c>
      <c r="U132" s="72" t="s">
        <v>0</v>
      </c>
    </row>
    <row r="133" spans="1:21" ht="14.45" customHeight="1">
      <c r="A133" s="64">
        <v>45694</v>
      </c>
      <c r="B133" s="64">
        <v>45679</v>
      </c>
      <c r="C133" s="64">
        <v>45657</v>
      </c>
      <c r="D133" s="65" t="s">
        <v>152</v>
      </c>
      <c r="E133" s="65" t="s">
        <v>65</v>
      </c>
      <c r="F133" s="65" t="s">
        <v>153</v>
      </c>
      <c r="G133" s="65" t="s">
        <v>249</v>
      </c>
      <c r="H133" s="65" t="s">
        <v>14</v>
      </c>
      <c r="I133" s="66" t="s">
        <v>12</v>
      </c>
      <c r="J133" s="67">
        <v>2970000</v>
      </c>
      <c r="K133" s="68">
        <v>0.99</v>
      </c>
      <c r="L133" s="67">
        <v>-3000000</v>
      </c>
      <c r="M133" s="69">
        <v>0</v>
      </c>
      <c r="N133" s="70">
        <v>0</v>
      </c>
      <c r="O133" s="70">
        <v>142395.74</v>
      </c>
      <c r="P133" s="70">
        <v>47189192.130000003</v>
      </c>
      <c r="Q133" s="70">
        <v>0</v>
      </c>
      <c r="R133" s="71">
        <v>355277813.06999999</v>
      </c>
      <c r="S133" s="70">
        <v>-0.04</v>
      </c>
      <c r="T133" s="70">
        <v>355277813.02999997</v>
      </c>
      <c r="U133" s="72" t="s">
        <v>0</v>
      </c>
    </row>
    <row r="134" spans="1:21" ht="14.45" customHeight="1">
      <c r="A134" s="64">
        <v>45694</v>
      </c>
      <c r="B134" s="64">
        <v>45670</v>
      </c>
      <c r="C134" s="64">
        <v>45664</v>
      </c>
      <c r="D134" s="65" t="s">
        <v>257</v>
      </c>
      <c r="E134" s="65" t="s">
        <v>86</v>
      </c>
      <c r="F134" s="65" t="s">
        <v>258</v>
      </c>
      <c r="G134" s="65" t="s">
        <v>76</v>
      </c>
      <c r="H134" s="65" t="s">
        <v>14</v>
      </c>
      <c r="I134" s="66" t="s">
        <v>12</v>
      </c>
      <c r="J134" s="67">
        <v>-11889000</v>
      </c>
      <c r="K134" s="68">
        <v>0.99080000000000001</v>
      </c>
      <c r="L134" s="67">
        <v>12000000</v>
      </c>
      <c r="M134" s="69">
        <v>0</v>
      </c>
      <c r="N134" s="70">
        <v>0</v>
      </c>
      <c r="O134" s="70">
        <v>142395.74</v>
      </c>
      <c r="P134" s="70">
        <v>35300192.130000003</v>
      </c>
      <c r="Q134" s="70">
        <v>0</v>
      </c>
      <c r="R134" s="71">
        <v>367277813.06999999</v>
      </c>
      <c r="S134" s="70">
        <v>-0.04</v>
      </c>
      <c r="T134" s="70">
        <v>367277813.02999997</v>
      </c>
      <c r="U134" s="72" t="s">
        <v>0</v>
      </c>
    </row>
    <row r="135" spans="1:21" ht="14.45" customHeight="1">
      <c r="A135" s="64">
        <v>45694</v>
      </c>
      <c r="B135" s="64">
        <v>45671</v>
      </c>
      <c r="C135" s="64">
        <v>45667</v>
      </c>
      <c r="D135" s="65" t="s">
        <v>257</v>
      </c>
      <c r="E135" s="65" t="s">
        <v>86</v>
      </c>
      <c r="F135" s="65" t="s">
        <v>258</v>
      </c>
      <c r="G135" s="65" t="s">
        <v>249</v>
      </c>
      <c r="H135" s="65" t="s">
        <v>14</v>
      </c>
      <c r="I135" s="66" t="s">
        <v>12</v>
      </c>
      <c r="J135" s="67">
        <v>5944500</v>
      </c>
      <c r="K135" s="68">
        <v>0.99080000000000001</v>
      </c>
      <c r="L135" s="67">
        <v>-6000000</v>
      </c>
      <c r="M135" s="69">
        <v>0</v>
      </c>
      <c r="N135" s="70">
        <v>0</v>
      </c>
      <c r="O135" s="70">
        <v>142395.74</v>
      </c>
      <c r="P135" s="70">
        <v>41244692.130000003</v>
      </c>
      <c r="Q135" s="70">
        <v>0</v>
      </c>
      <c r="R135" s="71">
        <v>361277813.06999999</v>
      </c>
      <c r="S135" s="70">
        <v>-0.04</v>
      </c>
      <c r="T135" s="70">
        <v>361277813.02999997</v>
      </c>
      <c r="U135" s="72" t="s">
        <v>0</v>
      </c>
    </row>
    <row r="136" spans="1:21" ht="14.45" customHeight="1">
      <c r="A136" s="64">
        <v>45694</v>
      </c>
      <c r="B136" s="64">
        <v>45684</v>
      </c>
      <c r="C136" s="64">
        <v>45674</v>
      </c>
      <c r="D136" s="65" t="s">
        <v>259</v>
      </c>
      <c r="E136" s="65" t="s">
        <v>260</v>
      </c>
      <c r="F136" s="65" t="s">
        <v>261</v>
      </c>
      <c r="G136" s="65" t="s">
        <v>76</v>
      </c>
      <c r="H136" s="65" t="s">
        <v>14</v>
      </c>
      <c r="I136" s="66" t="s">
        <v>12</v>
      </c>
      <c r="J136" s="67">
        <v>-18917247.550000001</v>
      </c>
      <c r="K136" s="68">
        <v>0.99199999999999999</v>
      </c>
      <c r="L136" s="67">
        <v>19069806</v>
      </c>
      <c r="M136" s="69">
        <v>0</v>
      </c>
      <c r="N136" s="70">
        <v>0</v>
      </c>
      <c r="O136" s="70">
        <v>142395.74</v>
      </c>
      <c r="P136" s="70">
        <v>22327444.579999998</v>
      </c>
      <c r="Q136" s="70">
        <v>0</v>
      </c>
      <c r="R136" s="71">
        <v>380347619.06999999</v>
      </c>
      <c r="S136" s="70">
        <v>-0.04</v>
      </c>
      <c r="T136" s="70">
        <v>380347619.02999997</v>
      </c>
      <c r="U136" s="72" t="s">
        <v>0</v>
      </c>
    </row>
    <row r="137" spans="1:21" ht="14.45" customHeight="1">
      <c r="A137" s="64">
        <v>45694</v>
      </c>
      <c r="B137" s="64">
        <v>45684</v>
      </c>
      <c r="C137" s="64">
        <v>45679</v>
      </c>
      <c r="D137" s="65" t="s">
        <v>262</v>
      </c>
      <c r="E137" s="65" t="s">
        <v>86</v>
      </c>
      <c r="F137" s="65"/>
      <c r="G137" s="65" t="s">
        <v>76</v>
      </c>
      <c r="H137" s="65" t="s">
        <v>14</v>
      </c>
      <c r="I137" s="66" t="s">
        <v>12</v>
      </c>
      <c r="J137" s="67">
        <v>-19715000</v>
      </c>
      <c r="K137" s="68">
        <v>0.98580000000000001</v>
      </c>
      <c r="L137" s="67">
        <v>20000000</v>
      </c>
      <c r="M137" s="69">
        <v>0</v>
      </c>
      <c r="N137" s="70">
        <v>0</v>
      </c>
      <c r="O137" s="70">
        <v>142395.74</v>
      </c>
      <c r="P137" s="70">
        <v>2612444.58</v>
      </c>
      <c r="Q137" s="70">
        <v>0</v>
      </c>
      <c r="R137" s="71">
        <v>400347619.06999999</v>
      </c>
      <c r="S137" s="70">
        <v>-0.04</v>
      </c>
      <c r="T137" s="70">
        <v>400347619.02999997</v>
      </c>
      <c r="U137" s="72" t="s">
        <v>0</v>
      </c>
    </row>
    <row r="138" spans="1:21" ht="14.45" customHeight="1">
      <c r="A138" s="64">
        <v>45694</v>
      </c>
      <c r="B138" s="64">
        <v>45670</v>
      </c>
      <c r="C138" s="64">
        <v>45646</v>
      </c>
      <c r="D138" s="65" t="s">
        <v>263</v>
      </c>
      <c r="E138" s="65" t="s">
        <v>264</v>
      </c>
      <c r="F138" s="65"/>
      <c r="G138" s="65" t="s">
        <v>76</v>
      </c>
      <c r="H138" s="65" t="s">
        <v>14</v>
      </c>
      <c r="I138" s="66" t="s">
        <v>12</v>
      </c>
      <c r="J138" s="67">
        <v>-1277253.94</v>
      </c>
      <c r="K138" s="68">
        <v>0.998</v>
      </c>
      <c r="L138" s="67">
        <v>1279813.57</v>
      </c>
      <c r="M138" s="69">
        <v>0</v>
      </c>
      <c r="N138" s="70">
        <v>0</v>
      </c>
      <c r="O138" s="70">
        <v>142395.74</v>
      </c>
      <c r="P138" s="70">
        <v>1335190.6399999999</v>
      </c>
      <c r="Q138" s="70">
        <v>0</v>
      </c>
      <c r="R138" s="71">
        <v>401627432.63999999</v>
      </c>
      <c r="S138" s="70">
        <v>-0.04</v>
      </c>
      <c r="T138" s="70">
        <v>401627432.60000002</v>
      </c>
      <c r="U138" s="72" t="s">
        <v>0</v>
      </c>
    </row>
    <row r="139" spans="1:21" ht="14.45" customHeight="1">
      <c r="A139" s="64">
        <v>45694</v>
      </c>
      <c r="B139" s="64">
        <v>45670</v>
      </c>
      <c r="C139" s="64">
        <v>45657</v>
      </c>
      <c r="D139" s="65" t="s">
        <v>85</v>
      </c>
      <c r="E139" s="65" t="s">
        <v>89</v>
      </c>
      <c r="F139" s="65" t="s">
        <v>90</v>
      </c>
      <c r="G139" s="65" t="s">
        <v>249</v>
      </c>
      <c r="H139" s="65" t="s">
        <v>14</v>
      </c>
      <c r="I139" s="66" t="s">
        <v>12</v>
      </c>
      <c r="J139" s="67">
        <v>2353508.31</v>
      </c>
      <c r="K139" s="68">
        <v>0.99</v>
      </c>
      <c r="L139" s="67">
        <v>-2377281.12</v>
      </c>
      <c r="M139" s="69">
        <v>0</v>
      </c>
      <c r="N139" s="70">
        <v>0</v>
      </c>
      <c r="O139" s="70">
        <v>142395.74</v>
      </c>
      <c r="P139" s="70">
        <v>3688698.95</v>
      </c>
      <c r="Q139" s="70">
        <v>0</v>
      </c>
      <c r="R139" s="71">
        <v>399250151.51999998</v>
      </c>
      <c r="S139" s="70">
        <v>-0.04</v>
      </c>
      <c r="T139" s="70">
        <v>399250151.48000002</v>
      </c>
      <c r="U139" s="72" t="s">
        <v>0</v>
      </c>
    </row>
    <row r="140" spans="1:21" ht="14.45" customHeight="1">
      <c r="A140" s="64">
        <v>45694</v>
      </c>
      <c r="B140" s="64">
        <v>45670</v>
      </c>
      <c r="C140" s="64">
        <v>45658</v>
      </c>
      <c r="D140" s="65" t="s">
        <v>85</v>
      </c>
      <c r="E140" s="65" t="s">
        <v>86</v>
      </c>
      <c r="F140" s="65"/>
      <c r="G140" s="65" t="s">
        <v>249</v>
      </c>
      <c r="H140" s="65" t="s">
        <v>14</v>
      </c>
      <c r="I140" s="66" t="s">
        <v>12</v>
      </c>
      <c r="J140" s="67">
        <v>3577322.22</v>
      </c>
      <c r="K140" s="68">
        <v>0.99</v>
      </c>
      <c r="L140" s="67">
        <v>-3613456.79</v>
      </c>
      <c r="M140" s="69">
        <v>0</v>
      </c>
      <c r="N140" s="70">
        <v>0</v>
      </c>
      <c r="O140" s="70">
        <v>142395.74</v>
      </c>
      <c r="P140" s="70">
        <v>7266021.1699999999</v>
      </c>
      <c r="Q140" s="70">
        <v>0</v>
      </c>
      <c r="R140" s="71">
        <v>395636694.73000002</v>
      </c>
      <c r="S140" s="70">
        <v>-0.04</v>
      </c>
      <c r="T140" s="70">
        <v>395636694.69</v>
      </c>
      <c r="U140" s="72" t="s">
        <v>0</v>
      </c>
    </row>
    <row r="141" spans="1:21" ht="14.45" customHeight="1">
      <c r="A141" s="64">
        <v>45694</v>
      </c>
      <c r="B141" s="64">
        <v>45680</v>
      </c>
      <c r="C141" s="64">
        <v>45657</v>
      </c>
      <c r="D141" s="65" t="s">
        <v>91</v>
      </c>
      <c r="E141" s="65" t="s">
        <v>214</v>
      </c>
      <c r="F141" s="65" t="s">
        <v>215</v>
      </c>
      <c r="G141" s="65" t="s">
        <v>249</v>
      </c>
      <c r="H141" s="65" t="s">
        <v>14</v>
      </c>
      <c r="I141" s="66" t="s">
        <v>12</v>
      </c>
      <c r="J141" s="67">
        <v>3559437.13</v>
      </c>
      <c r="K141" s="68">
        <v>0.9829</v>
      </c>
      <c r="L141" s="67">
        <v>-3621362.43</v>
      </c>
      <c r="M141" s="69">
        <v>0</v>
      </c>
      <c r="N141" s="70">
        <v>0</v>
      </c>
      <c r="O141" s="70">
        <v>142395.74</v>
      </c>
      <c r="P141" s="70">
        <v>10825458.300000001</v>
      </c>
      <c r="Q141" s="70">
        <v>0</v>
      </c>
      <c r="R141" s="71">
        <v>392015332.30000001</v>
      </c>
      <c r="S141" s="70">
        <v>-0.04</v>
      </c>
      <c r="T141" s="70">
        <v>392015332.25999999</v>
      </c>
      <c r="U141" s="72" t="s">
        <v>0</v>
      </c>
    </row>
    <row r="142" spans="1:21" ht="14.45" customHeight="1">
      <c r="A142" s="64">
        <v>45694</v>
      </c>
      <c r="B142" s="64">
        <v>45680</v>
      </c>
      <c r="C142" s="64">
        <v>45657</v>
      </c>
      <c r="D142" s="65" t="s">
        <v>91</v>
      </c>
      <c r="E142" s="65" t="s">
        <v>230</v>
      </c>
      <c r="F142" s="65" t="s">
        <v>231</v>
      </c>
      <c r="G142" s="65" t="s">
        <v>249</v>
      </c>
      <c r="H142" s="65" t="s">
        <v>14</v>
      </c>
      <c r="I142" s="66" t="s">
        <v>12</v>
      </c>
      <c r="J142" s="67">
        <v>370151.5</v>
      </c>
      <c r="K142" s="68">
        <v>0.9829</v>
      </c>
      <c r="L142" s="67">
        <v>-376591.21</v>
      </c>
      <c r="M142" s="69">
        <v>0</v>
      </c>
      <c r="N142" s="70">
        <v>0</v>
      </c>
      <c r="O142" s="70">
        <v>142395.74</v>
      </c>
      <c r="P142" s="70">
        <v>11195609.800000001</v>
      </c>
      <c r="Q142" s="70">
        <v>0</v>
      </c>
      <c r="R142" s="71">
        <v>391638741.08999997</v>
      </c>
      <c r="S142" s="70">
        <v>-0.04</v>
      </c>
      <c r="T142" s="70">
        <v>391638741.05000001</v>
      </c>
      <c r="U142" s="72" t="s">
        <v>0</v>
      </c>
    </row>
    <row r="143" spans="1:21" ht="14.45" customHeight="1">
      <c r="A143" s="64">
        <v>45694</v>
      </c>
      <c r="B143" s="64">
        <v>45680</v>
      </c>
      <c r="C143" s="64">
        <v>45658</v>
      </c>
      <c r="D143" s="65" t="s">
        <v>91</v>
      </c>
      <c r="E143" s="65" t="s">
        <v>232</v>
      </c>
      <c r="F143" s="65"/>
      <c r="G143" s="65" t="s">
        <v>249</v>
      </c>
      <c r="H143" s="65" t="s">
        <v>14</v>
      </c>
      <c r="I143" s="66" t="s">
        <v>12</v>
      </c>
      <c r="J143" s="67">
        <v>1829150.22</v>
      </c>
      <c r="K143" s="68">
        <v>0.9829</v>
      </c>
      <c r="L143" s="67">
        <v>-1860972.86</v>
      </c>
      <c r="M143" s="69">
        <v>0</v>
      </c>
      <c r="N143" s="70">
        <v>0</v>
      </c>
      <c r="O143" s="70">
        <v>142395.74</v>
      </c>
      <c r="P143" s="70">
        <v>13024760.02</v>
      </c>
      <c r="Q143" s="70">
        <v>0</v>
      </c>
      <c r="R143" s="71">
        <v>389777768.23000002</v>
      </c>
      <c r="S143" s="70">
        <v>-0.04</v>
      </c>
      <c r="T143" s="70">
        <v>389777768.19</v>
      </c>
      <c r="U143" s="72" t="s">
        <v>0</v>
      </c>
    </row>
    <row r="144" spans="1:21" ht="14.45" customHeight="1">
      <c r="A144" s="64">
        <v>45694</v>
      </c>
      <c r="B144" s="64">
        <v>45667</v>
      </c>
      <c r="C144" s="64">
        <v>45658</v>
      </c>
      <c r="D144" s="65" t="s">
        <v>265</v>
      </c>
      <c r="E144" s="65" t="s">
        <v>266</v>
      </c>
      <c r="F144" s="65" t="s">
        <v>267</v>
      </c>
      <c r="G144" s="65" t="s">
        <v>76</v>
      </c>
      <c r="H144" s="65" t="s">
        <v>14</v>
      </c>
      <c r="I144" s="66" t="s">
        <v>12</v>
      </c>
      <c r="J144" s="67">
        <v>-1457321.62</v>
      </c>
      <c r="K144" s="68">
        <v>0.995</v>
      </c>
      <c r="L144" s="67">
        <v>1464644.84</v>
      </c>
      <c r="M144" s="69">
        <v>0</v>
      </c>
      <c r="N144" s="70">
        <v>0</v>
      </c>
      <c r="O144" s="70">
        <v>142395.74</v>
      </c>
      <c r="P144" s="70">
        <v>11567438.4</v>
      </c>
      <c r="Q144" s="70">
        <v>0</v>
      </c>
      <c r="R144" s="71">
        <v>391242413.06999999</v>
      </c>
      <c r="S144" s="70">
        <v>-0.04</v>
      </c>
      <c r="T144" s="70">
        <v>391242413.02999997</v>
      </c>
      <c r="U144" s="72" t="s">
        <v>0</v>
      </c>
    </row>
    <row r="145" spans="1:21" ht="14.45" customHeight="1">
      <c r="A145" s="64">
        <v>45694</v>
      </c>
      <c r="B145" s="64">
        <v>45673</v>
      </c>
      <c r="C145" s="64">
        <v>45673</v>
      </c>
      <c r="D145" s="65" t="s">
        <v>164</v>
      </c>
      <c r="E145" s="65" t="s">
        <v>165</v>
      </c>
      <c r="F145" s="65" t="s">
        <v>166</v>
      </c>
      <c r="G145" s="65" t="s">
        <v>76</v>
      </c>
      <c r="H145" s="65" t="s">
        <v>14</v>
      </c>
      <c r="I145" s="66" t="s">
        <v>12</v>
      </c>
      <c r="J145" s="67">
        <v>-74929.81</v>
      </c>
      <c r="K145" s="68">
        <v>0.99</v>
      </c>
      <c r="L145" s="67">
        <v>75686.679999999993</v>
      </c>
      <c r="M145" s="69">
        <v>0</v>
      </c>
      <c r="N145" s="70">
        <v>0</v>
      </c>
      <c r="O145" s="70">
        <v>142395.74</v>
      </c>
      <c r="P145" s="70">
        <v>11492508.59</v>
      </c>
      <c r="Q145" s="70">
        <v>0</v>
      </c>
      <c r="R145" s="71">
        <v>391318099.75</v>
      </c>
      <c r="S145" s="70">
        <v>-0.04</v>
      </c>
      <c r="T145" s="70">
        <v>391318099.70999998</v>
      </c>
      <c r="U145" s="72" t="s">
        <v>0</v>
      </c>
    </row>
    <row r="146" spans="1:21" ht="14.45" customHeight="1">
      <c r="A146" s="64">
        <v>45694</v>
      </c>
      <c r="B146" s="64">
        <v>45688</v>
      </c>
      <c r="C146" s="64">
        <v>45674</v>
      </c>
      <c r="D146" s="65" t="s">
        <v>268</v>
      </c>
      <c r="E146" s="65" t="s">
        <v>86</v>
      </c>
      <c r="F146" s="65"/>
      <c r="G146" s="65" t="s">
        <v>76</v>
      </c>
      <c r="H146" s="65" t="s">
        <v>14</v>
      </c>
      <c r="I146" s="66" t="s">
        <v>12</v>
      </c>
      <c r="J146" s="67">
        <v>-9932500</v>
      </c>
      <c r="K146" s="68">
        <v>0.99319999999999997</v>
      </c>
      <c r="L146" s="67">
        <v>10000000</v>
      </c>
      <c r="M146" s="69">
        <v>0</v>
      </c>
      <c r="N146" s="70">
        <v>0</v>
      </c>
      <c r="O146" s="70">
        <v>142395.74</v>
      </c>
      <c r="P146" s="70">
        <v>1560008.59</v>
      </c>
      <c r="Q146" s="70">
        <v>0</v>
      </c>
      <c r="R146" s="71">
        <v>401318099.75</v>
      </c>
      <c r="S146" s="70">
        <v>-0.04</v>
      </c>
      <c r="T146" s="70">
        <v>401318099.70999998</v>
      </c>
      <c r="U146" s="72" t="s">
        <v>0</v>
      </c>
    </row>
    <row r="147" spans="1:21" ht="14.45" customHeight="1">
      <c r="A147" s="64">
        <v>45695</v>
      </c>
      <c r="B147" s="64">
        <v>45694</v>
      </c>
      <c r="C147" s="64">
        <v>45680</v>
      </c>
      <c r="D147" s="65" t="s">
        <v>268</v>
      </c>
      <c r="E147" s="65" t="s">
        <v>86</v>
      </c>
      <c r="F147" s="65"/>
      <c r="G147" s="65" t="s">
        <v>76</v>
      </c>
      <c r="H147" s="65" t="s">
        <v>14</v>
      </c>
      <c r="I147" s="66" t="s">
        <v>12</v>
      </c>
      <c r="J147" s="67">
        <v>-9932500</v>
      </c>
      <c r="K147" s="68">
        <v>0.99319999999999997</v>
      </c>
      <c r="L147" s="67">
        <v>10000000</v>
      </c>
      <c r="M147" s="69">
        <v>0</v>
      </c>
      <c r="N147" s="70">
        <v>0</v>
      </c>
      <c r="O147" s="70">
        <v>142395.74</v>
      </c>
      <c r="P147" s="70">
        <v>-8372491.4100000001</v>
      </c>
      <c r="Q147" s="70">
        <v>0</v>
      </c>
      <c r="R147" s="71">
        <v>411318099.75</v>
      </c>
      <c r="S147" s="70">
        <v>-0.04</v>
      </c>
      <c r="T147" s="70">
        <v>411318099.70999998</v>
      </c>
      <c r="U147" s="72" t="s">
        <v>0</v>
      </c>
    </row>
    <row r="148" spans="1:21" ht="14.45" customHeight="1">
      <c r="A148" s="64">
        <v>45695</v>
      </c>
      <c r="B148" s="64">
        <v>45688</v>
      </c>
      <c r="C148" s="64">
        <v>45674</v>
      </c>
      <c r="D148" s="65" t="s">
        <v>268</v>
      </c>
      <c r="E148" s="65" t="s">
        <v>86</v>
      </c>
      <c r="F148" s="65"/>
      <c r="G148" s="65" t="s">
        <v>76</v>
      </c>
      <c r="H148" s="65" t="s">
        <v>14</v>
      </c>
      <c r="I148" s="66" t="s">
        <v>12</v>
      </c>
      <c r="J148" s="67">
        <v>9932500</v>
      </c>
      <c r="K148" s="68">
        <v>-0.99319999999999997</v>
      </c>
      <c r="L148" s="67">
        <v>-10000000</v>
      </c>
      <c r="M148" s="69">
        <v>0</v>
      </c>
      <c r="N148" s="70">
        <v>0</v>
      </c>
      <c r="O148" s="70">
        <v>142395.74</v>
      </c>
      <c r="P148" s="70">
        <v>1560008.59</v>
      </c>
      <c r="Q148" s="70">
        <v>0</v>
      </c>
      <c r="R148" s="71">
        <v>401318099.75</v>
      </c>
      <c r="S148" s="70">
        <v>-0.04</v>
      </c>
      <c r="T148" s="70">
        <v>401318099.70999998</v>
      </c>
      <c r="U148" s="72" t="s">
        <v>0</v>
      </c>
    </row>
    <row r="149" spans="1:21" ht="14.45" customHeight="1">
      <c r="A149" s="64">
        <v>45695</v>
      </c>
      <c r="B149" s="64">
        <v>45695</v>
      </c>
      <c r="C149" s="64">
        <v>45695</v>
      </c>
      <c r="D149" s="65" t="s">
        <v>269</v>
      </c>
      <c r="E149" s="65" t="s">
        <v>0</v>
      </c>
      <c r="F149" s="65"/>
      <c r="G149" s="65" t="s">
        <v>270</v>
      </c>
      <c r="H149" s="65" t="s">
        <v>13</v>
      </c>
      <c r="I149" s="66" t="s">
        <v>12</v>
      </c>
      <c r="J149" s="67">
        <v>109900.46</v>
      </c>
      <c r="K149" s="68">
        <v>0</v>
      </c>
      <c r="L149" s="67">
        <v>0</v>
      </c>
      <c r="M149" s="69">
        <v>0</v>
      </c>
      <c r="N149" s="70">
        <v>0</v>
      </c>
      <c r="O149" s="70">
        <v>252296.2</v>
      </c>
      <c r="P149" s="70">
        <v>1560008.59</v>
      </c>
      <c r="Q149" s="70">
        <v>0</v>
      </c>
      <c r="R149" s="71">
        <v>401318099.75</v>
      </c>
      <c r="S149" s="70">
        <v>-0.04</v>
      </c>
      <c r="T149" s="70">
        <v>401318099.70999998</v>
      </c>
      <c r="U149" s="72" t="s">
        <v>0</v>
      </c>
    </row>
    <row r="150" spans="1:21" ht="14.45" customHeight="1">
      <c r="A150" s="64">
        <v>45695</v>
      </c>
      <c r="B150" s="64">
        <v>45695</v>
      </c>
      <c r="C150" s="64">
        <v>45695</v>
      </c>
      <c r="D150" s="65" t="s">
        <v>269</v>
      </c>
      <c r="E150" s="65" t="s">
        <v>0</v>
      </c>
      <c r="F150" s="65"/>
      <c r="G150" s="65" t="s">
        <v>270</v>
      </c>
      <c r="H150" s="65" t="s">
        <v>13</v>
      </c>
      <c r="I150" s="66" t="s">
        <v>12</v>
      </c>
      <c r="J150" s="67">
        <v>24114.05</v>
      </c>
      <c r="K150" s="68">
        <v>0</v>
      </c>
      <c r="L150" s="67">
        <v>0</v>
      </c>
      <c r="M150" s="69">
        <v>0</v>
      </c>
      <c r="N150" s="70">
        <v>0</v>
      </c>
      <c r="O150" s="70">
        <v>276410.25</v>
      </c>
      <c r="P150" s="70">
        <v>1560008.59</v>
      </c>
      <c r="Q150" s="70">
        <v>0</v>
      </c>
      <c r="R150" s="71">
        <v>401318099.75</v>
      </c>
      <c r="S150" s="70">
        <v>-0.04</v>
      </c>
      <c r="T150" s="70">
        <v>401318099.70999998</v>
      </c>
      <c r="U150" s="72" t="s">
        <v>0</v>
      </c>
    </row>
    <row r="151" spans="1:21" ht="14.45" customHeight="1">
      <c r="A151" s="64">
        <v>45698</v>
      </c>
      <c r="B151" s="64">
        <v>45698</v>
      </c>
      <c r="C151" s="64">
        <v>45698</v>
      </c>
      <c r="D151" s="65" t="s">
        <v>271</v>
      </c>
      <c r="E151" s="65" t="s">
        <v>0</v>
      </c>
      <c r="F151" s="65"/>
      <c r="G151" s="65" t="s">
        <v>48</v>
      </c>
      <c r="H151" s="65" t="s">
        <v>13</v>
      </c>
      <c r="I151" s="66" t="s">
        <v>12</v>
      </c>
      <c r="J151" s="67">
        <v>-12535.85</v>
      </c>
      <c r="K151" s="68">
        <v>0</v>
      </c>
      <c r="L151" s="67">
        <v>0</v>
      </c>
      <c r="M151" s="69">
        <v>0</v>
      </c>
      <c r="N151" s="70">
        <v>0</v>
      </c>
      <c r="O151" s="70">
        <v>263874.40000000002</v>
      </c>
      <c r="P151" s="70">
        <v>1560008.59</v>
      </c>
      <c r="Q151" s="70">
        <v>0</v>
      </c>
      <c r="R151" s="71">
        <v>401318099.75</v>
      </c>
      <c r="S151" s="70">
        <v>-0.04</v>
      </c>
      <c r="T151" s="70">
        <v>401318099.70999998</v>
      </c>
      <c r="U151" s="72" t="s">
        <v>0</v>
      </c>
    </row>
    <row r="152" spans="1:21" ht="14.45" customHeight="1">
      <c r="A152" s="64">
        <v>45698</v>
      </c>
      <c r="B152" s="64">
        <v>45694</v>
      </c>
      <c r="C152" s="64">
        <v>45694</v>
      </c>
      <c r="D152" s="65" t="s">
        <v>272</v>
      </c>
      <c r="E152" s="65" t="s">
        <v>0</v>
      </c>
      <c r="F152" s="65"/>
      <c r="G152" s="65" t="s">
        <v>48</v>
      </c>
      <c r="H152" s="65" t="s">
        <v>14</v>
      </c>
      <c r="I152" s="66" t="s">
        <v>12</v>
      </c>
      <c r="J152" s="67">
        <v>-9169.4599999999991</v>
      </c>
      <c r="K152" s="68">
        <v>0</v>
      </c>
      <c r="L152" s="67">
        <v>0</v>
      </c>
      <c r="M152" s="69">
        <v>0</v>
      </c>
      <c r="N152" s="70">
        <v>0</v>
      </c>
      <c r="O152" s="70">
        <v>263874.40000000002</v>
      </c>
      <c r="P152" s="70">
        <v>1550839.13</v>
      </c>
      <c r="Q152" s="70">
        <v>0</v>
      </c>
      <c r="R152" s="71">
        <v>401318099.75</v>
      </c>
      <c r="S152" s="70">
        <v>-0.04</v>
      </c>
      <c r="T152" s="70">
        <v>401318099.70999998</v>
      </c>
      <c r="U152" s="72" t="s">
        <v>0</v>
      </c>
    </row>
    <row r="153" spans="1:21" ht="14.45" customHeight="1">
      <c r="A153" s="64">
        <v>45700</v>
      </c>
      <c r="B153" s="64">
        <v>45700</v>
      </c>
      <c r="C153" s="64">
        <v>45700</v>
      </c>
      <c r="D153" s="65" t="s">
        <v>273</v>
      </c>
      <c r="E153" s="65" t="s">
        <v>0</v>
      </c>
      <c r="F153" s="65"/>
      <c r="G153" s="65" t="s">
        <v>274</v>
      </c>
      <c r="H153" s="65" t="s">
        <v>13</v>
      </c>
      <c r="I153" s="66" t="s">
        <v>12</v>
      </c>
      <c r="J153" s="67">
        <v>-10000</v>
      </c>
      <c r="K153" s="68">
        <v>0</v>
      </c>
      <c r="L153" s="67">
        <v>0</v>
      </c>
      <c r="M153" s="69">
        <v>0</v>
      </c>
      <c r="N153" s="70">
        <v>0</v>
      </c>
      <c r="O153" s="70">
        <v>253874.4</v>
      </c>
      <c r="P153" s="70">
        <v>1550839.13</v>
      </c>
      <c r="Q153" s="70">
        <v>0</v>
      </c>
      <c r="R153" s="71">
        <v>401318099.75</v>
      </c>
      <c r="S153" s="70">
        <v>-0.04</v>
      </c>
      <c r="T153" s="70">
        <v>401318099.70999998</v>
      </c>
      <c r="U153" s="72" t="s">
        <v>0</v>
      </c>
    </row>
    <row r="154" spans="1:21" ht="14.45" customHeight="1">
      <c r="A154" s="64">
        <v>45700</v>
      </c>
      <c r="B154" s="64">
        <v>45699</v>
      </c>
      <c r="C154" s="64">
        <v>45699</v>
      </c>
      <c r="D154" s="65" t="s">
        <v>148</v>
      </c>
      <c r="E154" s="65" t="s">
        <v>86</v>
      </c>
      <c r="F154" s="65" t="s">
        <v>149</v>
      </c>
      <c r="G154" s="65" t="s">
        <v>249</v>
      </c>
      <c r="H154" s="65" t="s">
        <v>14</v>
      </c>
      <c r="I154" s="66" t="s">
        <v>12</v>
      </c>
      <c r="J154" s="67">
        <v>866250</v>
      </c>
      <c r="K154" s="68">
        <v>0.99</v>
      </c>
      <c r="L154" s="67">
        <v>-875000</v>
      </c>
      <c r="M154" s="69">
        <v>0</v>
      </c>
      <c r="N154" s="70">
        <v>0</v>
      </c>
      <c r="O154" s="70">
        <v>253874.4</v>
      </c>
      <c r="P154" s="70">
        <v>2417089.13</v>
      </c>
      <c r="Q154" s="70">
        <v>0</v>
      </c>
      <c r="R154" s="71">
        <v>400443099.75</v>
      </c>
      <c r="S154" s="70">
        <v>-0.04</v>
      </c>
      <c r="T154" s="70">
        <v>400443099.70999998</v>
      </c>
      <c r="U154" s="72" t="s">
        <v>0</v>
      </c>
    </row>
    <row r="155" spans="1:21" ht="14.45" customHeight="1">
      <c r="A155" s="64">
        <v>45701</v>
      </c>
      <c r="B155" s="64">
        <v>45701</v>
      </c>
      <c r="C155" s="64">
        <v>45699</v>
      </c>
      <c r="D155" s="65" t="s">
        <v>175</v>
      </c>
      <c r="E155" s="65" t="s">
        <v>176</v>
      </c>
      <c r="F155" s="65" t="s">
        <v>177</v>
      </c>
      <c r="G155" s="65" t="s">
        <v>249</v>
      </c>
      <c r="H155" s="65" t="s">
        <v>14</v>
      </c>
      <c r="I155" s="66" t="s">
        <v>12</v>
      </c>
      <c r="J155" s="67">
        <v>5000000</v>
      </c>
      <c r="K155" s="68">
        <v>1</v>
      </c>
      <c r="L155" s="67">
        <v>-5000000</v>
      </c>
      <c r="M155" s="69">
        <v>0</v>
      </c>
      <c r="N155" s="70">
        <v>0</v>
      </c>
      <c r="O155" s="70">
        <v>253874.4</v>
      </c>
      <c r="P155" s="70">
        <v>7417089.1299999999</v>
      </c>
      <c r="Q155" s="70">
        <v>0</v>
      </c>
      <c r="R155" s="71">
        <v>395443099.75</v>
      </c>
      <c r="S155" s="70">
        <v>-0.04</v>
      </c>
      <c r="T155" s="70">
        <v>395443099.70999998</v>
      </c>
      <c r="U155" s="72" t="s">
        <v>0</v>
      </c>
    </row>
    <row r="156" spans="1:21" ht="14.45" customHeight="1">
      <c r="A156" s="64">
        <v>45701</v>
      </c>
      <c r="B156" s="64">
        <v>45701</v>
      </c>
      <c r="C156" s="64">
        <v>45699</v>
      </c>
      <c r="D156" s="65" t="s">
        <v>262</v>
      </c>
      <c r="E156" s="65" t="s">
        <v>86</v>
      </c>
      <c r="F156" s="65" t="s">
        <v>275</v>
      </c>
      <c r="G156" s="65" t="s">
        <v>249</v>
      </c>
      <c r="H156" s="65" t="s">
        <v>14</v>
      </c>
      <c r="I156" s="66" t="s">
        <v>12</v>
      </c>
      <c r="J156" s="67">
        <v>2536375</v>
      </c>
      <c r="K156" s="68">
        <v>0.98499999999999999</v>
      </c>
      <c r="L156" s="67">
        <v>-2575000</v>
      </c>
      <c r="M156" s="69">
        <v>0</v>
      </c>
      <c r="N156" s="70">
        <v>0</v>
      </c>
      <c r="O156" s="70">
        <v>253874.4</v>
      </c>
      <c r="P156" s="70">
        <v>9953464.1300000008</v>
      </c>
      <c r="Q156" s="70">
        <v>0</v>
      </c>
      <c r="R156" s="71">
        <v>392868099.75</v>
      </c>
      <c r="S156" s="70">
        <v>-0.04</v>
      </c>
      <c r="T156" s="70">
        <v>392868099.70999998</v>
      </c>
      <c r="U156" s="72" t="s">
        <v>0</v>
      </c>
    </row>
    <row r="157" spans="1:21" ht="14.45" customHeight="1">
      <c r="A157" s="64">
        <v>45702</v>
      </c>
      <c r="B157" s="64">
        <v>45688</v>
      </c>
      <c r="C157" s="64">
        <v>45688</v>
      </c>
      <c r="D157" s="65" t="s">
        <v>250</v>
      </c>
      <c r="E157" s="65" t="s">
        <v>0</v>
      </c>
      <c r="F157" s="65"/>
      <c r="G157" s="65" t="s">
        <v>48</v>
      </c>
      <c r="H157" s="65" t="s">
        <v>14</v>
      </c>
      <c r="I157" s="66" t="s">
        <v>12</v>
      </c>
      <c r="J157" s="67">
        <v>32740646.629999999</v>
      </c>
      <c r="K157" s="68">
        <v>0</v>
      </c>
      <c r="L157" s="67">
        <v>0</v>
      </c>
      <c r="M157" s="69">
        <v>0</v>
      </c>
      <c r="N157" s="70">
        <v>0</v>
      </c>
      <c r="O157" s="70">
        <v>253874.4</v>
      </c>
      <c r="P157" s="70">
        <v>42694110.759999998</v>
      </c>
      <c r="Q157" s="70">
        <v>0</v>
      </c>
      <c r="R157" s="71">
        <v>392868099.75</v>
      </c>
      <c r="S157" s="70">
        <v>-0.04</v>
      </c>
      <c r="T157" s="70">
        <v>392868099.70999998</v>
      </c>
      <c r="U157" s="72" t="s">
        <v>0</v>
      </c>
    </row>
    <row r="158" spans="1:21" ht="14.45" customHeight="1">
      <c r="A158" s="64">
        <v>45702</v>
      </c>
      <c r="B158" s="64">
        <v>45679</v>
      </c>
      <c r="C158" s="64">
        <v>45679</v>
      </c>
      <c r="D158" s="65" t="s">
        <v>276</v>
      </c>
      <c r="E158" s="65" t="s">
        <v>0</v>
      </c>
      <c r="F158" s="65"/>
      <c r="G158" s="65" t="s">
        <v>48</v>
      </c>
      <c r="H158" s="65" t="s">
        <v>14</v>
      </c>
      <c r="I158" s="66" t="s">
        <v>12</v>
      </c>
      <c r="J158" s="67">
        <v>2970000</v>
      </c>
      <c r="K158" s="68">
        <v>0</v>
      </c>
      <c r="L158" s="67">
        <v>0</v>
      </c>
      <c r="M158" s="69">
        <v>0</v>
      </c>
      <c r="N158" s="70">
        <v>0</v>
      </c>
      <c r="O158" s="70">
        <v>253874.4</v>
      </c>
      <c r="P158" s="70">
        <v>45664110.759999998</v>
      </c>
      <c r="Q158" s="70">
        <v>0</v>
      </c>
      <c r="R158" s="71">
        <v>392868099.75</v>
      </c>
      <c r="S158" s="70">
        <v>-0.04</v>
      </c>
      <c r="T158" s="70">
        <v>392868099.70999998</v>
      </c>
      <c r="U158" s="72" t="s">
        <v>0</v>
      </c>
    </row>
    <row r="159" spans="1:21" ht="14.45" customHeight="1">
      <c r="A159" s="64">
        <v>45702</v>
      </c>
      <c r="B159" s="64">
        <v>45702</v>
      </c>
      <c r="C159" s="64">
        <v>45702</v>
      </c>
      <c r="D159" s="65" t="s">
        <v>277</v>
      </c>
      <c r="E159" s="65" t="s">
        <v>0</v>
      </c>
      <c r="F159" s="65"/>
      <c r="G159" s="65" t="s">
        <v>48</v>
      </c>
      <c r="H159" s="65" t="s">
        <v>14</v>
      </c>
      <c r="I159" s="66" t="s">
        <v>12</v>
      </c>
      <c r="J159" s="67">
        <v>4081336.91</v>
      </c>
      <c r="K159" s="68">
        <v>0</v>
      </c>
      <c r="L159" s="67">
        <v>0</v>
      </c>
      <c r="M159" s="69">
        <v>0</v>
      </c>
      <c r="N159" s="70">
        <v>0</v>
      </c>
      <c r="O159" s="70">
        <v>253874.4</v>
      </c>
      <c r="P159" s="70">
        <v>49745447.670000002</v>
      </c>
      <c r="Q159" s="70">
        <v>0</v>
      </c>
      <c r="R159" s="71">
        <v>392868099.75</v>
      </c>
      <c r="S159" s="70">
        <v>-0.04</v>
      </c>
      <c r="T159" s="70">
        <v>392868099.70999998</v>
      </c>
      <c r="U159" s="72" t="s">
        <v>0</v>
      </c>
    </row>
    <row r="160" spans="1:21" ht="14.45" customHeight="1">
      <c r="A160" s="64">
        <v>45702</v>
      </c>
      <c r="B160" s="64">
        <v>45695</v>
      </c>
      <c r="C160" s="64">
        <v>45695</v>
      </c>
      <c r="D160" s="65" t="s">
        <v>278</v>
      </c>
      <c r="E160" s="65" t="s">
        <v>0</v>
      </c>
      <c r="F160" s="65"/>
      <c r="G160" s="65" t="s">
        <v>48</v>
      </c>
      <c r="H160" s="65" t="s">
        <v>13</v>
      </c>
      <c r="I160" s="66" t="s">
        <v>12</v>
      </c>
      <c r="J160" s="67">
        <v>659378.5</v>
      </c>
      <c r="K160" s="68">
        <v>0</v>
      </c>
      <c r="L160" s="67">
        <v>0</v>
      </c>
      <c r="M160" s="69">
        <v>0</v>
      </c>
      <c r="N160" s="70">
        <v>0</v>
      </c>
      <c r="O160" s="70">
        <v>913252.9</v>
      </c>
      <c r="P160" s="70">
        <v>49745447.670000002</v>
      </c>
      <c r="Q160" s="70">
        <v>0</v>
      </c>
      <c r="R160" s="71">
        <v>392868099.75</v>
      </c>
      <c r="S160" s="70">
        <v>-0.04</v>
      </c>
      <c r="T160" s="70">
        <v>392868099.70999998</v>
      </c>
      <c r="U160" s="72" t="s">
        <v>0</v>
      </c>
    </row>
    <row r="161" spans="1:21" ht="14.45" customHeight="1">
      <c r="A161" s="64">
        <v>45702</v>
      </c>
      <c r="B161" s="64">
        <v>45702</v>
      </c>
      <c r="C161" s="64">
        <v>45702</v>
      </c>
      <c r="D161" s="65" t="s">
        <v>279</v>
      </c>
      <c r="E161" s="65" t="s">
        <v>0</v>
      </c>
      <c r="F161" s="65"/>
      <c r="G161" s="65" t="s">
        <v>48</v>
      </c>
      <c r="H161" s="65" t="s">
        <v>13</v>
      </c>
      <c r="I161" s="66" t="s">
        <v>12</v>
      </c>
      <c r="J161" s="67">
        <v>-903170.94</v>
      </c>
      <c r="K161" s="68">
        <v>0</v>
      </c>
      <c r="L161" s="67">
        <v>0</v>
      </c>
      <c r="M161" s="69">
        <v>0</v>
      </c>
      <c r="N161" s="70">
        <v>0</v>
      </c>
      <c r="O161" s="70">
        <v>10081.959999999999</v>
      </c>
      <c r="P161" s="70">
        <v>49745447.670000002</v>
      </c>
      <c r="Q161" s="70">
        <v>0</v>
      </c>
      <c r="R161" s="71">
        <v>392868099.75</v>
      </c>
      <c r="S161" s="70">
        <v>-0.04</v>
      </c>
      <c r="T161" s="70">
        <v>392868099.70999998</v>
      </c>
      <c r="U161" s="72" t="s">
        <v>0</v>
      </c>
    </row>
    <row r="162" spans="1:21" ht="14.45" customHeight="1">
      <c r="A162" s="64">
        <v>45702</v>
      </c>
      <c r="B162" s="64">
        <v>45702</v>
      </c>
      <c r="C162" s="64">
        <v>45702</v>
      </c>
      <c r="D162" s="65" t="s">
        <v>279</v>
      </c>
      <c r="E162" s="65" t="s">
        <v>0</v>
      </c>
      <c r="F162" s="65"/>
      <c r="G162" s="65" t="s">
        <v>48</v>
      </c>
      <c r="H162" s="65" t="s">
        <v>14</v>
      </c>
      <c r="I162" s="66" t="s">
        <v>12</v>
      </c>
      <c r="J162" s="67">
        <v>-114506.86</v>
      </c>
      <c r="K162" s="68">
        <v>0</v>
      </c>
      <c r="L162" s="67">
        <v>0</v>
      </c>
      <c r="M162" s="69">
        <v>0</v>
      </c>
      <c r="N162" s="70">
        <v>0</v>
      </c>
      <c r="O162" s="70">
        <v>10081.959999999999</v>
      </c>
      <c r="P162" s="70">
        <v>49630940.810000002</v>
      </c>
      <c r="Q162" s="70">
        <v>0</v>
      </c>
      <c r="R162" s="71">
        <v>392868099.75</v>
      </c>
      <c r="S162" s="70">
        <v>-0.04</v>
      </c>
      <c r="T162" s="70">
        <v>392868099.70999998</v>
      </c>
      <c r="U162" s="72" t="s">
        <v>0</v>
      </c>
    </row>
    <row r="163" spans="1:21" ht="14.45" customHeight="1">
      <c r="A163" s="64">
        <v>45702</v>
      </c>
      <c r="B163" s="64">
        <v>45694</v>
      </c>
      <c r="C163" s="64">
        <v>45694</v>
      </c>
      <c r="D163" s="65" t="s">
        <v>220</v>
      </c>
      <c r="E163" s="65" t="s">
        <v>221</v>
      </c>
      <c r="F163" s="65" t="s">
        <v>222</v>
      </c>
      <c r="G163" s="65" t="s">
        <v>66</v>
      </c>
      <c r="H163" s="65" t="s">
        <v>13</v>
      </c>
      <c r="I163" s="66" t="s">
        <v>12</v>
      </c>
      <c r="J163" s="67">
        <v>56212.4</v>
      </c>
      <c r="K163" s="68">
        <v>0</v>
      </c>
      <c r="L163" s="67">
        <v>0</v>
      </c>
      <c r="M163" s="69">
        <v>0</v>
      </c>
      <c r="N163" s="70">
        <v>0</v>
      </c>
      <c r="O163" s="70">
        <v>66294.36</v>
      </c>
      <c r="P163" s="70">
        <v>49630940.810000002</v>
      </c>
      <c r="Q163" s="70">
        <v>0</v>
      </c>
      <c r="R163" s="71">
        <v>392868099.75</v>
      </c>
      <c r="S163" s="70">
        <v>-0.04</v>
      </c>
      <c r="T163" s="70">
        <v>392868099.70999998</v>
      </c>
      <c r="U163" s="72" t="s">
        <v>0</v>
      </c>
    </row>
    <row r="164" spans="1:21" ht="14.45" customHeight="1">
      <c r="A164" s="64">
        <v>45702</v>
      </c>
      <c r="B164" s="64">
        <v>45673</v>
      </c>
      <c r="C164" s="64">
        <v>45658</v>
      </c>
      <c r="D164" s="65" t="s">
        <v>114</v>
      </c>
      <c r="E164" s="65" t="s">
        <v>251</v>
      </c>
      <c r="F164" s="65"/>
      <c r="G164" s="65" t="s">
        <v>76</v>
      </c>
      <c r="H164" s="65" t="s">
        <v>14</v>
      </c>
      <c r="I164" s="66" t="s">
        <v>12</v>
      </c>
      <c r="J164" s="67">
        <v>-3421249.49</v>
      </c>
      <c r="K164" s="68">
        <v>0.99</v>
      </c>
      <c r="L164" s="67">
        <v>3455807.57</v>
      </c>
      <c r="M164" s="69">
        <v>0</v>
      </c>
      <c r="N164" s="70">
        <v>0</v>
      </c>
      <c r="O164" s="70">
        <v>66294.36</v>
      </c>
      <c r="P164" s="70">
        <v>46209691.32</v>
      </c>
      <c r="Q164" s="70">
        <v>0</v>
      </c>
      <c r="R164" s="71">
        <v>396323907.31999999</v>
      </c>
      <c r="S164" s="70">
        <v>-0.04</v>
      </c>
      <c r="T164" s="70">
        <v>396323907.27999997</v>
      </c>
      <c r="U164" s="72" t="s">
        <v>0</v>
      </c>
    </row>
    <row r="165" spans="1:21" ht="14.45" customHeight="1">
      <c r="A165" s="64">
        <v>45702</v>
      </c>
      <c r="B165" s="64">
        <v>45685</v>
      </c>
      <c r="C165" s="64">
        <v>45646</v>
      </c>
      <c r="D165" s="65" t="s">
        <v>252</v>
      </c>
      <c r="E165" s="65" t="s">
        <v>253</v>
      </c>
      <c r="F165" s="65" t="s">
        <v>254</v>
      </c>
      <c r="G165" s="65" t="s">
        <v>76</v>
      </c>
      <c r="H165" s="65" t="s">
        <v>14</v>
      </c>
      <c r="I165" s="66" t="s">
        <v>12</v>
      </c>
      <c r="J165" s="67">
        <v>-2506186.23</v>
      </c>
      <c r="K165" s="68">
        <v>1</v>
      </c>
      <c r="L165" s="67">
        <v>2506186.23</v>
      </c>
      <c r="M165" s="69">
        <v>0</v>
      </c>
      <c r="N165" s="70">
        <v>0</v>
      </c>
      <c r="O165" s="70">
        <v>66294.36</v>
      </c>
      <c r="P165" s="70">
        <v>43703505.090000004</v>
      </c>
      <c r="Q165" s="70">
        <v>0</v>
      </c>
      <c r="R165" s="71">
        <v>398830093.55000001</v>
      </c>
      <c r="S165" s="70">
        <v>-0.04</v>
      </c>
      <c r="T165" s="70">
        <v>398830093.50999999</v>
      </c>
      <c r="U165" s="72" t="s">
        <v>0</v>
      </c>
    </row>
    <row r="166" spans="1:21" ht="14.45" customHeight="1">
      <c r="A166" s="64">
        <v>45702</v>
      </c>
      <c r="B166" s="64">
        <v>45684</v>
      </c>
      <c r="C166" s="64">
        <v>45646</v>
      </c>
      <c r="D166" s="65" t="s">
        <v>118</v>
      </c>
      <c r="E166" s="65" t="s">
        <v>255</v>
      </c>
      <c r="F166" s="65" t="s">
        <v>256</v>
      </c>
      <c r="G166" s="65" t="s">
        <v>76</v>
      </c>
      <c r="H166" s="65" t="s">
        <v>14</v>
      </c>
      <c r="I166" s="66" t="s">
        <v>12</v>
      </c>
      <c r="J166" s="67">
        <v>-3437902.3</v>
      </c>
      <c r="K166" s="68">
        <v>0.98499999999999999</v>
      </c>
      <c r="L166" s="67">
        <v>3490256.14</v>
      </c>
      <c r="M166" s="69">
        <v>0</v>
      </c>
      <c r="N166" s="70">
        <v>0</v>
      </c>
      <c r="O166" s="70">
        <v>66294.36</v>
      </c>
      <c r="P166" s="70">
        <v>40265602.789999999</v>
      </c>
      <c r="Q166" s="70">
        <v>0</v>
      </c>
      <c r="R166" s="71">
        <v>402320349.69</v>
      </c>
      <c r="S166" s="70">
        <v>-0.04</v>
      </c>
      <c r="T166" s="70">
        <v>402320349.64999998</v>
      </c>
      <c r="U166" s="72" t="s">
        <v>0</v>
      </c>
    </row>
    <row r="167" spans="1:21" ht="14.45" customHeight="1">
      <c r="A167" s="64">
        <v>45702</v>
      </c>
      <c r="B167" s="64">
        <v>45670</v>
      </c>
      <c r="C167" s="64">
        <v>45657</v>
      </c>
      <c r="D167" s="65" t="s">
        <v>150</v>
      </c>
      <c r="E167" s="65" t="s">
        <v>86</v>
      </c>
      <c r="F167" s="65" t="s">
        <v>151</v>
      </c>
      <c r="G167" s="65" t="s">
        <v>249</v>
      </c>
      <c r="H167" s="65" t="s">
        <v>14</v>
      </c>
      <c r="I167" s="66" t="s">
        <v>12</v>
      </c>
      <c r="J167" s="67">
        <v>3456315.79</v>
      </c>
      <c r="K167" s="68">
        <v>0.99</v>
      </c>
      <c r="L167" s="67">
        <v>-3491228.07</v>
      </c>
      <c r="M167" s="69">
        <v>0</v>
      </c>
      <c r="N167" s="70">
        <v>0</v>
      </c>
      <c r="O167" s="70">
        <v>66294.36</v>
      </c>
      <c r="P167" s="70">
        <v>43721918.579999998</v>
      </c>
      <c r="Q167" s="70">
        <v>0</v>
      </c>
      <c r="R167" s="71">
        <v>398829121.62</v>
      </c>
      <c r="S167" s="70">
        <v>-0.04</v>
      </c>
      <c r="T167" s="70">
        <v>398829121.57999998</v>
      </c>
      <c r="U167" s="72" t="s">
        <v>0</v>
      </c>
    </row>
    <row r="168" spans="1:21" ht="14.45" customHeight="1">
      <c r="A168" s="64">
        <v>45702</v>
      </c>
      <c r="B168" s="64">
        <v>45678</v>
      </c>
      <c r="C168" s="64">
        <v>45657</v>
      </c>
      <c r="D168" s="65" t="s">
        <v>169</v>
      </c>
      <c r="E168" s="65" t="s">
        <v>86</v>
      </c>
      <c r="F168" s="65" t="s">
        <v>170</v>
      </c>
      <c r="G168" s="65" t="s">
        <v>249</v>
      </c>
      <c r="H168" s="65" t="s">
        <v>14</v>
      </c>
      <c r="I168" s="66" t="s">
        <v>12</v>
      </c>
      <c r="J168" s="67">
        <v>5780423.5499999998</v>
      </c>
      <c r="K168" s="68">
        <v>0.98499999999999999</v>
      </c>
      <c r="L168" s="67">
        <v>-5868450.2999999998</v>
      </c>
      <c r="M168" s="69">
        <v>0</v>
      </c>
      <c r="N168" s="70">
        <v>0</v>
      </c>
      <c r="O168" s="70">
        <v>66294.36</v>
      </c>
      <c r="P168" s="70">
        <v>49502342.130000003</v>
      </c>
      <c r="Q168" s="70">
        <v>0</v>
      </c>
      <c r="R168" s="71">
        <v>392960671.31999999</v>
      </c>
      <c r="S168" s="70">
        <v>-0.04</v>
      </c>
      <c r="T168" s="70">
        <v>392960671.27999997</v>
      </c>
      <c r="U168" s="72" t="s">
        <v>0</v>
      </c>
    </row>
    <row r="169" spans="1:21" ht="14.45" customHeight="1">
      <c r="A169" s="64">
        <v>45702</v>
      </c>
      <c r="B169" s="64">
        <v>45678</v>
      </c>
      <c r="C169" s="64">
        <v>45658</v>
      </c>
      <c r="D169" s="65" t="s">
        <v>169</v>
      </c>
      <c r="E169" s="65" t="s">
        <v>83</v>
      </c>
      <c r="F169" s="65" t="s">
        <v>171</v>
      </c>
      <c r="G169" s="65" t="s">
        <v>249</v>
      </c>
      <c r="H169" s="65" t="s">
        <v>14</v>
      </c>
      <c r="I169" s="66" t="s">
        <v>12</v>
      </c>
      <c r="J169" s="67">
        <v>114635.59</v>
      </c>
      <c r="K169" s="68">
        <v>0.98499999999999999</v>
      </c>
      <c r="L169" s="67">
        <v>-116381.31</v>
      </c>
      <c r="M169" s="69">
        <v>0</v>
      </c>
      <c r="N169" s="70">
        <v>0</v>
      </c>
      <c r="O169" s="70">
        <v>66294.36</v>
      </c>
      <c r="P169" s="70">
        <v>49616977.719999999</v>
      </c>
      <c r="Q169" s="70">
        <v>0</v>
      </c>
      <c r="R169" s="71">
        <v>392844290.00999999</v>
      </c>
      <c r="S169" s="70">
        <v>-0.04</v>
      </c>
      <c r="T169" s="70">
        <v>392844289.97000003</v>
      </c>
      <c r="U169" s="72" t="s">
        <v>0</v>
      </c>
    </row>
    <row r="170" spans="1:21" ht="14.45" customHeight="1">
      <c r="A170" s="64">
        <v>45702</v>
      </c>
      <c r="B170" s="64">
        <v>45679</v>
      </c>
      <c r="C170" s="64">
        <v>45657</v>
      </c>
      <c r="D170" s="65" t="s">
        <v>152</v>
      </c>
      <c r="E170" s="65" t="s">
        <v>65</v>
      </c>
      <c r="F170" s="65" t="s">
        <v>153</v>
      </c>
      <c r="G170" s="65" t="s">
        <v>249</v>
      </c>
      <c r="H170" s="65" t="s">
        <v>14</v>
      </c>
      <c r="I170" s="66" t="s">
        <v>12</v>
      </c>
      <c r="J170" s="67">
        <v>2970000</v>
      </c>
      <c r="K170" s="68">
        <v>0.99</v>
      </c>
      <c r="L170" s="67">
        <v>-3000000</v>
      </c>
      <c r="M170" s="69">
        <v>0</v>
      </c>
      <c r="N170" s="70">
        <v>0</v>
      </c>
      <c r="O170" s="70">
        <v>66294.36</v>
      </c>
      <c r="P170" s="70">
        <v>52586977.719999999</v>
      </c>
      <c r="Q170" s="70">
        <v>0</v>
      </c>
      <c r="R170" s="71">
        <v>389844290.00999999</v>
      </c>
      <c r="S170" s="70">
        <v>-0.04</v>
      </c>
      <c r="T170" s="70">
        <v>389844289.97000003</v>
      </c>
      <c r="U170" s="72" t="s">
        <v>0</v>
      </c>
    </row>
    <row r="171" spans="1:21" ht="14.45" customHeight="1">
      <c r="A171" s="64">
        <v>45702</v>
      </c>
      <c r="B171" s="64">
        <v>45670</v>
      </c>
      <c r="C171" s="64">
        <v>45664</v>
      </c>
      <c r="D171" s="65" t="s">
        <v>257</v>
      </c>
      <c r="E171" s="65" t="s">
        <v>86</v>
      </c>
      <c r="F171" s="65" t="s">
        <v>258</v>
      </c>
      <c r="G171" s="65" t="s">
        <v>76</v>
      </c>
      <c r="H171" s="65" t="s">
        <v>14</v>
      </c>
      <c r="I171" s="66" t="s">
        <v>12</v>
      </c>
      <c r="J171" s="67">
        <v>-11889000</v>
      </c>
      <c r="K171" s="68">
        <v>0.99080000000000001</v>
      </c>
      <c r="L171" s="67">
        <v>12000000</v>
      </c>
      <c r="M171" s="69">
        <v>0</v>
      </c>
      <c r="N171" s="70">
        <v>0</v>
      </c>
      <c r="O171" s="70">
        <v>66294.36</v>
      </c>
      <c r="P171" s="70">
        <v>40697977.719999999</v>
      </c>
      <c r="Q171" s="70">
        <v>0</v>
      </c>
      <c r="R171" s="71">
        <v>401844290.00999999</v>
      </c>
      <c r="S171" s="70">
        <v>-0.04</v>
      </c>
      <c r="T171" s="70">
        <v>401844289.97000003</v>
      </c>
      <c r="U171" s="72" t="s">
        <v>0</v>
      </c>
    </row>
    <row r="172" spans="1:21" ht="14.45" customHeight="1">
      <c r="A172" s="64">
        <v>45702</v>
      </c>
      <c r="B172" s="64">
        <v>45671</v>
      </c>
      <c r="C172" s="64">
        <v>45667</v>
      </c>
      <c r="D172" s="65" t="s">
        <v>257</v>
      </c>
      <c r="E172" s="65" t="s">
        <v>86</v>
      </c>
      <c r="F172" s="65" t="s">
        <v>258</v>
      </c>
      <c r="G172" s="65" t="s">
        <v>249</v>
      </c>
      <c r="H172" s="65" t="s">
        <v>14</v>
      </c>
      <c r="I172" s="66" t="s">
        <v>12</v>
      </c>
      <c r="J172" s="67">
        <v>5944500</v>
      </c>
      <c r="K172" s="68">
        <v>0.99080000000000001</v>
      </c>
      <c r="L172" s="67">
        <v>-6000000</v>
      </c>
      <c r="M172" s="69">
        <v>0</v>
      </c>
      <c r="N172" s="70">
        <v>0</v>
      </c>
      <c r="O172" s="70">
        <v>66294.36</v>
      </c>
      <c r="P172" s="70">
        <v>46642477.719999999</v>
      </c>
      <c r="Q172" s="70">
        <v>0</v>
      </c>
      <c r="R172" s="71">
        <v>395844290.00999999</v>
      </c>
      <c r="S172" s="70">
        <v>-0.04</v>
      </c>
      <c r="T172" s="70">
        <v>395844289.97000003</v>
      </c>
      <c r="U172" s="72" t="s">
        <v>0</v>
      </c>
    </row>
    <row r="173" spans="1:21" ht="14.45" customHeight="1">
      <c r="A173" s="64">
        <v>45702</v>
      </c>
      <c r="B173" s="64">
        <v>45684</v>
      </c>
      <c r="C173" s="64">
        <v>45674</v>
      </c>
      <c r="D173" s="65" t="s">
        <v>259</v>
      </c>
      <c r="E173" s="65" t="s">
        <v>260</v>
      </c>
      <c r="F173" s="65" t="s">
        <v>261</v>
      </c>
      <c r="G173" s="65" t="s">
        <v>76</v>
      </c>
      <c r="H173" s="65" t="s">
        <v>14</v>
      </c>
      <c r="I173" s="66" t="s">
        <v>12</v>
      </c>
      <c r="J173" s="67">
        <v>-18917247.550000001</v>
      </c>
      <c r="K173" s="68">
        <v>0.99199999999999999</v>
      </c>
      <c r="L173" s="67">
        <v>19069806</v>
      </c>
      <c r="M173" s="69">
        <v>0</v>
      </c>
      <c r="N173" s="70">
        <v>0</v>
      </c>
      <c r="O173" s="70">
        <v>66294.36</v>
      </c>
      <c r="P173" s="70">
        <v>27725230.170000002</v>
      </c>
      <c r="Q173" s="70">
        <v>0</v>
      </c>
      <c r="R173" s="71">
        <v>414914096.00999999</v>
      </c>
      <c r="S173" s="70">
        <v>-0.04</v>
      </c>
      <c r="T173" s="70">
        <v>414914095.97000003</v>
      </c>
      <c r="U173" s="72" t="s">
        <v>0</v>
      </c>
    </row>
    <row r="174" spans="1:21" ht="14.45" customHeight="1">
      <c r="A174" s="64">
        <v>45702</v>
      </c>
      <c r="B174" s="64">
        <v>45684</v>
      </c>
      <c r="C174" s="64">
        <v>45679</v>
      </c>
      <c r="D174" s="65" t="s">
        <v>262</v>
      </c>
      <c r="E174" s="65" t="s">
        <v>86</v>
      </c>
      <c r="F174" s="65" t="s">
        <v>275</v>
      </c>
      <c r="G174" s="65" t="s">
        <v>76</v>
      </c>
      <c r="H174" s="65" t="s">
        <v>14</v>
      </c>
      <c r="I174" s="66" t="s">
        <v>12</v>
      </c>
      <c r="J174" s="67">
        <v>-19715000</v>
      </c>
      <c r="K174" s="68">
        <v>0.98580000000000001</v>
      </c>
      <c r="L174" s="67">
        <v>20000000</v>
      </c>
      <c r="M174" s="69">
        <v>0</v>
      </c>
      <c r="N174" s="70">
        <v>0</v>
      </c>
      <c r="O174" s="70">
        <v>66294.36</v>
      </c>
      <c r="P174" s="70">
        <v>8010230.1699999999</v>
      </c>
      <c r="Q174" s="70">
        <v>0</v>
      </c>
      <c r="R174" s="71">
        <v>434914096.00999999</v>
      </c>
      <c r="S174" s="70">
        <v>-0.04</v>
      </c>
      <c r="T174" s="70">
        <v>434914095.97000003</v>
      </c>
      <c r="U174" s="72" t="s">
        <v>0</v>
      </c>
    </row>
    <row r="175" spans="1:21" ht="14.45" customHeight="1">
      <c r="A175" s="64">
        <v>45702</v>
      </c>
      <c r="B175" s="64">
        <v>45670</v>
      </c>
      <c r="C175" s="64">
        <v>45646</v>
      </c>
      <c r="D175" s="65" t="s">
        <v>263</v>
      </c>
      <c r="E175" s="65" t="s">
        <v>264</v>
      </c>
      <c r="F175" s="65"/>
      <c r="G175" s="65" t="s">
        <v>76</v>
      </c>
      <c r="H175" s="65" t="s">
        <v>14</v>
      </c>
      <c r="I175" s="66" t="s">
        <v>12</v>
      </c>
      <c r="J175" s="67">
        <v>-1277253.94</v>
      </c>
      <c r="K175" s="68">
        <v>0.998</v>
      </c>
      <c r="L175" s="67">
        <v>1279813.57</v>
      </c>
      <c r="M175" s="69">
        <v>0</v>
      </c>
      <c r="N175" s="70">
        <v>0</v>
      </c>
      <c r="O175" s="70">
        <v>66294.36</v>
      </c>
      <c r="P175" s="70">
        <v>6732976.2300000004</v>
      </c>
      <c r="Q175" s="70">
        <v>0</v>
      </c>
      <c r="R175" s="71">
        <v>436193909.57999998</v>
      </c>
      <c r="S175" s="70">
        <v>-0.04</v>
      </c>
      <c r="T175" s="70">
        <v>436193909.54000002</v>
      </c>
      <c r="U175" s="72" t="s">
        <v>0</v>
      </c>
    </row>
    <row r="176" spans="1:21" ht="14.45" customHeight="1">
      <c r="A176" s="64">
        <v>45702</v>
      </c>
      <c r="B176" s="64">
        <v>45670</v>
      </c>
      <c r="C176" s="64">
        <v>45657</v>
      </c>
      <c r="D176" s="65" t="s">
        <v>85</v>
      </c>
      <c r="E176" s="65" t="s">
        <v>89</v>
      </c>
      <c r="F176" s="65" t="s">
        <v>90</v>
      </c>
      <c r="G176" s="65" t="s">
        <v>249</v>
      </c>
      <c r="H176" s="65" t="s">
        <v>14</v>
      </c>
      <c r="I176" s="66" t="s">
        <v>12</v>
      </c>
      <c r="J176" s="67">
        <v>2353508.31</v>
      </c>
      <c r="K176" s="68">
        <v>0.99</v>
      </c>
      <c r="L176" s="67">
        <v>-2377281.12</v>
      </c>
      <c r="M176" s="69">
        <v>0</v>
      </c>
      <c r="N176" s="70">
        <v>0</v>
      </c>
      <c r="O176" s="70">
        <v>66294.36</v>
      </c>
      <c r="P176" s="70">
        <v>9086484.5399999991</v>
      </c>
      <c r="Q176" s="70">
        <v>0</v>
      </c>
      <c r="R176" s="71">
        <v>433816628.45999998</v>
      </c>
      <c r="S176" s="70">
        <v>-0.04</v>
      </c>
      <c r="T176" s="70">
        <v>433816628.42000002</v>
      </c>
      <c r="U176" s="72" t="s">
        <v>0</v>
      </c>
    </row>
    <row r="177" spans="1:21" ht="14.45" customHeight="1">
      <c r="A177" s="64">
        <v>45702</v>
      </c>
      <c r="B177" s="64">
        <v>45670</v>
      </c>
      <c r="C177" s="64">
        <v>45658</v>
      </c>
      <c r="D177" s="65" t="s">
        <v>85</v>
      </c>
      <c r="E177" s="65" t="s">
        <v>86</v>
      </c>
      <c r="F177" s="65"/>
      <c r="G177" s="65" t="s">
        <v>249</v>
      </c>
      <c r="H177" s="65" t="s">
        <v>14</v>
      </c>
      <c r="I177" s="66" t="s">
        <v>12</v>
      </c>
      <c r="J177" s="67">
        <v>3577322.22</v>
      </c>
      <c r="K177" s="68">
        <v>0.99</v>
      </c>
      <c r="L177" s="67">
        <v>-3613456.79</v>
      </c>
      <c r="M177" s="69">
        <v>0</v>
      </c>
      <c r="N177" s="70">
        <v>0</v>
      </c>
      <c r="O177" s="70">
        <v>66294.36</v>
      </c>
      <c r="P177" s="70">
        <v>12663806.76</v>
      </c>
      <c r="Q177" s="70">
        <v>0</v>
      </c>
      <c r="R177" s="71">
        <v>430203171.67000002</v>
      </c>
      <c r="S177" s="70">
        <v>-0.04</v>
      </c>
      <c r="T177" s="70">
        <v>430203171.63</v>
      </c>
      <c r="U177" s="72" t="s">
        <v>0</v>
      </c>
    </row>
    <row r="178" spans="1:21" ht="14.45" customHeight="1">
      <c r="A178" s="64">
        <v>45702</v>
      </c>
      <c r="B178" s="64">
        <v>45680</v>
      </c>
      <c r="C178" s="64">
        <v>45657</v>
      </c>
      <c r="D178" s="65" t="s">
        <v>91</v>
      </c>
      <c r="E178" s="65" t="s">
        <v>214</v>
      </c>
      <c r="F178" s="65" t="s">
        <v>215</v>
      </c>
      <c r="G178" s="65" t="s">
        <v>249</v>
      </c>
      <c r="H178" s="65" t="s">
        <v>14</v>
      </c>
      <c r="I178" s="66" t="s">
        <v>12</v>
      </c>
      <c r="J178" s="67">
        <v>3559437.13</v>
      </c>
      <c r="K178" s="68">
        <v>0.9829</v>
      </c>
      <c r="L178" s="67">
        <v>-3621362.43</v>
      </c>
      <c r="M178" s="69">
        <v>0</v>
      </c>
      <c r="N178" s="70">
        <v>0</v>
      </c>
      <c r="O178" s="70">
        <v>66294.36</v>
      </c>
      <c r="P178" s="70">
        <v>16223243.890000001</v>
      </c>
      <c r="Q178" s="70">
        <v>0</v>
      </c>
      <c r="R178" s="71">
        <v>426581809.24000001</v>
      </c>
      <c r="S178" s="70">
        <v>-0.04</v>
      </c>
      <c r="T178" s="70">
        <v>426581809.19999999</v>
      </c>
      <c r="U178" s="72" t="s">
        <v>0</v>
      </c>
    </row>
    <row r="179" spans="1:21" ht="14.45" customHeight="1">
      <c r="A179" s="64">
        <v>45702</v>
      </c>
      <c r="B179" s="64">
        <v>45680</v>
      </c>
      <c r="C179" s="64">
        <v>45657</v>
      </c>
      <c r="D179" s="65" t="s">
        <v>91</v>
      </c>
      <c r="E179" s="65" t="s">
        <v>230</v>
      </c>
      <c r="F179" s="65" t="s">
        <v>231</v>
      </c>
      <c r="G179" s="65" t="s">
        <v>249</v>
      </c>
      <c r="H179" s="65" t="s">
        <v>14</v>
      </c>
      <c r="I179" s="66" t="s">
        <v>12</v>
      </c>
      <c r="J179" s="67">
        <v>370151.5</v>
      </c>
      <c r="K179" s="68">
        <v>0.9829</v>
      </c>
      <c r="L179" s="67">
        <v>-376591.21</v>
      </c>
      <c r="M179" s="69">
        <v>0</v>
      </c>
      <c r="N179" s="70">
        <v>0</v>
      </c>
      <c r="O179" s="70">
        <v>66294.36</v>
      </c>
      <c r="P179" s="70">
        <v>16593395.390000001</v>
      </c>
      <c r="Q179" s="70">
        <v>0</v>
      </c>
      <c r="R179" s="71">
        <v>426205218.02999997</v>
      </c>
      <c r="S179" s="70">
        <v>-0.04</v>
      </c>
      <c r="T179" s="70">
        <v>426205217.99000001</v>
      </c>
      <c r="U179" s="72" t="s">
        <v>0</v>
      </c>
    </row>
    <row r="180" spans="1:21" ht="14.45" customHeight="1">
      <c r="A180" s="64">
        <v>45702</v>
      </c>
      <c r="B180" s="64">
        <v>45680</v>
      </c>
      <c r="C180" s="64">
        <v>45658</v>
      </c>
      <c r="D180" s="65" t="s">
        <v>91</v>
      </c>
      <c r="E180" s="65" t="s">
        <v>232</v>
      </c>
      <c r="F180" s="65"/>
      <c r="G180" s="65" t="s">
        <v>249</v>
      </c>
      <c r="H180" s="65" t="s">
        <v>14</v>
      </c>
      <c r="I180" s="66" t="s">
        <v>12</v>
      </c>
      <c r="J180" s="67">
        <v>1829150.22</v>
      </c>
      <c r="K180" s="68">
        <v>0.9829</v>
      </c>
      <c r="L180" s="67">
        <v>-1860972.86</v>
      </c>
      <c r="M180" s="69">
        <v>0</v>
      </c>
      <c r="N180" s="70">
        <v>0</v>
      </c>
      <c r="O180" s="70">
        <v>66294.36</v>
      </c>
      <c r="P180" s="70">
        <v>18422545.609999999</v>
      </c>
      <c r="Q180" s="70">
        <v>0</v>
      </c>
      <c r="R180" s="71">
        <v>424344245.17000002</v>
      </c>
      <c r="S180" s="70">
        <v>-0.04</v>
      </c>
      <c r="T180" s="70">
        <v>424344245.13</v>
      </c>
      <c r="U180" s="72" t="s">
        <v>0</v>
      </c>
    </row>
    <row r="181" spans="1:21" ht="14.45" customHeight="1">
      <c r="A181" s="64">
        <v>45702</v>
      </c>
      <c r="B181" s="64">
        <v>45667</v>
      </c>
      <c r="C181" s="64">
        <v>45658</v>
      </c>
      <c r="D181" s="65" t="s">
        <v>265</v>
      </c>
      <c r="E181" s="65" t="s">
        <v>266</v>
      </c>
      <c r="F181" s="65" t="s">
        <v>267</v>
      </c>
      <c r="G181" s="65" t="s">
        <v>76</v>
      </c>
      <c r="H181" s="65" t="s">
        <v>14</v>
      </c>
      <c r="I181" s="66" t="s">
        <v>12</v>
      </c>
      <c r="J181" s="67">
        <v>-1457321.62</v>
      </c>
      <c r="K181" s="68">
        <v>0.995</v>
      </c>
      <c r="L181" s="67">
        <v>1464644.84</v>
      </c>
      <c r="M181" s="69">
        <v>0</v>
      </c>
      <c r="N181" s="70">
        <v>0</v>
      </c>
      <c r="O181" s="70">
        <v>66294.36</v>
      </c>
      <c r="P181" s="70">
        <v>16965223.989999998</v>
      </c>
      <c r="Q181" s="70">
        <v>0</v>
      </c>
      <c r="R181" s="71">
        <v>425808890.00999999</v>
      </c>
      <c r="S181" s="70">
        <v>-0.04</v>
      </c>
      <c r="T181" s="70">
        <v>425808889.97000003</v>
      </c>
      <c r="U181" s="72" t="s">
        <v>0</v>
      </c>
    </row>
    <row r="182" spans="1:21" ht="14.45" customHeight="1">
      <c r="A182" s="64">
        <v>45702</v>
      </c>
      <c r="B182" s="64">
        <v>45673</v>
      </c>
      <c r="C182" s="64">
        <v>45673</v>
      </c>
      <c r="D182" s="65" t="s">
        <v>164</v>
      </c>
      <c r="E182" s="65" t="s">
        <v>165</v>
      </c>
      <c r="F182" s="65" t="s">
        <v>166</v>
      </c>
      <c r="G182" s="65" t="s">
        <v>76</v>
      </c>
      <c r="H182" s="65" t="s">
        <v>14</v>
      </c>
      <c r="I182" s="66" t="s">
        <v>12</v>
      </c>
      <c r="J182" s="67">
        <v>-74929.81</v>
      </c>
      <c r="K182" s="68">
        <v>0.99</v>
      </c>
      <c r="L182" s="67">
        <v>75686.679999999993</v>
      </c>
      <c r="M182" s="69">
        <v>0</v>
      </c>
      <c r="N182" s="70">
        <v>0</v>
      </c>
      <c r="O182" s="70">
        <v>66294.36</v>
      </c>
      <c r="P182" s="70">
        <v>16890294.18</v>
      </c>
      <c r="Q182" s="70">
        <v>0</v>
      </c>
      <c r="R182" s="71">
        <v>425884576.69</v>
      </c>
      <c r="S182" s="70">
        <v>-0.04</v>
      </c>
      <c r="T182" s="70">
        <v>425884576.64999998</v>
      </c>
      <c r="U182" s="72" t="s">
        <v>0</v>
      </c>
    </row>
    <row r="183" spans="1:21" ht="14.45" customHeight="1">
      <c r="A183" s="64">
        <v>45702</v>
      </c>
      <c r="B183" s="64">
        <v>45693</v>
      </c>
      <c r="C183" s="64">
        <v>45693</v>
      </c>
      <c r="D183" s="65" t="s">
        <v>131</v>
      </c>
      <c r="E183" s="65" t="s">
        <v>132</v>
      </c>
      <c r="F183" s="65" t="s">
        <v>133</v>
      </c>
      <c r="G183" s="65" t="s">
        <v>71</v>
      </c>
      <c r="H183" s="65" t="s">
        <v>14</v>
      </c>
      <c r="I183" s="66" t="s">
        <v>12</v>
      </c>
      <c r="J183" s="67">
        <v>712687.98</v>
      </c>
      <c r="K183" s="68">
        <v>1</v>
      </c>
      <c r="L183" s="67">
        <v>-712687.98</v>
      </c>
      <c r="M183" s="69">
        <v>0</v>
      </c>
      <c r="N183" s="70">
        <v>0</v>
      </c>
      <c r="O183" s="70">
        <v>66294.36</v>
      </c>
      <c r="P183" s="70">
        <v>17602982.16</v>
      </c>
      <c r="Q183" s="70">
        <v>0</v>
      </c>
      <c r="R183" s="71">
        <v>425171888.70999998</v>
      </c>
      <c r="S183" s="70">
        <v>-0.04</v>
      </c>
      <c r="T183" s="70">
        <v>425171888.67000002</v>
      </c>
      <c r="U183" s="72" t="s">
        <v>0</v>
      </c>
    </row>
    <row r="184" spans="1:21" ht="14.45" customHeight="1">
      <c r="A184" s="64">
        <v>45702</v>
      </c>
      <c r="B184" s="64">
        <v>45695</v>
      </c>
      <c r="C184" s="64">
        <v>45695</v>
      </c>
      <c r="D184" s="65" t="s">
        <v>183</v>
      </c>
      <c r="E184" s="65" t="s">
        <v>184</v>
      </c>
      <c r="F184" s="65" t="s">
        <v>185</v>
      </c>
      <c r="G184" s="65" t="s">
        <v>71</v>
      </c>
      <c r="H184" s="65" t="s">
        <v>14</v>
      </c>
      <c r="I184" s="66" t="s">
        <v>12</v>
      </c>
      <c r="J184" s="67">
        <v>3438910.58</v>
      </c>
      <c r="K184" s="68">
        <v>1</v>
      </c>
      <c r="L184" s="67">
        <v>-3438910.58</v>
      </c>
      <c r="M184" s="69">
        <v>0</v>
      </c>
      <c r="N184" s="70">
        <v>0</v>
      </c>
      <c r="O184" s="70">
        <v>66294.36</v>
      </c>
      <c r="P184" s="70">
        <v>21041892.739999998</v>
      </c>
      <c r="Q184" s="70">
        <v>0</v>
      </c>
      <c r="R184" s="71">
        <v>421732978.13</v>
      </c>
      <c r="S184" s="70">
        <v>-0.04</v>
      </c>
      <c r="T184" s="70">
        <v>421732978.08999997</v>
      </c>
      <c r="U184" s="72" t="s">
        <v>0</v>
      </c>
    </row>
    <row r="185" spans="1:21" ht="14.45" customHeight="1">
      <c r="A185" s="64">
        <v>45702</v>
      </c>
      <c r="B185" s="64">
        <v>45695</v>
      </c>
      <c r="C185" s="64">
        <v>45695</v>
      </c>
      <c r="D185" s="65" t="s">
        <v>183</v>
      </c>
      <c r="E185" s="65" t="s">
        <v>184</v>
      </c>
      <c r="F185" s="65" t="s">
        <v>185</v>
      </c>
      <c r="G185" s="65" t="s">
        <v>66</v>
      </c>
      <c r="H185" s="65" t="s">
        <v>13</v>
      </c>
      <c r="I185" s="66" t="s">
        <v>12</v>
      </c>
      <c r="J185" s="67">
        <v>37552.67</v>
      </c>
      <c r="K185" s="68">
        <v>0</v>
      </c>
      <c r="L185" s="67">
        <v>0</v>
      </c>
      <c r="M185" s="69">
        <v>0</v>
      </c>
      <c r="N185" s="70">
        <v>0</v>
      </c>
      <c r="O185" s="70">
        <v>103847.03</v>
      </c>
      <c r="P185" s="70">
        <v>21041892.739999998</v>
      </c>
      <c r="Q185" s="70">
        <v>0</v>
      </c>
      <c r="R185" s="71">
        <v>421732978.13</v>
      </c>
      <c r="S185" s="70">
        <v>-0.04</v>
      </c>
      <c r="T185" s="70">
        <v>421732978.08999997</v>
      </c>
      <c r="U185" s="72" t="s">
        <v>0</v>
      </c>
    </row>
    <row r="186" spans="1:21" ht="14.45" customHeight="1">
      <c r="A186" s="64">
        <v>45702</v>
      </c>
      <c r="B186" s="64">
        <v>45695</v>
      </c>
      <c r="C186" s="64">
        <v>45695</v>
      </c>
      <c r="D186" s="65" t="s">
        <v>183</v>
      </c>
      <c r="E186" s="65" t="s">
        <v>184</v>
      </c>
      <c r="F186" s="65" t="s">
        <v>185</v>
      </c>
      <c r="G186" s="65" t="s">
        <v>280</v>
      </c>
      <c r="H186" s="65" t="s">
        <v>13</v>
      </c>
      <c r="I186" s="66" t="s">
        <v>12</v>
      </c>
      <c r="J186" s="67">
        <v>34389.11</v>
      </c>
      <c r="K186" s="68">
        <v>0</v>
      </c>
      <c r="L186" s="67">
        <v>0</v>
      </c>
      <c r="M186" s="69">
        <v>0</v>
      </c>
      <c r="N186" s="70">
        <v>0</v>
      </c>
      <c r="O186" s="70">
        <v>138236.14000000001</v>
      </c>
      <c r="P186" s="70">
        <v>21041892.739999998</v>
      </c>
      <c r="Q186" s="70">
        <v>0</v>
      </c>
      <c r="R186" s="71">
        <v>421732978.13</v>
      </c>
      <c r="S186" s="70">
        <v>-0.04</v>
      </c>
      <c r="T186" s="70">
        <v>421732978.08999997</v>
      </c>
      <c r="U186" s="72" t="s">
        <v>0</v>
      </c>
    </row>
    <row r="187" spans="1:21" ht="14.45" customHeight="1">
      <c r="A187" s="64">
        <v>45702</v>
      </c>
      <c r="B187" s="64">
        <v>45695</v>
      </c>
      <c r="C187" s="64">
        <v>45695</v>
      </c>
      <c r="D187" s="65" t="s">
        <v>183</v>
      </c>
      <c r="E187" s="65" t="s">
        <v>186</v>
      </c>
      <c r="F187" s="65" t="s">
        <v>187</v>
      </c>
      <c r="G187" s="65" t="s">
        <v>71</v>
      </c>
      <c r="H187" s="65" t="s">
        <v>14</v>
      </c>
      <c r="I187" s="66" t="s">
        <v>12</v>
      </c>
      <c r="J187" s="67">
        <v>235093.99</v>
      </c>
      <c r="K187" s="68">
        <v>1</v>
      </c>
      <c r="L187" s="67">
        <v>-235093.99</v>
      </c>
      <c r="M187" s="69">
        <v>0</v>
      </c>
      <c r="N187" s="70">
        <v>0</v>
      </c>
      <c r="O187" s="70">
        <v>138236.14000000001</v>
      </c>
      <c r="P187" s="70">
        <v>21276986.73</v>
      </c>
      <c r="Q187" s="70">
        <v>0</v>
      </c>
      <c r="R187" s="71">
        <v>421497884.13999999</v>
      </c>
      <c r="S187" s="70">
        <v>-0.04</v>
      </c>
      <c r="T187" s="70">
        <v>421497884.10000002</v>
      </c>
      <c r="U187" s="72" t="s">
        <v>0</v>
      </c>
    </row>
    <row r="188" spans="1:21" ht="14.45" customHeight="1">
      <c r="A188" s="64">
        <v>45702</v>
      </c>
      <c r="B188" s="64">
        <v>45695</v>
      </c>
      <c r="C188" s="64">
        <v>45695</v>
      </c>
      <c r="D188" s="65" t="s">
        <v>183</v>
      </c>
      <c r="E188" s="65" t="s">
        <v>186</v>
      </c>
      <c r="F188" s="65" t="s">
        <v>187</v>
      </c>
      <c r="G188" s="65" t="s">
        <v>66</v>
      </c>
      <c r="H188" s="65" t="s">
        <v>13</v>
      </c>
      <c r="I188" s="66" t="s">
        <v>12</v>
      </c>
      <c r="J188" s="67">
        <v>2567.21</v>
      </c>
      <c r="K188" s="68">
        <v>0</v>
      </c>
      <c r="L188" s="67">
        <v>0</v>
      </c>
      <c r="M188" s="69">
        <v>0</v>
      </c>
      <c r="N188" s="70">
        <v>0</v>
      </c>
      <c r="O188" s="70">
        <v>140803.35</v>
      </c>
      <c r="P188" s="70">
        <v>21276986.73</v>
      </c>
      <c r="Q188" s="70">
        <v>0</v>
      </c>
      <c r="R188" s="71">
        <v>421497884.13999999</v>
      </c>
      <c r="S188" s="70">
        <v>-0.04</v>
      </c>
      <c r="T188" s="70">
        <v>421497884.10000002</v>
      </c>
      <c r="U188" s="72" t="s">
        <v>0</v>
      </c>
    </row>
    <row r="189" spans="1:21" ht="14.45" customHeight="1">
      <c r="A189" s="64">
        <v>45702</v>
      </c>
      <c r="B189" s="64">
        <v>45695</v>
      </c>
      <c r="C189" s="64">
        <v>45695</v>
      </c>
      <c r="D189" s="65" t="s">
        <v>183</v>
      </c>
      <c r="E189" s="65" t="s">
        <v>186</v>
      </c>
      <c r="F189" s="65" t="s">
        <v>187</v>
      </c>
      <c r="G189" s="65" t="s">
        <v>280</v>
      </c>
      <c r="H189" s="65" t="s">
        <v>13</v>
      </c>
      <c r="I189" s="66" t="s">
        <v>12</v>
      </c>
      <c r="J189" s="67">
        <v>2350.94</v>
      </c>
      <c r="K189" s="68">
        <v>0</v>
      </c>
      <c r="L189" s="67">
        <v>0</v>
      </c>
      <c r="M189" s="69">
        <v>0</v>
      </c>
      <c r="N189" s="70">
        <v>0</v>
      </c>
      <c r="O189" s="70">
        <v>143154.29</v>
      </c>
      <c r="P189" s="70">
        <v>21276986.73</v>
      </c>
      <c r="Q189" s="70">
        <v>0</v>
      </c>
      <c r="R189" s="71">
        <v>421497884.13999999</v>
      </c>
      <c r="S189" s="70">
        <v>-0.04</v>
      </c>
      <c r="T189" s="70">
        <v>421497884.10000002</v>
      </c>
      <c r="U189" s="72" t="s">
        <v>0</v>
      </c>
    </row>
    <row r="190" spans="1:21" ht="14.45" customHeight="1">
      <c r="A190" s="64">
        <v>45702</v>
      </c>
      <c r="B190" s="64">
        <v>45695</v>
      </c>
      <c r="C190" s="64">
        <v>45695</v>
      </c>
      <c r="D190" s="65" t="s">
        <v>183</v>
      </c>
      <c r="E190" s="65" t="s">
        <v>184</v>
      </c>
      <c r="F190" s="65" t="s">
        <v>185</v>
      </c>
      <c r="G190" s="65" t="s">
        <v>281</v>
      </c>
      <c r="H190" s="65" t="s">
        <v>13</v>
      </c>
      <c r="I190" s="66" t="s">
        <v>12</v>
      </c>
      <c r="J190" s="67">
        <v>988.22</v>
      </c>
      <c r="K190" s="68">
        <v>0</v>
      </c>
      <c r="L190" s="67">
        <v>0</v>
      </c>
      <c r="M190" s="69">
        <v>0</v>
      </c>
      <c r="N190" s="70">
        <v>0</v>
      </c>
      <c r="O190" s="70">
        <v>144142.51</v>
      </c>
      <c r="P190" s="70">
        <v>21276986.73</v>
      </c>
      <c r="Q190" s="70">
        <v>0</v>
      </c>
      <c r="R190" s="71">
        <v>421497884.13999999</v>
      </c>
      <c r="S190" s="70">
        <v>-0.04</v>
      </c>
      <c r="T190" s="70">
        <v>421497884.10000002</v>
      </c>
      <c r="U190" s="72" t="s">
        <v>0</v>
      </c>
    </row>
    <row r="191" spans="1:21" ht="14.45" customHeight="1">
      <c r="A191" s="64">
        <v>45702</v>
      </c>
      <c r="B191" s="64">
        <v>45695</v>
      </c>
      <c r="C191" s="64">
        <v>45695</v>
      </c>
      <c r="D191" s="65" t="s">
        <v>183</v>
      </c>
      <c r="E191" s="65" t="s">
        <v>186</v>
      </c>
      <c r="F191" s="65" t="s">
        <v>187</v>
      </c>
      <c r="G191" s="65" t="s">
        <v>281</v>
      </c>
      <c r="H191" s="65" t="s">
        <v>13</v>
      </c>
      <c r="I191" s="66" t="s">
        <v>12</v>
      </c>
      <c r="J191" s="67">
        <v>67.56</v>
      </c>
      <c r="K191" s="68">
        <v>0</v>
      </c>
      <c r="L191" s="67">
        <v>0</v>
      </c>
      <c r="M191" s="69">
        <v>0</v>
      </c>
      <c r="N191" s="70">
        <v>0</v>
      </c>
      <c r="O191" s="70">
        <v>144210.07</v>
      </c>
      <c r="P191" s="70">
        <v>21276986.73</v>
      </c>
      <c r="Q191" s="70">
        <v>0</v>
      </c>
      <c r="R191" s="71">
        <v>421497884.13999999</v>
      </c>
      <c r="S191" s="70">
        <v>-0.04</v>
      </c>
      <c r="T191" s="70">
        <v>421497884.10000002</v>
      </c>
      <c r="U191" s="72" t="s">
        <v>0</v>
      </c>
    </row>
    <row r="192" spans="1:21" ht="14.45" customHeight="1">
      <c r="A192" s="64">
        <v>45702</v>
      </c>
      <c r="B192" s="64">
        <v>45695</v>
      </c>
      <c r="C192" s="64">
        <v>45695</v>
      </c>
      <c r="D192" s="65" t="s">
        <v>183</v>
      </c>
      <c r="E192" s="65" t="s">
        <v>65</v>
      </c>
      <c r="F192" s="65" t="s">
        <v>190</v>
      </c>
      <c r="G192" s="65" t="s">
        <v>71</v>
      </c>
      <c r="H192" s="65" t="s">
        <v>14</v>
      </c>
      <c r="I192" s="66" t="s">
        <v>12</v>
      </c>
      <c r="J192" s="67">
        <v>5727103.2000000002</v>
      </c>
      <c r="K192" s="68">
        <v>1</v>
      </c>
      <c r="L192" s="67">
        <v>-5727103.2000000002</v>
      </c>
      <c r="M192" s="69">
        <v>0</v>
      </c>
      <c r="N192" s="70">
        <v>0</v>
      </c>
      <c r="O192" s="70">
        <v>144210.07</v>
      </c>
      <c r="P192" s="70">
        <v>27004089.93</v>
      </c>
      <c r="Q192" s="70">
        <v>0</v>
      </c>
      <c r="R192" s="71">
        <v>415770780.94</v>
      </c>
      <c r="S192" s="70">
        <v>-0.04</v>
      </c>
      <c r="T192" s="70">
        <v>415770780.89999998</v>
      </c>
      <c r="U192" s="72" t="s">
        <v>0</v>
      </c>
    </row>
    <row r="193" spans="1:21" ht="14.45" customHeight="1">
      <c r="A193" s="64">
        <v>45702</v>
      </c>
      <c r="B193" s="64">
        <v>45695</v>
      </c>
      <c r="C193" s="64">
        <v>45695</v>
      </c>
      <c r="D193" s="65" t="s">
        <v>183</v>
      </c>
      <c r="E193" s="65" t="s">
        <v>65</v>
      </c>
      <c r="F193" s="65" t="s">
        <v>190</v>
      </c>
      <c r="G193" s="65" t="s">
        <v>66</v>
      </c>
      <c r="H193" s="65" t="s">
        <v>13</v>
      </c>
      <c r="I193" s="66" t="s">
        <v>12</v>
      </c>
      <c r="J193" s="67">
        <v>62539.59</v>
      </c>
      <c r="K193" s="68">
        <v>0</v>
      </c>
      <c r="L193" s="67">
        <v>0</v>
      </c>
      <c r="M193" s="69">
        <v>0</v>
      </c>
      <c r="N193" s="70">
        <v>0</v>
      </c>
      <c r="O193" s="70">
        <v>206749.66</v>
      </c>
      <c r="P193" s="70">
        <v>27004089.93</v>
      </c>
      <c r="Q193" s="70">
        <v>0</v>
      </c>
      <c r="R193" s="71">
        <v>415770780.94</v>
      </c>
      <c r="S193" s="70">
        <v>-0.04</v>
      </c>
      <c r="T193" s="70">
        <v>415770780.89999998</v>
      </c>
      <c r="U193" s="72" t="s">
        <v>0</v>
      </c>
    </row>
    <row r="194" spans="1:21" ht="14.45" customHeight="1">
      <c r="A194" s="64">
        <v>45702</v>
      </c>
      <c r="B194" s="64">
        <v>45695</v>
      </c>
      <c r="C194" s="64">
        <v>45695</v>
      </c>
      <c r="D194" s="65" t="s">
        <v>183</v>
      </c>
      <c r="E194" s="65" t="s">
        <v>65</v>
      </c>
      <c r="F194" s="65" t="s">
        <v>190</v>
      </c>
      <c r="G194" s="65" t="s">
        <v>282</v>
      </c>
      <c r="H194" s="65" t="s">
        <v>13</v>
      </c>
      <c r="I194" s="66" t="s">
        <v>12</v>
      </c>
      <c r="J194" s="67">
        <v>1641.69</v>
      </c>
      <c r="K194" s="68">
        <v>0</v>
      </c>
      <c r="L194" s="67">
        <v>0</v>
      </c>
      <c r="M194" s="69">
        <v>0</v>
      </c>
      <c r="N194" s="70">
        <v>0</v>
      </c>
      <c r="O194" s="70">
        <v>208391.35</v>
      </c>
      <c r="P194" s="70">
        <v>27004089.93</v>
      </c>
      <c r="Q194" s="70">
        <v>0</v>
      </c>
      <c r="R194" s="71">
        <v>415770780.94</v>
      </c>
      <c r="S194" s="70">
        <v>-0.04</v>
      </c>
      <c r="T194" s="70">
        <v>415770780.89999998</v>
      </c>
      <c r="U194" s="72" t="s">
        <v>0</v>
      </c>
    </row>
    <row r="195" spans="1:21" ht="14.45" customHeight="1">
      <c r="A195" s="64">
        <v>45702</v>
      </c>
      <c r="B195" s="64">
        <v>45702</v>
      </c>
      <c r="C195" s="64">
        <v>45699</v>
      </c>
      <c r="D195" s="65" t="s">
        <v>233</v>
      </c>
      <c r="E195" s="65" t="s">
        <v>86</v>
      </c>
      <c r="F195" s="65" t="s">
        <v>237</v>
      </c>
      <c r="G195" s="65" t="s">
        <v>249</v>
      </c>
      <c r="H195" s="65" t="s">
        <v>14</v>
      </c>
      <c r="I195" s="66" t="s">
        <v>12</v>
      </c>
      <c r="J195" s="67">
        <v>4652618.13</v>
      </c>
      <c r="K195" s="68">
        <v>0.995</v>
      </c>
      <c r="L195" s="67">
        <v>-4676000</v>
      </c>
      <c r="M195" s="69">
        <v>0</v>
      </c>
      <c r="N195" s="70">
        <v>0</v>
      </c>
      <c r="O195" s="70">
        <v>208391.35</v>
      </c>
      <c r="P195" s="70">
        <v>31656708.059999999</v>
      </c>
      <c r="Q195" s="70">
        <v>0</v>
      </c>
      <c r="R195" s="71">
        <v>411094780.94</v>
      </c>
      <c r="S195" s="70">
        <v>-0.04</v>
      </c>
      <c r="T195" s="70">
        <v>411094780.89999998</v>
      </c>
      <c r="U195" s="72" t="s">
        <v>0</v>
      </c>
    </row>
    <row r="196" spans="1:21" ht="14.45" customHeight="1">
      <c r="A196" s="64">
        <v>45702</v>
      </c>
      <c r="B196" s="64">
        <v>45702</v>
      </c>
      <c r="C196" s="64">
        <v>45699</v>
      </c>
      <c r="D196" s="65" t="s">
        <v>233</v>
      </c>
      <c r="E196" s="65" t="s">
        <v>223</v>
      </c>
      <c r="F196" s="65" t="s">
        <v>236</v>
      </c>
      <c r="G196" s="65" t="s">
        <v>249</v>
      </c>
      <c r="H196" s="65" t="s">
        <v>14</v>
      </c>
      <c r="I196" s="66" t="s">
        <v>12</v>
      </c>
      <c r="J196" s="67">
        <v>994999.6</v>
      </c>
      <c r="K196" s="68">
        <v>0.995</v>
      </c>
      <c r="L196" s="67">
        <v>-1000000</v>
      </c>
      <c r="M196" s="69">
        <v>0</v>
      </c>
      <c r="N196" s="70">
        <v>0</v>
      </c>
      <c r="O196" s="70">
        <v>208391.35</v>
      </c>
      <c r="P196" s="70">
        <v>32651707.66</v>
      </c>
      <c r="Q196" s="70">
        <v>0</v>
      </c>
      <c r="R196" s="71">
        <v>410094780.94</v>
      </c>
      <c r="S196" s="70">
        <v>-0.04</v>
      </c>
      <c r="T196" s="70">
        <v>410094780.89999998</v>
      </c>
      <c r="U196" s="72" t="s">
        <v>0</v>
      </c>
    </row>
    <row r="197" spans="1:21" ht="14.45" customHeight="1">
      <c r="A197" s="64">
        <v>45702</v>
      </c>
      <c r="B197" s="64">
        <v>45680</v>
      </c>
      <c r="C197" s="64">
        <v>45657</v>
      </c>
      <c r="D197" s="65" t="s">
        <v>91</v>
      </c>
      <c r="E197" s="65" t="s">
        <v>214</v>
      </c>
      <c r="F197" s="65" t="s">
        <v>215</v>
      </c>
      <c r="G197" s="65" t="s">
        <v>249</v>
      </c>
      <c r="H197" s="65" t="s">
        <v>14</v>
      </c>
      <c r="I197" s="66" t="s">
        <v>12</v>
      </c>
      <c r="J197" s="67">
        <v>-3559437.13</v>
      </c>
      <c r="K197" s="68">
        <v>-0.9829</v>
      </c>
      <c r="L197" s="67">
        <v>3621362.43</v>
      </c>
      <c r="M197" s="69">
        <v>0</v>
      </c>
      <c r="N197" s="70">
        <v>0</v>
      </c>
      <c r="O197" s="70">
        <v>208391.35</v>
      </c>
      <c r="P197" s="70">
        <v>29092270.530000001</v>
      </c>
      <c r="Q197" s="70">
        <v>0</v>
      </c>
      <c r="R197" s="71">
        <v>413716143.37</v>
      </c>
      <c r="S197" s="70">
        <v>-0.04</v>
      </c>
      <c r="T197" s="70">
        <v>413716143.32999998</v>
      </c>
      <c r="U197" s="72" t="s">
        <v>0</v>
      </c>
    </row>
    <row r="198" spans="1:21" ht="14.45" customHeight="1">
      <c r="A198" s="64">
        <v>45702</v>
      </c>
      <c r="B198" s="64">
        <v>45680</v>
      </c>
      <c r="C198" s="64">
        <v>45658</v>
      </c>
      <c r="D198" s="65" t="s">
        <v>91</v>
      </c>
      <c r="E198" s="65" t="s">
        <v>232</v>
      </c>
      <c r="F198" s="65"/>
      <c r="G198" s="65" t="s">
        <v>249</v>
      </c>
      <c r="H198" s="65" t="s">
        <v>14</v>
      </c>
      <c r="I198" s="66" t="s">
        <v>12</v>
      </c>
      <c r="J198" s="67">
        <v>-1829150.22</v>
      </c>
      <c r="K198" s="68">
        <v>-0.9829</v>
      </c>
      <c r="L198" s="67">
        <v>1860972.86</v>
      </c>
      <c r="M198" s="69">
        <v>0</v>
      </c>
      <c r="N198" s="70">
        <v>0</v>
      </c>
      <c r="O198" s="70">
        <v>208391.35</v>
      </c>
      <c r="P198" s="70">
        <v>27263120.309999999</v>
      </c>
      <c r="Q198" s="70">
        <v>0</v>
      </c>
      <c r="R198" s="71">
        <v>415577116.23000002</v>
      </c>
      <c r="S198" s="70">
        <v>-0.04</v>
      </c>
      <c r="T198" s="70">
        <v>415577116.19</v>
      </c>
      <c r="U198" s="72" t="s">
        <v>0</v>
      </c>
    </row>
    <row r="199" spans="1:21" ht="14.45" customHeight="1">
      <c r="A199" s="64">
        <v>45702</v>
      </c>
      <c r="B199" s="64">
        <v>45670</v>
      </c>
      <c r="C199" s="64">
        <v>45658</v>
      </c>
      <c r="D199" s="65" t="s">
        <v>85</v>
      </c>
      <c r="E199" s="65" t="s">
        <v>86</v>
      </c>
      <c r="F199" s="65"/>
      <c r="G199" s="65" t="s">
        <v>249</v>
      </c>
      <c r="H199" s="65" t="s">
        <v>14</v>
      </c>
      <c r="I199" s="66" t="s">
        <v>12</v>
      </c>
      <c r="J199" s="67">
        <v>-3577322.22</v>
      </c>
      <c r="K199" s="68">
        <v>-0.99</v>
      </c>
      <c r="L199" s="67">
        <v>3613456.79</v>
      </c>
      <c r="M199" s="69">
        <v>0</v>
      </c>
      <c r="N199" s="70">
        <v>0</v>
      </c>
      <c r="O199" s="70">
        <v>208391.35</v>
      </c>
      <c r="P199" s="70">
        <v>23685798.09</v>
      </c>
      <c r="Q199" s="70">
        <v>0</v>
      </c>
      <c r="R199" s="71">
        <v>419190573.01999998</v>
      </c>
      <c r="S199" s="70">
        <v>-0.04</v>
      </c>
      <c r="T199" s="70">
        <v>419190572.98000002</v>
      </c>
      <c r="U199" s="72" t="s">
        <v>0</v>
      </c>
    </row>
    <row r="200" spans="1:21" ht="14.45" customHeight="1">
      <c r="A200" s="64">
        <v>45702</v>
      </c>
      <c r="B200" s="64">
        <v>45673</v>
      </c>
      <c r="C200" s="64">
        <v>45658</v>
      </c>
      <c r="D200" s="65" t="s">
        <v>114</v>
      </c>
      <c r="E200" s="65" t="s">
        <v>251</v>
      </c>
      <c r="F200" s="65"/>
      <c r="G200" s="65" t="s">
        <v>76</v>
      </c>
      <c r="H200" s="65" t="s">
        <v>14</v>
      </c>
      <c r="I200" s="66" t="s">
        <v>12</v>
      </c>
      <c r="J200" s="67">
        <v>3421249.49</v>
      </c>
      <c r="K200" s="68">
        <v>-0.99</v>
      </c>
      <c r="L200" s="67">
        <v>-3455807.57</v>
      </c>
      <c r="M200" s="69">
        <v>0</v>
      </c>
      <c r="N200" s="70">
        <v>0</v>
      </c>
      <c r="O200" s="70">
        <v>208391.35</v>
      </c>
      <c r="P200" s="70">
        <v>27107047.579999998</v>
      </c>
      <c r="Q200" s="70">
        <v>0</v>
      </c>
      <c r="R200" s="71">
        <v>415734765.44999999</v>
      </c>
      <c r="S200" s="70">
        <v>-0.04</v>
      </c>
      <c r="T200" s="70">
        <v>415734765.41000003</v>
      </c>
      <c r="U200" s="72" t="s">
        <v>0</v>
      </c>
    </row>
    <row r="201" spans="1:21" ht="14.45" customHeight="1">
      <c r="A201" s="64">
        <v>45702</v>
      </c>
      <c r="B201" s="64">
        <v>45671</v>
      </c>
      <c r="C201" s="64">
        <v>45667</v>
      </c>
      <c r="D201" s="65" t="s">
        <v>257</v>
      </c>
      <c r="E201" s="65" t="s">
        <v>86</v>
      </c>
      <c r="F201" s="65" t="s">
        <v>258</v>
      </c>
      <c r="G201" s="65" t="s">
        <v>249</v>
      </c>
      <c r="H201" s="65" t="s">
        <v>14</v>
      </c>
      <c r="I201" s="66" t="s">
        <v>12</v>
      </c>
      <c r="J201" s="67">
        <v>-5944500</v>
      </c>
      <c r="K201" s="68">
        <v>-0.99080000000000001</v>
      </c>
      <c r="L201" s="67">
        <v>6000000</v>
      </c>
      <c r="M201" s="69">
        <v>0</v>
      </c>
      <c r="N201" s="70">
        <v>0</v>
      </c>
      <c r="O201" s="70">
        <v>208391.35</v>
      </c>
      <c r="P201" s="70">
        <v>21162547.579999998</v>
      </c>
      <c r="Q201" s="70">
        <v>0</v>
      </c>
      <c r="R201" s="71">
        <v>421734765.44999999</v>
      </c>
      <c r="S201" s="70">
        <v>-0.04</v>
      </c>
      <c r="T201" s="70">
        <v>421734765.41000003</v>
      </c>
      <c r="U201" s="72" t="s">
        <v>0</v>
      </c>
    </row>
    <row r="202" spans="1:21" ht="14.45" customHeight="1">
      <c r="A202" s="64">
        <v>45702</v>
      </c>
      <c r="B202" s="64">
        <v>45680</v>
      </c>
      <c r="C202" s="64">
        <v>45657</v>
      </c>
      <c r="D202" s="65" t="s">
        <v>91</v>
      </c>
      <c r="E202" s="65" t="s">
        <v>230</v>
      </c>
      <c r="F202" s="65" t="s">
        <v>231</v>
      </c>
      <c r="G202" s="65" t="s">
        <v>249</v>
      </c>
      <c r="H202" s="65" t="s">
        <v>14</v>
      </c>
      <c r="I202" s="66" t="s">
        <v>12</v>
      </c>
      <c r="J202" s="67">
        <v>-370151.5</v>
      </c>
      <c r="K202" s="68">
        <v>-0.9829</v>
      </c>
      <c r="L202" s="67">
        <v>376591.21</v>
      </c>
      <c r="M202" s="69">
        <v>0</v>
      </c>
      <c r="N202" s="70">
        <v>0</v>
      </c>
      <c r="O202" s="70">
        <v>208391.35</v>
      </c>
      <c r="P202" s="70">
        <v>20792396.079999998</v>
      </c>
      <c r="Q202" s="70">
        <v>0</v>
      </c>
      <c r="R202" s="71">
        <v>422111356.66000003</v>
      </c>
      <c r="S202" s="70">
        <v>-0.04</v>
      </c>
      <c r="T202" s="70">
        <v>422111356.62</v>
      </c>
      <c r="U202" s="72" t="s">
        <v>0</v>
      </c>
    </row>
    <row r="203" spans="1:21" ht="14.45" customHeight="1">
      <c r="A203" s="64">
        <v>45702</v>
      </c>
      <c r="B203" s="64">
        <v>45667</v>
      </c>
      <c r="C203" s="64">
        <v>45658</v>
      </c>
      <c r="D203" s="65" t="s">
        <v>265</v>
      </c>
      <c r="E203" s="65" t="s">
        <v>266</v>
      </c>
      <c r="F203" s="65" t="s">
        <v>267</v>
      </c>
      <c r="G203" s="65" t="s">
        <v>76</v>
      </c>
      <c r="H203" s="65" t="s">
        <v>14</v>
      </c>
      <c r="I203" s="66" t="s">
        <v>12</v>
      </c>
      <c r="J203" s="67">
        <v>1457321.62</v>
      </c>
      <c r="K203" s="68">
        <v>-0.995</v>
      </c>
      <c r="L203" s="67">
        <v>-1464644.84</v>
      </c>
      <c r="M203" s="69">
        <v>0</v>
      </c>
      <c r="N203" s="70">
        <v>0</v>
      </c>
      <c r="O203" s="70">
        <v>208391.35</v>
      </c>
      <c r="P203" s="70">
        <v>22249717.699999999</v>
      </c>
      <c r="Q203" s="70">
        <v>0</v>
      </c>
      <c r="R203" s="71">
        <v>420646711.81999999</v>
      </c>
      <c r="S203" s="70">
        <v>-0.04</v>
      </c>
      <c r="T203" s="70">
        <v>420646711.77999997</v>
      </c>
      <c r="U203" s="72" t="s">
        <v>0</v>
      </c>
    </row>
    <row r="204" spans="1:21" ht="14.45" customHeight="1">
      <c r="A204" s="64">
        <v>45702</v>
      </c>
      <c r="B204" s="64">
        <v>45670</v>
      </c>
      <c r="C204" s="64">
        <v>45657</v>
      </c>
      <c r="D204" s="65" t="s">
        <v>150</v>
      </c>
      <c r="E204" s="65" t="s">
        <v>86</v>
      </c>
      <c r="F204" s="65" t="s">
        <v>151</v>
      </c>
      <c r="G204" s="65" t="s">
        <v>249</v>
      </c>
      <c r="H204" s="65" t="s">
        <v>14</v>
      </c>
      <c r="I204" s="66" t="s">
        <v>12</v>
      </c>
      <c r="J204" s="67">
        <v>-3456315.79</v>
      </c>
      <c r="K204" s="68">
        <v>-0.99</v>
      </c>
      <c r="L204" s="67">
        <v>3491228.07</v>
      </c>
      <c r="M204" s="69">
        <v>0</v>
      </c>
      <c r="N204" s="70">
        <v>0</v>
      </c>
      <c r="O204" s="70">
        <v>208391.35</v>
      </c>
      <c r="P204" s="70">
        <v>18793401.91</v>
      </c>
      <c r="Q204" s="70">
        <v>0</v>
      </c>
      <c r="R204" s="71">
        <v>424137939.88999999</v>
      </c>
      <c r="S204" s="70">
        <v>-0.04</v>
      </c>
      <c r="T204" s="70">
        <v>424137939.85000002</v>
      </c>
      <c r="U204" s="72" t="s">
        <v>0</v>
      </c>
    </row>
    <row r="205" spans="1:21" ht="14.45" customHeight="1">
      <c r="A205" s="64">
        <v>45702</v>
      </c>
      <c r="B205" s="64">
        <v>45685</v>
      </c>
      <c r="C205" s="64">
        <v>45646</v>
      </c>
      <c r="D205" s="65" t="s">
        <v>252</v>
      </c>
      <c r="E205" s="65" t="s">
        <v>253</v>
      </c>
      <c r="F205" s="65" t="s">
        <v>254</v>
      </c>
      <c r="G205" s="65" t="s">
        <v>76</v>
      </c>
      <c r="H205" s="65" t="s">
        <v>14</v>
      </c>
      <c r="I205" s="66" t="s">
        <v>12</v>
      </c>
      <c r="J205" s="67">
        <v>2506186.23</v>
      </c>
      <c r="K205" s="68">
        <v>-1</v>
      </c>
      <c r="L205" s="67">
        <v>-2506186.23</v>
      </c>
      <c r="M205" s="69">
        <v>0</v>
      </c>
      <c r="N205" s="70">
        <v>0</v>
      </c>
      <c r="O205" s="70">
        <v>208391.35</v>
      </c>
      <c r="P205" s="70">
        <v>21299588.140000001</v>
      </c>
      <c r="Q205" s="70">
        <v>0</v>
      </c>
      <c r="R205" s="71">
        <v>421631753.66000003</v>
      </c>
      <c r="S205" s="70">
        <v>-0.04</v>
      </c>
      <c r="T205" s="70">
        <v>421631753.62</v>
      </c>
      <c r="U205" s="72" t="s">
        <v>0</v>
      </c>
    </row>
    <row r="206" spans="1:21" ht="14.45" customHeight="1">
      <c r="A206" s="64">
        <v>45702</v>
      </c>
      <c r="B206" s="64">
        <v>45688</v>
      </c>
      <c r="C206" s="64">
        <v>45688</v>
      </c>
      <c r="D206" s="65" t="s">
        <v>250</v>
      </c>
      <c r="E206" s="65" t="s">
        <v>0</v>
      </c>
      <c r="F206" s="65"/>
      <c r="G206" s="65" t="s">
        <v>48</v>
      </c>
      <c r="H206" s="65" t="s">
        <v>14</v>
      </c>
      <c r="I206" s="66" t="s">
        <v>12</v>
      </c>
      <c r="J206" s="67">
        <v>-32740646.629999999</v>
      </c>
      <c r="K206" s="68">
        <v>0</v>
      </c>
      <c r="L206" s="67">
        <v>0</v>
      </c>
      <c r="M206" s="69">
        <v>0</v>
      </c>
      <c r="N206" s="70">
        <v>0</v>
      </c>
      <c r="O206" s="70">
        <v>208391.35</v>
      </c>
      <c r="P206" s="70">
        <v>-11441058.49</v>
      </c>
      <c r="Q206" s="70">
        <v>0</v>
      </c>
      <c r="R206" s="71">
        <v>421631753.66000003</v>
      </c>
      <c r="S206" s="70">
        <v>-0.04</v>
      </c>
      <c r="T206" s="70">
        <v>421631753.62</v>
      </c>
      <c r="U206" s="72" t="s">
        <v>0</v>
      </c>
    </row>
    <row r="207" spans="1:21" ht="14.45" customHeight="1">
      <c r="A207" s="64">
        <v>45702</v>
      </c>
      <c r="B207" s="64">
        <v>45673</v>
      </c>
      <c r="C207" s="64">
        <v>45673</v>
      </c>
      <c r="D207" s="65" t="s">
        <v>164</v>
      </c>
      <c r="E207" s="65" t="s">
        <v>165</v>
      </c>
      <c r="F207" s="65" t="s">
        <v>166</v>
      </c>
      <c r="G207" s="65" t="s">
        <v>76</v>
      </c>
      <c r="H207" s="65" t="s">
        <v>14</v>
      </c>
      <c r="I207" s="66" t="s">
        <v>12</v>
      </c>
      <c r="J207" s="67">
        <v>74929.81</v>
      </c>
      <c r="K207" s="68">
        <v>-0.99</v>
      </c>
      <c r="L207" s="67">
        <v>-75686.679999999993</v>
      </c>
      <c r="M207" s="69">
        <v>0</v>
      </c>
      <c r="N207" s="70">
        <v>0</v>
      </c>
      <c r="O207" s="70">
        <v>208391.35</v>
      </c>
      <c r="P207" s="70">
        <v>-11366128.68</v>
      </c>
      <c r="Q207" s="70">
        <v>0</v>
      </c>
      <c r="R207" s="71">
        <v>421556066.98000002</v>
      </c>
      <c r="S207" s="70">
        <v>-0.04</v>
      </c>
      <c r="T207" s="70">
        <v>421556066.94</v>
      </c>
      <c r="U207" s="72" t="s">
        <v>0</v>
      </c>
    </row>
    <row r="208" spans="1:21" ht="14.45" customHeight="1">
      <c r="A208" s="64">
        <v>45702</v>
      </c>
      <c r="B208" s="64">
        <v>45678</v>
      </c>
      <c r="C208" s="64">
        <v>45658</v>
      </c>
      <c r="D208" s="65" t="s">
        <v>169</v>
      </c>
      <c r="E208" s="65" t="s">
        <v>83</v>
      </c>
      <c r="F208" s="65" t="s">
        <v>171</v>
      </c>
      <c r="G208" s="65" t="s">
        <v>249</v>
      </c>
      <c r="H208" s="65" t="s">
        <v>14</v>
      </c>
      <c r="I208" s="66" t="s">
        <v>12</v>
      </c>
      <c r="J208" s="67">
        <v>-114635.59</v>
      </c>
      <c r="K208" s="68">
        <v>-0.98499999999999999</v>
      </c>
      <c r="L208" s="67">
        <v>116381.31</v>
      </c>
      <c r="M208" s="69">
        <v>0</v>
      </c>
      <c r="N208" s="70">
        <v>0</v>
      </c>
      <c r="O208" s="70">
        <v>208391.35</v>
      </c>
      <c r="P208" s="70">
        <v>-11480764.27</v>
      </c>
      <c r="Q208" s="70">
        <v>0</v>
      </c>
      <c r="R208" s="71">
        <v>421672448.29000002</v>
      </c>
      <c r="S208" s="70">
        <v>-0.04</v>
      </c>
      <c r="T208" s="70">
        <v>421672448.25</v>
      </c>
      <c r="U208" s="72" t="s">
        <v>0</v>
      </c>
    </row>
    <row r="209" spans="1:21" ht="14.45" customHeight="1">
      <c r="A209" s="64">
        <v>45702</v>
      </c>
      <c r="B209" s="64">
        <v>45670</v>
      </c>
      <c r="C209" s="64">
        <v>45657</v>
      </c>
      <c r="D209" s="65" t="s">
        <v>85</v>
      </c>
      <c r="E209" s="65" t="s">
        <v>89</v>
      </c>
      <c r="F209" s="65" t="s">
        <v>90</v>
      </c>
      <c r="G209" s="65" t="s">
        <v>249</v>
      </c>
      <c r="H209" s="65" t="s">
        <v>14</v>
      </c>
      <c r="I209" s="66" t="s">
        <v>12</v>
      </c>
      <c r="J209" s="67">
        <v>-2353508.31</v>
      </c>
      <c r="K209" s="68">
        <v>-0.99</v>
      </c>
      <c r="L209" s="67">
        <v>2377281.12</v>
      </c>
      <c r="M209" s="69">
        <v>0</v>
      </c>
      <c r="N209" s="70">
        <v>0</v>
      </c>
      <c r="O209" s="70">
        <v>208391.35</v>
      </c>
      <c r="P209" s="70">
        <v>-13834272.58</v>
      </c>
      <c r="Q209" s="70">
        <v>0</v>
      </c>
      <c r="R209" s="71">
        <v>424049729.41000003</v>
      </c>
      <c r="S209" s="70">
        <v>-0.04</v>
      </c>
      <c r="T209" s="70">
        <v>424049729.37</v>
      </c>
      <c r="U209" s="72" t="s">
        <v>0</v>
      </c>
    </row>
    <row r="210" spans="1:21" ht="14.45" customHeight="1">
      <c r="A210" s="64">
        <v>45702</v>
      </c>
      <c r="B210" s="64">
        <v>45678</v>
      </c>
      <c r="C210" s="64">
        <v>45657</v>
      </c>
      <c r="D210" s="65" t="s">
        <v>169</v>
      </c>
      <c r="E210" s="65" t="s">
        <v>86</v>
      </c>
      <c r="F210" s="65" t="s">
        <v>170</v>
      </c>
      <c r="G210" s="65" t="s">
        <v>249</v>
      </c>
      <c r="H210" s="65" t="s">
        <v>14</v>
      </c>
      <c r="I210" s="66" t="s">
        <v>12</v>
      </c>
      <c r="J210" s="67">
        <v>-5780423.5499999998</v>
      </c>
      <c r="K210" s="68">
        <v>-0.98499999999999999</v>
      </c>
      <c r="L210" s="67">
        <v>5868450.2999999998</v>
      </c>
      <c r="M210" s="69">
        <v>0</v>
      </c>
      <c r="N210" s="70">
        <v>0</v>
      </c>
      <c r="O210" s="70">
        <v>208391.35</v>
      </c>
      <c r="P210" s="70">
        <v>-19614696.129999999</v>
      </c>
      <c r="Q210" s="70">
        <v>0</v>
      </c>
      <c r="R210" s="71">
        <v>429918179.70999998</v>
      </c>
      <c r="S210" s="70">
        <v>-0.04</v>
      </c>
      <c r="T210" s="70">
        <v>429918179.67000002</v>
      </c>
      <c r="U210" s="72" t="s">
        <v>0</v>
      </c>
    </row>
    <row r="211" spans="1:21" ht="14.45" customHeight="1">
      <c r="A211" s="64">
        <v>45702</v>
      </c>
      <c r="B211" s="64">
        <v>45679</v>
      </c>
      <c r="C211" s="64">
        <v>45657</v>
      </c>
      <c r="D211" s="65" t="s">
        <v>152</v>
      </c>
      <c r="E211" s="65" t="s">
        <v>65</v>
      </c>
      <c r="F211" s="65" t="s">
        <v>153</v>
      </c>
      <c r="G211" s="65" t="s">
        <v>249</v>
      </c>
      <c r="H211" s="65" t="s">
        <v>14</v>
      </c>
      <c r="I211" s="66" t="s">
        <v>12</v>
      </c>
      <c r="J211" s="67">
        <v>-2970000</v>
      </c>
      <c r="K211" s="68">
        <v>-0.99</v>
      </c>
      <c r="L211" s="67">
        <v>3000000</v>
      </c>
      <c r="M211" s="69">
        <v>0</v>
      </c>
      <c r="N211" s="70">
        <v>0</v>
      </c>
      <c r="O211" s="70">
        <v>208391.35</v>
      </c>
      <c r="P211" s="70">
        <v>-22584696.129999999</v>
      </c>
      <c r="Q211" s="70">
        <v>0</v>
      </c>
      <c r="R211" s="71">
        <v>432918179.70999998</v>
      </c>
      <c r="S211" s="70">
        <v>-0.04</v>
      </c>
      <c r="T211" s="70">
        <v>432918179.67000002</v>
      </c>
      <c r="U211" s="72" t="s">
        <v>0</v>
      </c>
    </row>
    <row r="212" spans="1:21" ht="14.45" customHeight="1">
      <c r="A212" s="64">
        <v>45702</v>
      </c>
      <c r="B212" s="64">
        <v>45684</v>
      </c>
      <c r="C212" s="64">
        <v>45646</v>
      </c>
      <c r="D212" s="65" t="s">
        <v>118</v>
      </c>
      <c r="E212" s="65" t="s">
        <v>255</v>
      </c>
      <c r="F212" s="65" t="s">
        <v>256</v>
      </c>
      <c r="G212" s="65" t="s">
        <v>76</v>
      </c>
      <c r="H212" s="65" t="s">
        <v>14</v>
      </c>
      <c r="I212" s="66" t="s">
        <v>12</v>
      </c>
      <c r="J212" s="67">
        <v>3437902.3</v>
      </c>
      <c r="K212" s="68">
        <v>-0.98499999999999999</v>
      </c>
      <c r="L212" s="67">
        <v>-3490256.14</v>
      </c>
      <c r="M212" s="69">
        <v>0</v>
      </c>
      <c r="N212" s="70">
        <v>0</v>
      </c>
      <c r="O212" s="70">
        <v>208391.35</v>
      </c>
      <c r="P212" s="70">
        <v>-19146793.829999998</v>
      </c>
      <c r="Q212" s="70">
        <v>0</v>
      </c>
      <c r="R212" s="71">
        <v>429427923.56999999</v>
      </c>
      <c r="S212" s="70">
        <v>-0.04</v>
      </c>
      <c r="T212" s="70">
        <v>429427923.52999997</v>
      </c>
      <c r="U212" s="72" t="s">
        <v>0</v>
      </c>
    </row>
    <row r="213" spans="1:21" ht="14.45" customHeight="1">
      <c r="A213" s="64">
        <v>45702</v>
      </c>
      <c r="B213" s="64">
        <v>45670</v>
      </c>
      <c r="C213" s="64">
        <v>45664</v>
      </c>
      <c r="D213" s="65" t="s">
        <v>257</v>
      </c>
      <c r="E213" s="65" t="s">
        <v>86</v>
      </c>
      <c r="F213" s="65" t="s">
        <v>258</v>
      </c>
      <c r="G213" s="65" t="s">
        <v>76</v>
      </c>
      <c r="H213" s="65" t="s">
        <v>14</v>
      </c>
      <c r="I213" s="66" t="s">
        <v>12</v>
      </c>
      <c r="J213" s="67">
        <v>11889000</v>
      </c>
      <c r="K213" s="68">
        <v>-0.99080000000000001</v>
      </c>
      <c r="L213" s="67">
        <v>-12000000</v>
      </c>
      <c r="M213" s="69">
        <v>0</v>
      </c>
      <c r="N213" s="70">
        <v>0</v>
      </c>
      <c r="O213" s="70">
        <v>208391.35</v>
      </c>
      <c r="P213" s="70">
        <v>-7257793.8300000001</v>
      </c>
      <c r="Q213" s="70">
        <v>0</v>
      </c>
      <c r="R213" s="71">
        <v>417427923.56999999</v>
      </c>
      <c r="S213" s="70">
        <v>-0.04</v>
      </c>
      <c r="T213" s="70">
        <v>417427923.52999997</v>
      </c>
      <c r="U213" s="72" t="s">
        <v>0</v>
      </c>
    </row>
    <row r="214" spans="1:21" ht="14.45" customHeight="1">
      <c r="A214" s="64">
        <v>45702</v>
      </c>
      <c r="B214" s="64">
        <v>45670</v>
      </c>
      <c r="C214" s="64">
        <v>45646</v>
      </c>
      <c r="D214" s="65" t="s">
        <v>263</v>
      </c>
      <c r="E214" s="65" t="s">
        <v>264</v>
      </c>
      <c r="F214" s="65"/>
      <c r="G214" s="65" t="s">
        <v>76</v>
      </c>
      <c r="H214" s="65" t="s">
        <v>14</v>
      </c>
      <c r="I214" s="66" t="s">
        <v>12</v>
      </c>
      <c r="J214" s="67">
        <v>1277253.94</v>
      </c>
      <c r="K214" s="68">
        <v>-0.998</v>
      </c>
      <c r="L214" s="67">
        <v>-1279813.57</v>
      </c>
      <c r="M214" s="69">
        <v>0</v>
      </c>
      <c r="N214" s="70">
        <v>0</v>
      </c>
      <c r="O214" s="70">
        <v>208391.35</v>
      </c>
      <c r="P214" s="70">
        <v>-5980539.8899999997</v>
      </c>
      <c r="Q214" s="70">
        <v>0</v>
      </c>
      <c r="R214" s="71">
        <v>416148110</v>
      </c>
      <c r="S214" s="70">
        <v>-0.04</v>
      </c>
      <c r="T214" s="70">
        <v>416148109.95999998</v>
      </c>
      <c r="U214" s="72" t="s">
        <v>0</v>
      </c>
    </row>
    <row r="215" spans="1:21" ht="14.45" customHeight="1">
      <c r="A215" s="64">
        <v>45702</v>
      </c>
      <c r="B215" s="64">
        <v>45684</v>
      </c>
      <c r="C215" s="64">
        <v>45674</v>
      </c>
      <c r="D215" s="65" t="s">
        <v>259</v>
      </c>
      <c r="E215" s="65" t="s">
        <v>260</v>
      </c>
      <c r="F215" s="65" t="s">
        <v>261</v>
      </c>
      <c r="G215" s="65" t="s">
        <v>76</v>
      </c>
      <c r="H215" s="65" t="s">
        <v>14</v>
      </c>
      <c r="I215" s="66" t="s">
        <v>12</v>
      </c>
      <c r="J215" s="67">
        <v>18917247.550000001</v>
      </c>
      <c r="K215" s="68">
        <v>-0.99199999999999999</v>
      </c>
      <c r="L215" s="67">
        <v>-19069806</v>
      </c>
      <c r="M215" s="69">
        <v>0</v>
      </c>
      <c r="N215" s="70">
        <v>0</v>
      </c>
      <c r="O215" s="70">
        <v>208391.35</v>
      </c>
      <c r="P215" s="70">
        <v>12936707.66</v>
      </c>
      <c r="Q215" s="70">
        <v>0</v>
      </c>
      <c r="R215" s="71">
        <v>397078304</v>
      </c>
      <c r="S215" s="70">
        <v>-0.04</v>
      </c>
      <c r="T215" s="70">
        <v>397078303.95999998</v>
      </c>
      <c r="U215" s="72" t="s">
        <v>0</v>
      </c>
    </row>
    <row r="216" spans="1:21" ht="14.45" customHeight="1">
      <c r="A216" s="64">
        <v>45702</v>
      </c>
      <c r="B216" s="64">
        <v>45684</v>
      </c>
      <c r="C216" s="64">
        <v>45679</v>
      </c>
      <c r="D216" s="65" t="s">
        <v>262</v>
      </c>
      <c r="E216" s="65" t="s">
        <v>86</v>
      </c>
      <c r="F216" s="65"/>
      <c r="G216" s="65" t="s">
        <v>76</v>
      </c>
      <c r="H216" s="65" t="s">
        <v>14</v>
      </c>
      <c r="I216" s="66" t="s">
        <v>12</v>
      </c>
      <c r="J216" s="67">
        <v>19715000</v>
      </c>
      <c r="K216" s="68">
        <v>-0.98580000000000001</v>
      </c>
      <c r="L216" s="67">
        <v>-20000000</v>
      </c>
      <c r="M216" s="69">
        <v>0</v>
      </c>
      <c r="N216" s="70">
        <v>0</v>
      </c>
      <c r="O216" s="70">
        <v>208391.35</v>
      </c>
      <c r="P216" s="70">
        <v>32651707.66</v>
      </c>
      <c r="Q216" s="70">
        <v>0</v>
      </c>
      <c r="R216" s="71">
        <v>377078304</v>
      </c>
      <c r="S216" s="70">
        <v>-0.04</v>
      </c>
      <c r="T216" s="70">
        <v>377078303.95999998</v>
      </c>
      <c r="U216" s="72" t="s">
        <v>0</v>
      </c>
    </row>
    <row r="217" spans="1:21" ht="14.45" customHeight="1">
      <c r="A217" s="64">
        <v>45702</v>
      </c>
      <c r="B217" s="64">
        <v>45702</v>
      </c>
      <c r="C217" s="64">
        <v>45699</v>
      </c>
      <c r="D217" s="65" t="s">
        <v>233</v>
      </c>
      <c r="E217" s="65" t="s">
        <v>86</v>
      </c>
      <c r="F217" s="65" t="s">
        <v>237</v>
      </c>
      <c r="G217" s="65" t="s">
        <v>249</v>
      </c>
      <c r="H217" s="65" t="s">
        <v>14</v>
      </c>
      <c r="I217" s="66" t="s">
        <v>12</v>
      </c>
      <c r="J217" s="67">
        <v>5969997.5999999996</v>
      </c>
      <c r="K217" s="68">
        <v>0.995</v>
      </c>
      <c r="L217" s="67">
        <v>-6000000</v>
      </c>
      <c r="M217" s="69">
        <v>0</v>
      </c>
      <c r="N217" s="70">
        <v>0</v>
      </c>
      <c r="O217" s="70">
        <v>208391.35</v>
      </c>
      <c r="P217" s="70">
        <v>38621705.259999998</v>
      </c>
      <c r="Q217" s="70">
        <v>0</v>
      </c>
      <c r="R217" s="71">
        <v>371078304</v>
      </c>
      <c r="S217" s="70">
        <v>-0.04</v>
      </c>
      <c r="T217" s="70">
        <v>371078303.95999998</v>
      </c>
      <c r="U217" s="72" t="s">
        <v>0</v>
      </c>
    </row>
    <row r="218" spans="1:21" ht="14.45" customHeight="1">
      <c r="A218" s="64">
        <v>45707</v>
      </c>
      <c r="B218" s="64">
        <v>45707</v>
      </c>
      <c r="C218" s="64">
        <v>45707</v>
      </c>
      <c r="D218" s="65" t="s">
        <v>283</v>
      </c>
      <c r="E218" s="65" t="s">
        <v>0</v>
      </c>
      <c r="F218" s="65"/>
      <c r="G218" s="65" t="s">
        <v>284</v>
      </c>
      <c r="H218" s="65" t="s">
        <v>14</v>
      </c>
      <c r="I218" s="66" t="s">
        <v>12</v>
      </c>
      <c r="J218" s="67">
        <v>31750000</v>
      </c>
      <c r="K218" s="68">
        <v>0</v>
      </c>
      <c r="L218" s="67">
        <v>0</v>
      </c>
      <c r="M218" s="69">
        <v>0</v>
      </c>
      <c r="N218" s="70">
        <v>0</v>
      </c>
      <c r="O218" s="70">
        <v>208391.35</v>
      </c>
      <c r="P218" s="70">
        <v>70371705.260000005</v>
      </c>
      <c r="Q218" s="70">
        <v>0</v>
      </c>
      <c r="R218" s="71">
        <v>371078304</v>
      </c>
      <c r="S218" s="70">
        <v>-0.04</v>
      </c>
      <c r="T218" s="70">
        <v>371078303.95999998</v>
      </c>
      <c r="U218" s="72" t="s">
        <v>0</v>
      </c>
    </row>
    <row r="219" spans="1:21" ht="14.45" customHeight="1">
      <c r="A219" s="64">
        <v>45707</v>
      </c>
      <c r="B219" s="64">
        <v>45707</v>
      </c>
      <c r="C219" s="64">
        <v>45707</v>
      </c>
      <c r="D219" s="65" t="s">
        <v>285</v>
      </c>
      <c r="E219" s="65" t="s">
        <v>0</v>
      </c>
      <c r="F219" s="65"/>
      <c r="G219" s="65" t="s">
        <v>48</v>
      </c>
      <c r="H219" s="65" t="s">
        <v>13</v>
      </c>
      <c r="I219" s="66" t="s">
        <v>12</v>
      </c>
      <c r="J219" s="67">
        <v>1509.47</v>
      </c>
      <c r="K219" s="68">
        <v>0</v>
      </c>
      <c r="L219" s="67">
        <v>0</v>
      </c>
      <c r="M219" s="69">
        <v>0</v>
      </c>
      <c r="N219" s="70">
        <v>0</v>
      </c>
      <c r="O219" s="70">
        <v>209900.82</v>
      </c>
      <c r="P219" s="70">
        <v>70371705.260000005</v>
      </c>
      <c r="Q219" s="70">
        <v>0</v>
      </c>
      <c r="R219" s="71">
        <v>371078304</v>
      </c>
      <c r="S219" s="70">
        <v>-0.04</v>
      </c>
      <c r="T219" s="70">
        <v>371078303.95999998</v>
      </c>
      <c r="U219" s="72" t="s">
        <v>0</v>
      </c>
    </row>
    <row r="220" spans="1:21" ht="14.45" customHeight="1">
      <c r="A220" s="64">
        <v>45707</v>
      </c>
      <c r="B220" s="64">
        <v>45707</v>
      </c>
      <c r="C220" s="64">
        <v>45707</v>
      </c>
      <c r="D220" s="65" t="s">
        <v>285</v>
      </c>
      <c r="E220" s="65" t="s">
        <v>0</v>
      </c>
      <c r="F220" s="65"/>
      <c r="G220" s="65" t="s">
        <v>48</v>
      </c>
      <c r="H220" s="65" t="s">
        <v>13</v>
      </c>
      <c r="I220" s="66" t="s">
        <v>12</v>
      </c>
      <c r="J220" s="67">
        <v>-62657.95</v>
      </c>
      <c r="K220" s="68">
        <v>0</v>
      </c>
      <c r="L220" s="67">
        <v>0</v>
      </c>
      <c r="M220" s="69">
        <v>0</v>
      </c>
      <c r="N220" s="70">
        <v>0</v>
      </c>
      <c r="O220" s="70">
        <v>147242.87</v>
      </c>
      <c r="P220" s="70">
        <v>70371705.260000005</v>
      </c>
      <c r="Q220" s="70">
        <v>0</v>
      </c>
      <c r="R220" s="71">
        <v>371078304</v>
      </c>
      <c r="S220" s="70">
        <v>-0.04</v>
      </c>
      <c r="T220" s="70">
        <v>371078303.95999998</v>
      </c>
      <c r="U220" s="72" t="s">
        <v>0</v>
      </c>
    </row>
    <row r="221" spans="1:21" ht="14.45" customHeight="1">
      <c r="A221" s="64">
        <v>45707</v>
      </c>
      <c r="B221" s="64">
        <v>45707</v>
      </c>
      <c r="C221" s="64">
        <v>45707</v>
      </c>
      <c r="D221" s="65" t="s">
        <v>285</v>
      </c>
      <c r="E221" s="65" t="s">
        <v>0</v>
      </c>
      <c r="F221" s="65"/>
      <c r="G221" s="65" t="s">
        <v>48</v>
      </c>
      <c r="H221" s="65" t="s">
        <v>14</v>
      </c>
      <c r="I221" s="66" t="s">
        <v>12</v>
      </c>
      <c r="J221" s="67">
        <v>-11888.42</v>
      </c>
      <c r="K221" s="68">
        <v>0</v>
      </c>
      <c r="L221" s="67">
        <v>0</v>
      </c>
      <c r="M221" s="69">
        <v>0</v>
      </c>
      <c r="N221" s="70">
        <v>0</v>
      </c>
      <c r="O221" s="70">
        <v>147242.87</v>
      </c>
      <c r="P221" s="70">
        <v>70359816.840000004</v>
      </c>
      <c r="Q221" s="70">
        <v>0</v>
      </c>
      <c r="R221" s="71">
        <v>371078304</v>
      </c>
      <c r="S221" s="70">
        <v>-0.04</v>
      </c>
      <c r="T221" s="70">
        <v>371078303.95999998</v>
      </c>
      <c r="U221" s="72" t="s">
        <v>0</v>
      </c>
    </row>
    <row r="222" spans="1:21" ht="14.45" customHeight="1">
      <c r="A222" s="64">
        <v>45707</v>
      </c>
      <c r="B222" s="64">
        <v>45672</v>
      </c>
      <c r="C222" s="64">
        <v>45672</v>
      </c>
      <c r="D222" s="65" t="s">
        <v>286</v>
      </c>
      <c r="E222" s="65" t="s">
        <v>0</v>
      </c>
      <c r="F222" s="65"/>
      <c r="G222" s="65" t="s">
        <v>48</v>
      </c>
      <c r="H222" s="65" t="s">
        <v>14</v>
      </c>
      <c r="I222" s="66" t="s">
        <v>12</v>
      </c>
      <c r="J222" s="67">
        <v>990018.75</v>
      </c>
      <c r="K222" s="68">
        <v>0</v>
      </c>
      <c r="L222" s="67">
        <v>0</v>
      </c>
      <c r="M222" s="69">
        <v>0</v>
      </c>
      <c r="N222" s="70">
        <v>0</v>
      </c>
      <c r="O222" s="70">
        <v>147242.87</v>
      </c>
      <c r="P222" s="70">
        <v>71349835.590000004</v>
      </c>
      <c r="Q222" s="70">
        <v>0</v>
      </c>
      <c r="R222" s="71">
        <v>371078304</v>
      </c>
      <c r="S222" s="70">
        <v>-0.04</v>
      </c>
      <c r="T222" s="70">
        <v>371078303.95999998</v>
      </c>
      <c r="U222" s="72" t="s">
        <v>0</v>
      </c>
    </row>
    <row r="223" spans="1:21" ht="14.45" customHeight="1">
      <c r="A223" s="64">
        <v>45707</v>
      </c>
      <c r="B223" s="64">
        <v>45672</v>
      </c>
      <c r="C223" s="64">
        <v>45646</v>
      </c>
      <c r="D223" s="65" t="s">
        <v>287</v>
      </c>
      <c r="E223" s="65" t="s">
        <v>288</v>
      </c>
      <c r="F223" s="65" t="s">
        <v>289</v>
      </c>
      <c r="G223" s="65" t="s">
        <v>76</v>
      </c>
      <c r="H223" s="65" t="s">
        <v>14</v>
      </c>
      <c r="I223" s="66" t="s">
        <v>12</v>
      </c>
      <c r="J223" s="67">
        <v>-990018.75</v>
      </c>
      <c r="K223" s="68">
        <v>0.99250000000000005</v>
      </c>
      <c r="L223" s="67">
        <v>997500</v>
      </c>
      <c r="M223" s="69">
        <v>0</v>
      </c>
      <c r="N223" s="70">
        <v>0</v>
      </c>
      <c r="O223" s="70">
        <v>147242.87</v>
      </c>
      <c r="P223" s="70">
        <v>70359816.840000004</v>
      </c>
      <c r="Q223" s="70">
        <v>0</v>
      </c>
      <c r="R223" s="71">
        <v>372075804</v>
      </c>
      <c r="S223" s="70">
        <v>-0.04</v>
      </c>
      <c r="T223" s="70">
        <v>372075803.95999998</v>
      </c>
      <c r="U223" s="72" t="s">
        <v>0</v>
      </c>
    </row>
    <row r="224" spans="1:21" ht="14.45" customHeight="1">
      <c r="A224" s="64">
        <v>45707</v>
      </c>
      <c r="B224" s="64">
        <v>45688</v>
      </c>
      <c r="C224" s="64">
        <v>45688</v>
      </c>
      <c r="D224" s="65" t="s">
        <v>287</v>
      </c>
      <c r="E224" s="65" t="s">
        <v>288</v>
      </c>
      <c r="F224" s="65" t="s">
        <v>289</v>
      </c>
      <c r="G224" s="65" t="s">
        <v>66</v>
      </c>
      <c r="H224" s="65" t="s">
        <v>13</v>
      </c>
      <c r="I224" s="66" t="s">
        <v>12</v>
      </c>
      <c r="J224" s="67">
        <v>4531.53</v>
      </c>
      <c r="K224" s="68">
        <v>0</v>
      </c>
      <c r="L224" s="67">
        <v>0</v>
      </c>
      <c r="M224" s="69">
        <v>0</v>
      </c>
      <c r="N224" s="70">
        <v>0</v>
      </c>
      <c r="O224" s="70">
        <v>151774.39999999999</v>
      </c>
      <c r="P224" s="70">
        <v>70359816.840000004</v>
      </c>
      <c r="Q224" s="70">
        <v>0</v>
      </c>
      <c r="R224" s="71">
        <v>372075804</v>
      </c>
      <c r="S224" s="70">
        <v>-0.04</v>
      </c>
      <c r="T224" s="70">
        <v>372075803.95999998</v>
      </c>
      <c r="U224" s="72" t="s">
        <v>0</v>
      </c>
    </row>
    <row r="225" spans="1:21" ht="14.45" customHeight="1">
      <c r="A225" s="64">
        <v>45707</v>
      </c>
      <c r="B225" s="64">
        <v>45673</v>
      </c>
      <c r="C225" s="64">
        <v>45673</v>
      </c>
      <c r="D225" s="65" t="s">
        <v>233</v>
      </c>
      <c r="E225" s="65" t="s">
        <v>86</v>
      </c>
      <c r="F225" s="65" t="s">
        <v>237</v>
      </c>
      <c r="G225" s="65" t="s">
        <v>290</v>
      </c>
      <c r="H225" s="65" t="s">
        <v>13</v>
      </c>
      <c r="I225" s="66" t="s">
        <v>12</v>
      </c>
      <c r="J225" s="67">
        <v>35190</v>
      </c>
      <c r="K225" s="68">
        <v>0</v>
      </c>
      <c r="L225" s="67">
        <v>0</v>
      </c>
      <c r="M225" s="69">
        <v>0</v>
      </c>
      <c r="N225" s="70">
        <v>0</v>
      </c>
      <c r="O225" s="70">
        <v>186964.4</v>
      </c>
      <c r="P225" s="70">
        <v>70359816.840000004</v>
      </c>
      <c r="Q225" s="70">
        <v>0</v>
      </c>
      <c r="R225" s="71">
        <v>372075804</v>
      </c>
      <c r="S225" s="70">
        <v>-0.04</v>
      </c>
      <c r="T225" s="70">
        <v>372075803.95999998</v>
      </c>
      <c r="U225" s="72" t="s">
        <v>0</v>
      </c>
    </row>
    <row r="226" spans="1:21" ht="14.45" customHeight="1">
      <c r="A226" s="64">
        <v>45707</v>
      </c>
      <c r="B226" s="64">
        <v>45673</v>
      </c>
      <c r="C226" s="64">
        <v>45673</v>
      </c>
      <c r="D226" s="65" t="s">
        <v>233</v>
      </c>
      <c r="E226" s="65" t="s">
        <v>234</v>
      </c>
      <c r="F226" s="65" t="s">
        <v>235</v>
      </c>
      <c r="G226" s="65" t="s">
        <v>290</v>
      </c>
      <c r="H226" s="65" t="s">
        <v>13</v>
      </c>
      <c r="I226" s="66" t="s">
        <v>12</v>
      </c>
      <c r="J226" s="67">
        <v>1813.92</v>
      </c>
      <c r="K226" s="68">
        <v>0</v>
      </c>
      <c r="L226" s="67">
        <v>0</v>
      </c>
      <c r="M226" s="69">
        <v>0</v>
      </c>
      <c r="N226" s="70">
        <v>0</v>
      </c>
      <c r="O226" s="70">
        <v>188778.32</v>
      </c>
      <c r="P226" s="70">
        <v>70359816.840000004</v>
      </c>
      <c r="Q226" s="70">
        <v>0</v>
      </c>
      <c r="R226" s="71">
        <v>372075804</v>
      </c>
      <c r="S226" s="70">
        <v>-0.04</v>
      </c>
      <c r="T226" s="70">
        <v>372075803.95999998</v>
      </c>
      <c r="U226" s="72" t="s">
        <v>0</v>
      </c>
    </row>
    <row r="227" spans="1:21" ht="14.45" customHeight="1">
      <c r="A227" s="64">
        <v>45707</v>
      </c>
      <c r="B227" s="64">
        <v>45673</v>
      </c>
      <c r="C227" s="64">
        <v>45673</v>
      </c>
      <c r="D227" s="65" t="s">
        <v>233</v>
      </c>
      <c r="E227" s="65" t="s">
        <v>223</v>
      </c>
      <c r="F227" s="65" t="s">
        <v>236</v>
      </c>
      <c r="G227" s="65" t="s">
        <v>290</v>
      </c>
      <c r="H227" s="65" t="s">
        <v>13</v>
      </c>
      <c r="I227" s="66" t="s">
        <v>12</v>
      </c>
      <c r="J227" s="67">
        <v>12697.42</v>
      </c>
      <c r="K227" s="68">
        <v>0</v>
      </c>
      <c r="L227" s="67">
        <v>0</v>
      </c>
      <c r="M227" s="69">
        <v>0</v>
      </c>
      <c r="N227" s="70">
        <v>0</v>
      </c>
      <c r="O227" s="70">
        <v>201475.74</v>
      </c>
      <c r="P227" s="70">
        <v>70359816.840000004</v>
      </c>
      <c r="Q227" s="70">
        <v>0</v>
      </c>
      <c r="R227" s="71">
        <v>372075804</v>
      </c>
      <c r="S227" s="70">
        <v>-0.04</v>
      </c>
      <c r="T227" s="70">
        <v>372075803.95999998</v>
      </c>
      <c r="U227" s="72" t="s">
        <v>0</v>
      </c>
    </row>
    <row r="228" spans="1:21" ht="14.45" customHeight="1">
      <c r="A228" s="64">
        <v>45708</v>
      </c>
      <c r="B228" s="64">
        <v>45693</v>
      </c>
      <c r="C228" s="64">
        <v>45693</v>
      </c>
      <c r="D228" s="65" t="s">
        <v>131</v>
      </c>
      <c r="E228" s="65" t="s">
        <v>132</v>
      </c>
      <c r="F228" s="65" t="s">
        <v>133</v>
      </c>
      <c r="G228" s="65" t="s">
        <v>57</v>
      </c>
      <c r="H228" s="65"/>
      <c r="I228" s="66" t="s">
        <v>12</v>
      </c>
      <c r="J228" s="67">
        <v>0</v>
      </c>
      <c r="K228" s="68">
        <v>0</v>
      </c>
      <c r="L228" s="67">
        <v>204469.56</v>
      </c>
      <c r="M228" s="69">
        <v>0</v>
      </c>
      <c r="N228" s="70">
        <v>0</v>
      </c>
      <c r="O228" s="70">
        <v>201475.74</v>
      </c>
      <c r="P228" s="70">
        <v>70359816.840000004</v>
      </c>
      <c r="Q228" s="70">
        <v>0</v>
      </c>
      <c r="R228" s="71">
        <v>372280273.56</v>
      </c>
      <c r="S228" s="70">
        <v>-0.04</v>
      </c>
      <c r="T228" s="70">
        <v>372280273.51999998</v>
      </c>
      <c r="U228" s="72" t="s">
        <v>0</v>
      </c>
    </row>
    <row r="229" spans="1:21" ht="14.45" customHeight="1">
      <c r="A229" s="64">
        <v>45713</v>
      </c>
      <c r="B229" s="64">
        <v>45712</v>
      </c>
      <c r="C229" s="64">
        <v>45712</v>
      </c>
      <c r="D229" s="65" t="s">
        <v>80</v>
      </c>
      <c r="E229" s="65" t="s">
        <v>83</v>
      </c>
      <c r="F229" s="65" t="s">
        <v>84</v>
      </c>
      <c r="G229" s="65" t="s">
        <v>66</v>
      </c>
      <c r="H229" s="65" t="s">
        <v>13</v>
      </c>
      <c r="I229" s="66" t="s">
        <v>12</v>
      </c>
      <c r="J229" s="67">
        <v>18833.669999999998</v>
      </c>
      <c r="K229" s="68">
        <v>0</v>
      </c>
      <c r="L229" s="67">
        <v>0</v>
      </c>
      <c r="M229" s="69">
        <v>0</v>
      </c>
      <c r="N229" s="70">
        <v>0</v>
      </c>
      <c r="O229" s="70">
        <v>220309.41</v>
      </c>
      <c r="P229" s="70">
        <v>70359816.840000004</v>
      </c>
      <c r="Q229" s="70">
        <v>0</v>
      </c>
      <c r="R229" s="71">
        <v>372280273.56</v>
      </c>
      <c r="S229" s="70">
        <v>-0.04</v>
      </c>
      <c r="T229" s="70">
        <v>372280273.51999998</v>
      </c>
      <c r="U229" s="72" t="s">
        <v>0</v>
      </c>
    </row>
    <row r="230" spans="1:21" ht="14.45" customHeight="1">
      <c r="A230" s="64">
        <v>45715</v>
      </c>
      <c r="B230" s="64">
        <v>45714</v>
      </c>
      <c r="C230" s="64">
        <v>45714</v>
      </c>
      <c r="D230" s="65" t="s">
        <v>265</v>
      </c>
      <c r="E230" s="65" t="s">
        <v>266</v>
      </c>
      <c r="F230" s="65" t="s">
        <v>267</v>
      </c>
      <c r="G230" s="65" t="s">
        <v>71</v>
      </c>
      <c r="H230" s="65" t="s">
        <v>14</v>
      </c>
      <c r="I230" s="66" t="s">
        <v>12</v>
      </c>
      <c r="J230" s="67">
        <v>1464644.84</v>
      </c>
      <c r="K230" s="68">
        <v>1</v>
      </c>
      <c r="L230" s="67">
        <v>-1464644.84</v>
      </c>
      <c r="M230" s="69">
        <v>0</v>
      </c>
      <c r="N230" s="70">
        <v>0</v>
      </c>
      <c r="O230" s="70">
        <v>220309.41</v>
      </c>
      <c r="P230" s="70">
        <v>71824461.680000007</v>
      </c>
      <c r="Q230" s="70">
        <v>0</v>
      </c>
      <c r="R230" s="71">
        <v>370815628.72000003</v>
      </c>
      <c r="S230" s="70">
        <v>-0.04</v>
      </c>
      <c r="T230" s="70">
        <v>370815628.68000001</v>
      </c>
      <c r="U230" s="72" t="s">
        <v>0</v>
      </c>
    </row>
    <row r="231" spans="1:21" ht="14.45" customHeight="1">
      <c r="A231" s="64">
        <v>45715</v>
      </c>
      <c r="B231" s="64">
        <v>45714</v>
      </c>
      <c r="C231" s="64">
        <v>45714</v>
      </c>
      <c r="D231" s="65" t="s">
        <v>265</v>
      </c>
      <c r="E231" s="65" t="s">
        <v>266</v>
      </c>
      <c r="F231" s="65" t="s">
        <v>267</v>
      </c>
      <c r="G231" s="65" t="s">
        <v>66</v>
      </c>
      <c r="H231" s="65" t="s">
        <v>13</v>
      </c>
      <c r="I231" s="66" t="s">
        <v>12</v>
      </c>
      <c r="J231" s="67">
        <v>19941.650000000001</v>
      </c>
      <c r="K231" s="68">
        <v>0</v>
      </c>
      <c r="L231" s="67">
        <v>0</v>
      </c>
      <c r="M231" s="69">
        <v>0</v>
      </c>
      <c r="N231" s="70">
        <v>0</v>
      </c>
      <c r="O231" s="70">
        <v>240251.06</v>
      </c>
      <c r="P231" s="70">
        <v>71824461.680000007</v>
      </c>
      <c r="Q231" s="70">
        <v>0</v>
      </c>
      <c r="R231" s="71">
        <v>370815628.72000003</v>
      </c>
      <c r="S231" s="70">
        <v>-0.04</v>
      </c>
      <c r="T231" s="70">
        <v>370815628.68000001</v>
      </c>
      <c r="U231" s="72" t="s">
        <v>0</v>
      </c>
    </row>
    <row r="232" spans="1:21" ht="14.45" customHeight="1">
      <c r="A232" s="64">
        <v>45715</v>
      </c>
      <c r="B232" s="64">
        <v>45706</v>
      </c>
      <c r="C232" s="64">
        <v>45706</v>
      </c>
      <c r="D232" s="65" t="s">
        <v>196</v>
      </c>
      <c r="E232" s="65" t="s">
        <v>199</v>
      </c>
      <c r="F232" s="65" t="s">
        <v>200</v>
      </c>
      <c r="G232" s="65" t="s">
        <v>66</v>
      </c>
      <c r="H232" s="65" t="s">
        <v>13</v>
      </c>
      <c r="I232" s="66" t="s">
        <v>12</v>
      </c>
      <c r="J232" s="67">
        <v>21099.16</v>
      </c>
      <c r="K232" s="68">
        <v>0</v>
      </c>
      <c r="L232" s="67">
        <v>0</v>
      </c>
      <c r="M232" s="69">
        <v>0</v>
      </c>
      <c r="N232" s="70">
        <v>0</v>
      </c>
      <c r="O232" s="70">
        <v>261350.22</v>
      </c>
      <c r="P232" s="70">
        <v>71824461.680000007</v>
      </c>
      <c r="Q232" s="70">
        <v>0</v>
      </c>
      <c r="R232" s="71">
        <v>370815628.72000003</v>
      </c>
      <c r="S232" s="70">
        <v>-0.04</v>
      </c>
      <c r="T232" s="70">
        <v>370815628.68000001</v>
      </c>
      <c r="U232" s="72" t="s">
        <v>0</v>
      </c>
    </row>
    <row r="233" spans="1:21" ht="14.45" customHeight="1">
      <c r="A233" s="64">
        <v>45715</v>
      </c>
      <c r="B233" s="64">
        <v>45706</v>
      </c>
      <c r="C233" s="64">
        <v>45706</v>
      </c>
      <c r="D233" s="65" t="s">
        <v>196</v>
      </c>
      <c r="E233" s="65" t="s">
        <v>197</v>
      </c>
      <c r="F233" s="65" t="s">
        <v>198</v>
      </c>
      <c r="G233" s="65" t="s">
        <v>66</v>
      </c>
      <c r="H233" s="65" t="s">
        <v>13</v>
      </c>
      <c r="I233" s="66" t="s">
        <v>12</v>
      </c>
      <c r="J233" s="67">
        <v>80561.210000000006</v>
      </c>
      <c r="K233" s="68">
        <v>0</v>
      </c>
      <c r="L233" s="67">
        <v>0</v>
      </c>
      <c r="M233" s="69">
        <v>0</v>
      </c>
      <c r="N233" s="70">
        <v>0</v>
      </c>
      <c r="O233" s="70">
        <v>341911.43</v>
      </c>
      <c r="P233" s="70">
        <v>71824461.680000007</v>
      </c>
      <c r="Q233" s="70">
        <v>0</v>
      </c>
      <c r="R233" s="71">
        <v>370815628.72000003</v>
      </c>
      <c r="S233" s="70">
        <v>-0.04</v>
      </c>
      <c r="T233" s="70">
        <v>370815628.68000001</v>
      </c>
      <c r="U233" s="72" t="s">
        <v>0</v>
      </c>
    </row>
    <row r="234" spans="1:21" ht="14.45" customHeight="1">
      <c r="A234" s="64">
        <v>45715</v>
      </c>
      <c r="B234" s="64">
        <v>45706</v>
      </c>
      <c r="C234" s="64">
        <v>45706</v>
      </c>
      <c r="D234" s="65" t="s">
        <v>196</v>
      </c>
      <c r="E234" s="65" t="s">
        <v>291</v>
      </c>
      <c r="F234" s="65" t="s">
        <v>198</v>
      </c>
      <c r="G234" s="65" t="s">
        <v>282</v>
      </c>
      <c r="H234" s="65" t="s">
        <v>13</v>
      </c>
      <c r="I234" s="66" t="s">
        <v>12</v>
      </c>
      <c r="J234" s="67">
        <v>75628.89</v>
      </c>
      <c r="K234" s="68">
        <v>0</v>
      </c>
      <c r="L234" s="67">
        <v>0</v>
      </c>
      <c r="M234" s="69">
        <v>0</v>
      </c>
      <c r="N234" s="70">
        <v>0</v>
      </c>
      <c r="O234" s="70">
        <v>417540.32</v>
      </c>
      <c r="P234" s="70">
        <v>71824461.680000007</v>
      </c>
      <c r="Q234" s="70">
        <v>0</v>
      </c>
      <c r="R234" s="71">
        <v>370815628.72000003</v>
      </c>
      <c r="S234" s="70">
        <v>-0.04</v>
      </c>
      <c r="T234" s="70">
        <v>370815628.68000001</v>
      </c>
      <c r="U234" s="72" t="s">
        <v>0</v>
      </c>
    </row>
    <row r="235" spans="1:21" ht="14.45" customHeight="1">
      <c r="A235" s="64">
        <v>45715</v>
      </c>
      <c r="B235" s="64">
        <v>45706</v>
      </c>
      <c r="C235" s="64">
        <v>45706</v>
      </c>
      <c r="D235" s="65" t="s">
        <v>196</v>
      </c>
      <c r="E235" s="65" t="s">
        <v>292</v>
      </c>
      <c r="F235" s="65" t="s">
        <v>200</v>
      </c>
      <c r="G235" s="65" t="s">
        <v>282</v>
      </c>
      <c r="H235" s="65" t="s">
        <v>13</v>
      </c>
      <c r="I235" s="66" t="s">
        <v>12</v>
      </c>
      <c r="J235" s="67">
        <v>19807.38</v>
      </c>
      <c r="K235" s="68">
        <v>0</v>
      </c>
      <c r="L235" s="67">
        <v>0</v>
      </c>
      <c r="M235" s="69">
        <v>0</v>
      </c>
      <c r="N235" s="70">
        <v>0</v>
      </c>
      <c r="O235" s="70">
        <v>437347.7</v>
      </c>
      <c r="P235" s="70">
        <v>71824461.680000007</v>
      </c>
      <c r="Q235" s="70">
        <v>0</v>
      </c>
      <c r="R235" s="71">
        <v>370815628.72000003</v>
      </c>
      <c r="S235" s="70">
        <v>-0.04</v>
      </c>
      <c r="T235" s="70">
        <v>370815628.68000001</v>
      </c>
      <c r="U235" s="72" t="s">
        <v>0</v>
      </c>
    </row>
    <row r="236" spans="1:21" ht="14.45" customHeight="1">
      <c r="A236" s="64">
        <v>45716</v>
      </c>
      <c r="B236" s="64">
        <v>45716</v>
      </c>
      <c r="C236" s="64">
        <v>45716</v>
      </c>
      <c r="D236" s="65" t="s">
        <v>238</v>
      </c>
      <c r="E236" s="65" t="s">
        <v>239</v>
      </c>
      <c r="F236" s="65" t="s">
        <v>240</v>
      </c>
      <c r="G236" s="65" t="s">
        <v>57</v>
      </c>
      <c r="H236" s="65"/>
      <c r="I236" s="66" t="s">
        <v>12</v>
      </c>
      <c r="J236" s="67">
        <v>0</v>
      </c>
      <c r="K236" s="68">
        <v>0</v>
      </c>
      <c r="L236" s="67">
        <v>150254.04</v>
      </c>
      <c r="M236" s="69">
        <v>0</v>
      </c>
      <c r="N236" s="70">
        <v>0</v>
      </c>
      <c r="O236" s="70">
        <v>437347.7</v>
      </c>
      <c r="P236" s="70">
        <v>71824461.680000007</v>
      </c>
      <c r="Q236" s="70">
        <v>0</v>
      </c>
      <c r="R236" s="71">
        <v>370965882.75999999</v>
      </c>
      <c r="S236" s="70">
        <v>-0.04</v>
      </c>
      <c r="T236" s="70">
        <v>370965882.72000003</v>
      </c>
      <c r="U236" s="72" t="s">
        <v>0</v>
      </c>
    </row>
    <row r="237" spans="1:21" ht="14.45" customHeight="1">
      <c r="A237" s="64">
        <v>45716</v>
      </c>
      <c r="B237" s="64">
        <v>45716</v>
      </c>
      <c r="C237" s="64">
        <v>45716</v>
      </c>
      <c r="D237" s="65" t="s">
        <v>64</v>
      </c>
      <c r="E237" s="65" t="s">
        <v>65</v>
      </c>
      <c r="F237" s="65"/>
      <c r="G237" s="65" t="s">
        <v>66</v>
      </c>
      <c r="H237" s="65" t="s">
        <v>13</v>
      </c>
      <c r="I237" s="66" t="s">
        <v>12</v>
      </c>
      <c r="J237" s="67">
        <v>52789.65</v>
      </c>
      <c r="K237" s="68">
        <v>0</v>
      </c>
      <c r="L237" s="67">
        <v>0</v>
      </c>
      <c r="M237" s="69">
        <v>0</v>
      </c>
      <c r="N237" s="70">
        <v>0</v>
      </c>
      <c r="O237" s="70">
        <v>490137.35</v>
      </c>
      <c r="P237" s="70">
        <v>71824461.680000007</v>
      </c>
      <c r="Q237" s="70">
        <v>0</v>
      </c>
      <c r="R237" s="71">
        <v>370965882.75999999</v>
      </c>
      <c r="S237" s="70">
        <v>-0.04</v>
      </c>
      <c r="T237" s="70">
        <v>370965882.72000003</v>
      </c>
      <c r="U237" s="72" t="s">
        <v>0</v>
      </c>
    </row>
    <row r="238" spans="1:21" ht="14.45" customHeight="1">
      <c r="A238" s="64">
        <v>45716</v>
      </c>
      <c r="B238" s="64">
        <v>45716</v>
      </c>
      <c r="C238" s="64">
        <v>45716</v>
      </c>
      <c r="D238" s="65" t="s">
        <v>287</v>
      </c>
      <c r="E238" s="65" t="s">
        <v>288</v>
      </c>
      <c r="F238" s="65" t="s">
        <v>289</v>
      </c>
      <c r="G238" s="65" t="s">
        <v>66</v>
      </c>
      <c r="H238" s="65" t="s">
        <v>13</v>
      </c>
      <c r="I238" s="66" t="s">
        <v>12</v>
      </c>
      <c r="J238" s="67">
        <v>7894.93</v>
      </c>
      <c r="K238" s="68">
        <v>0</v>
      </c>
      <c r="L238" s="67">
        <v>0</v>
      </c>
      <c r="M238" s="69">
        <v>0</v>
      </c>
      <c r="N238" s="70">
        <v>0</v>
      </c>
      <c r="O238" s="70">
        <v>498032.28</v>
      </c>
      <c r="P238" s="70">
        <v>71824461.680000007</v>
      </c>
      <c r="Q238" s="70">
        <v>0</v>
      </c>
      <c r="R238" s="71">
        <v>370965882.75999999</v>
      </c>
      <c r="S238" s="70">
        <v>-0.04</v>
      </c>
      <c r="T238" s="70">
        <v>370965882.72000003</v>
      </c>
      <c r="U238" s="72" t="s">
        <v>0</v>
      </c>
    </row>
    <row r="239" spans="1:21" ht="14.45" customHeight="1">
      <c r="A239" s="64">
        <v>45716</v>
      </c>
      <c r="B239" s="64">
        <v>45716</v>
      </c>
      <c r="C239" s="64">
        <v>45716</v>
      </c>
      <c r="D239" s="65" t="s">
        <v>293</v>
      </c>
      <c r="E239" s="65" t="s">
        <v>294</v>
      </c>
      <c r="F239" s="65" t="s">
        <v>295</v>
      </c>
      <c r="G239" s="65" t="s">
        <v>76</v>
      </c>
      <c r="H239" s="65" t="s">
        <v>14</v>
      </c>
      <c r="I239" s="66" t="s">
        <v>12</v>
      </c>
      <c r="J239" s="67">
        <v>-990018.77</v>
      </c>
      <c r="K239" s="68">
        <v>0.99250000000000005</v>
      </c>
      <c r="L239" s="67">
        <v>997500.02</v>
      </c>
      <c r="M239" s="69">
        <v>0</v>
      </c>
      <c r="N239" s="70">
        <v>0</v>
      </c>
      <c r="O239" s="70">
        <v>498032.28</v>
      </c>
      <c r="P239" s="70">
        <v>70834442.909999996</v>
      </c>
      <c r="Q239" s="70">
        <v>0</v>
      </c>
      <c r="R239" s="71">
        <v>371963382.77999997</v>
      </c>
      <c r="S239" s="70">
        <v>-0.04</v>
      </c>
      <c r="T239" s="70">
        <v>371963382.74000001</v>
      </c>
      <c r="U239" s="72" t="s">
        <v>0</v>
      </c>
    </row>
    <row r="240" spans="1:21" ht="14.45" customHeight="1">
      <c r="A240" s="64">
        <v>45716</v>
      </c>
      <c r="B240" s="64">
        <v>45716</v>
      </c>
      <c r="C240" s="64">
        <v>45716</v>
      </c>
      <c r="D240" s="65" t="s">
        <v>67</v>
      </c>
      <c r="E240" s="65" t="s">
        <v>65</v>
      </c>
      <c r="F240" s="65" t="s">
        <v>68</v>
      </c>
      <c r="G240" s="65" t="s">
        <v>66</v>
      </c>
      <c r="H240" s="65" t="s">
        <v>13</v>
      </c>
      <c r="I240" s="66" t="s">
        <v>12</v>
      </c>
      <c r="J240" s="67">
        <v>10897.56</v>
      </c>
      <c r="K240" s="68">
        <v>0</v>
      </c>
      <c r="L240" s="67">
        <v>0</v>
      </c>
      <c r="M240" s="69">
        <v>0</v>
      </c>
      <c r="N240" s="70">
        <v>0</v>
      </c>
      <c r="O240" s="70">
        <v>508929.84</v>
      </c>
      <c r="P240" s="70">
        <v>70834442.909999996</v>
      </c>
      <c r="Q240" s="70">
        <v>0</v>
      </c>
      <c r="R240" s="71">
        <v>371963382.77999997</v>
      </c>
      <c r="S240" s="70">
        <v>-0.04</v>
      </c>
      <c r="T240" s="70">
        <v>371963382.74000001</v>
      </c>
      <c r="U240" s="72" t="s">
        <v>0</v>
      </c>
    </row>
    <row r="241" spans="1:21" ht="14.45" customHeight="1">
      <c r="A241" s="64">
        <v>45716</v>
      </c>
      <c r="B241" s="64">
        <v>45716</v>
      </c>
      <c r="C241" s="64">
        <v>45716</v>
      </c>
      <c r="D241" s="65" t="s">
        <v>106</v>
      </c>
      <c r="E241" s="65" t="s">
        <v>83</v>
      </c>
      <c r="F241" s="65" t="s">
        <v>296</v>
      </c>
      <c r="G241" s="65" t="s">
        <v>76</v>
      </c>
      <c r="H241" s="65" t="s">
        <v>14</v>
      </c>
      <c r="I241" s="66" t="s">
        <v>12</v>
      </c>
      <c r="J241" s="67">
        <v>-731888.43</v>
      </c>
      <c r="K241" s="68">
        <v>1</v>
      </c>
      <c r="L241" s="67">
        <v>731888.43</v>
      </c>
      <c r="M241" s="69">
        <v>0</v>
      </c>
      <c r="N241" s="70">
        <v>0</v>
      </c>
      <c r="O241" s="70">
        <v>508929.84</v>
      </c>
      <c r="P241" s="70">
        <v>70102554.480000004</v>
      </c>
      <c r="Q241" s="70">
        <v>0</v>
      </c>
      <c r="R241" s="71">
        <v>372695271.20999998</v>
      </c>
      <c r="S241" s="70">
        <v>-0.04</v>
      </c>
      <c r="T241" s="70">
        <v>372695271.17000002</v>
      </c>
      <c r="U241" s="72" t="s">
        <v>0</v>
      </c>
    </row>
    <row r="242" spans="1:21" ht="14.45" customHeight="1">
      <c r="A242" s="64">
        <v>45716</v>
      </c>
      <c r="B242" s="64">
        <v>45716</v>
      </c>
      <c r="C242" s="64">
        <v>45716</v>
      </c>
      <c r="D242" s="65" t="s">
        <v>106</v>
      </c>
      <c r="E242" s="65" t="s">
        <v>107</v>
      </c>
      <c r="F242" s="65" t="s">
        <v>108</v>
      </c>
      <c r="G242" s="65" t="s">
        <v>76</v>
      </c>
      <c r="H242" s="65" t="s">
        <v>14</v>
      </c>
      <c r="I242" s="66" t="s">
        <v>12</v>
      </c>
      <c r="J242" s="67">
        <v>-392371.32</v>
      </c>
      <c r="K242" s="68">
        <v>1</v>
      </c>
      <c r="L242" s="67">
        <v>392371.32</v>
      </c>
      <c r="M242" s="69">
        <v>0</v>
      </c>
      <c r="N242" s="70">
        <v>0</v>
      </c>
      <c r="O242" s="70">
        <v>508929.84</v>
      </c>
      <c r="P242" s="70">
        <v>69710183.159999996</v>
      </c>
      <c r="Q242" s="70">
        <v>0</v>
      </c>
      <c r="R242" s="71">
        <v>373087642.52999997</v>
      </c>
      <c r="S242" s="70">
        <v>-0.04</v>
      </c>
      <c r="T242" s="70">
        <v>373087642.49000001</v>
      </c>
      <c r="U242" s="72" t="s">
        <v>0</v>
      </c>
    </row>
    <row r="243" spans="1:21" ht="14.45" customHeight="1">
      <c r="A243" s="64">
        <v>45716</v>
      </c>
      <c r="B243" s="64">
        <v>45716</v>
      </c>
      <c r="C243" s="64">
        <v>45716</v>
      </c>
      <c r="D243" s="65" t="s">
        <v>112</v>
      </c>
      <c r="E243" s="65" t="s">
        <v>86</v>
      </c>
      <c r="F243" s="65" t="s">
        <v>113</v>
      </c>
      <c r="G243" s="65" t="s">
        <v>66</v>
      </c>
      <c r="H243" s="65" t="s">
        <v>13</v>
      </c>
      <c r="I243" s="66" t="s">
        <v>12</v>
      </c>
      <c r="J243" s="67">
        <v>18370.89</v>
      </c>
      <c r="K243" s="68">
        <v>0</v>
      </c>
      <c r="L243" s="67">
        <v>0</v>
      </c>
      <c r="M243" s="69">
        <v>0</v>
      </c>
      <c r="N243" s="70">
        <v>0</v>
      </c>
      <c r="O243" s="70">
        <v>527300.73</v>
      </c>
      <c r="P243" s="70">
        <v>69710183.159999996</v>
      </c>
      <c r="Q243" s="70">
        <v>0</v>
      </c>
      <c r="R243" s="71">
        <v>373087642.52999997</v>
      </c>
      <c r="S243" s="70">
        <v>-0.04</v>
      </c>
      <c r="T243" s="70">
        <v>373087642.49000001</v>
      </c>
      <c r="U243" s="72" t="s">
        <v>0</v>
      </c>
    </row>
    <row r="244" spans="1:21" ht="14.45" customHeight="1">
      <c r="A244" s="64">
        <v>45716</v>
      </c>
      <c r="B244" s="64">
        <v>45716</v>
      </c>
      <c r="C244" s="64">
        <v>45716</v>
      </c>
      <c r="D244" s="65" t="s">
        <v>233</v>
      </c>
      <c r="E244" s="65" t="s">
        <v>223</v>
      </c>
      <c r="F244" s="65" t="s">
        <v>236</v>
      </c>
      <c r="G244" s="65" t="s">
        <v>66</v>
      </c>
      <c r="H244" s="65" t="s">
        <v>13</v>
      </c>
      <c r="I244" s="66" t="s">
        <v>12</v>
      </c>
      <c r="J244" s="67">
        <v>58255.08</v>
      </c>
      <c r="K244" s="68">
        <v>0</v>
      </c>
      <c r="L244" s="67">
        <v>0</v>
      </c>
      <c r="M244" s="69">
        <v>0</v>
      </c>
      <c r="N244" s="70">
        <v>0</v>
      </c>
      <c r="O244" s="70">
        <v>585555.81000000006</v>
      </c>
      <c r="P244" s="70">
        <v>69710183.159999996</v>
      </c>
      <c r="Q244" s="70">
        <v>0</v>
      </c>
      <c r="R244" s="71">
        <v>373087642.52999997</v>
      </c>
      <c r="S244" s="70">
        <v>-0.04</v>
      </c>
      <c r="T244" s="70">
        <v>373087642.49000001</v>
      </c>
      <c r="U244" s="72" t="s">
        <v>0</v>
      </c>
    </row>
    <row r="245" spans="1:21" ht="14.45" customHeight="1">
      <c r="A245" s="64">
        <v>45716</v>
      </c>
      <c r="B245" s="64">
        <v>45716</v>
      </c>
      <c r="C245" s="64">
        <v>45716</v>
      </c>
      <c r="D245" s="65" t="s">
        <v>233</v>
      </c>
      <c r="E245" s="65" t="s">
        <v>86</v>
      </c>
      <c r="F245" s="65" t="s">
        <v>237</v>
      </c>
      <c r="G245" s="65" t="s">
        <v>66</v>
      </c>
      <c r="H245" s="65" t="s">
        <v>13</v>
      </c>
      <c r="I245" s="66" t="s">
        <v>12</v>
      </c>
      <c r="J245" s="67">
        <v>109740.65</v>
      </c>
      <c r="K245" s="68">
        <v>0</v>
      </c>
      <c r="L245" s="67">
        <v>0</v>
      </c>
      <c r="M245" s="69">
        <v>0</v>
      </c>
      <c r="N245" s="70">
        <v>0</v>
      </c>
      <c r="O245" s="70">
        <v>695296.46</v>
      </c>
      <c r="P245" s="70">
        <v>69710183.159999996</v>
      </c>
      <c r="Q245" s="70">
        <v>0</v>
      </c>
      <c r="R245" s="71">
        <v>373087642.52999997</v>
      </c>
      <c r="S245" s="70">
        <v>-0.04</v>
      </c>
      <c r="T245" s="70">
        <v>373087642.49000001</v>
      </c>
      <c r="U245" s="72" t="s">
        <v>0</v>
      </c>
    </row>
    <row r="246" spans="1:21" ht="14.45" customHeight="1">
      <c r="A246" s="64">
        <v>45716</v>
      </c>
      <c r="B246" s="64">
        <v>45716</v>
      </c>
      <c r="C246" s="64">
        <v>45716</v>
      </c>
      <c r="D246" s="65" t="s">
        <v>69</v>
      </c>
      <c r="E246" s="65" t="s">
        <v>65</v>
      </c>
      <c r="F246" s="65" t="s">
        <v>70</v>
      </c>
      <c r="G246" s="65" t="s">
        <v>71</v>
      </c>
      <c r="H246" s="65" t="s">
        <v>14</v>
      </c>
      <c r="I246" s="66" t="s">
        <v>12</v>
      </c>
      <c r="J246" s="67">
        <v>45430.27</v>
      </c>
      <c r="K246" s="68">
        <v>1</v>
      </c>
      <c r="L246" s="67">
        <v>-45430.27</v>
      </c>
      <c r="M246" s="69">
        <v>0</v>
      </c>
      <c r="N246" s="70">
        <v>0</v>
      </c>
      <c r="O246" s="70">
        <v>695296.46</v>
      </c>
      <c r="P246" s="70">
        <v>69755613.430000007</v>
      </c>
      <c r="Q246" s="70">
        <v>0</v>
      </c>
      <c r="R246" s="71">
        <v>373042212.25999999</v>
      </c>
      <c r="S246" s="70">
        <v>-0.04</v>
      </c>
      <c r="T246" s="70">
        <v>373042212.22000003</v>
      </c>
      <c r="U246" s="72" t="s">
        <v>0</v>
      </c>
    </row>
    <row r="247" spans="1:21" ht="14.45" customHeight="1">
      <c r="A247" s="64">
        <v>45716</v>
      </c>
      <c r="B247" s="64">
        <v>45716</v>
      </c>
      <c r="C247" s="64">
        <v>45716</v>
      </c>
      <c r="D247" s="65" t="s">
        <v>69</v>
      </c>
      <c r="E247" s="65" t="s">
        <v>65</v>
      </c>
      <c r="F247" s="65" t="s">
        <v>70</v>
      </c>
      <c r="G247" s="65" t="s">
        <v>72</v>
      </c>
      <c r="H247" s="65" t="s">
        <v>14</v>
      </c>
      <c r="I247" s="66" t="s">
        <v>12</v>
      </c>
      <c r="J247" s="67">
        <v>454.3</v>
      </c>
      <c r="K247" s="68">
        <v>0</v>
      </c>
      <c r="L247" s="67">
        <v>0</v>
      </c>
      <c r="M247" s="69">
        <v>0</v>
      </c>
      <c r="N247" s="70">
        <v>0</v>
      </c>
      <c r="O247" s="70">
        <v>695296.46</v>
      </c>
      <c r="P247" s="70">
        <v>69756067.730000004</v>
      </c>
      <c r="Q247" s="70">
        <v>0</v>
      </c>
      <c r="R247" s="71">
        <v>373042212.25999999</v>
      </c>
      <c r="S247" s="70">
        <v>-0.04</v>
      </c>
      <c r="T247" s="70">
        <v>373042212.22000003</v>
      </c>
      <c r="U247" s="72" t="s">
        <v>0</v>
      </c>
    </row>
    <row r="248" spans="1:21" ht="14.45" customHeight="1">
      <c r="A248" s="64">
        <v>45716</v>
      </c>
      <c r="B248" s="64">
        <v>45716</v>
      </c>
      <c r="C248" s="64">
        <v>45716</v>
      </c>
      <c r="D248" s="65" t="s">
        <v>69</v>
      </c>
      <c r="E248" s="65" t="s">
        <v>65</v>
      </c>
      <c r="F248" s="65" t="s">
        <v>70</v>
      </c>
      <c r="G248" s="65" t="s">
        <v>66</v>
      </c>
      <c r="H248" s="65" t="s">
        <v>13</v>
      </c>
      <c r="I248" s="66" t="s">
        <v>12</v>
      </c>
      <c r="J248" s="67">
        <v>25541.119999999999</v>
      </c>
      <c r="K248" s="68">
        <v>0</v>
      </c>
      <c r="L248" s="67">
        <v>0</v>
      </c>
      <c r="M248" s="69">
        <v>0</v>
      </c>
      <c r="N248" s="70">
        <v>0</v>
      </c>
      <c r="O248" s="70">
        <v>720837.58</v>
      </c>
      <c r="P248" s="70">
        <v>69756067.730000004</v>
      </c>
      <c r="Q248" s="70">
        <v>0</v>
      </c>
      <c r="R248" s="71">
        <v>373042212.25999999</v>
      </c>
      <c r="S248" s="70">
        <v>-0.04</v>
      </c>
      <c r="T248" s="70">
        <v>373042212.22000003</v>
      </c>
      <c r="U248" s="72" t="s">
        <v>0</v>
      </c>
    </row>
    <row r="249" spans="1:21" ht="14.45" customHeight="1">
      <c r="A249" s="64">
        <v>45716</v>
      </c>
      <c r="B249" s="64">
        <v>45714</v>
      </c>
      <c r="C249" s="64">
        <v>45712</v>
      </c>
      <c r="D249" s="65" t="s">
        <v>148</v>
      </c>
      <c r="E249" s="65" t="s">
        <v>176</v>
      </c>
      <c r="F249" s="65" t="s">
        <v>216</v>
      </c>
      <c r="G249" s="65" t="s">
        <v>76</v>
      </c>
      <c r="H249" s="65" t="s">
        <v>14</v>
      </c>
      <c r="I249" s="66" t="s">
        <v>12</v>
      </c>
      <c r="J249" s="67">
        <v>-1844800.65</v>
      </c>
      <c r="K249" s="68">
        <v>0.99</v>
      </c>
      <c r="L249" s="67">
        <v>1863435</v>
      </c>
      <c r="M249" s="69">
        <v>0</v>
      </c>
      <c r="N249" s="70">
        <v>0</v>
      </c>
      <c r="O249" s="70">
        <v>720837.58</v>
      </c>
      <c r="P249" s="70">
        <v>67911267.079999998</v>
      </c>
      <c r="Q249" s="70">
        <v>0</v>
      </c>
      <c r="R249" s="71">
        <v>374905647.25999999</v>
      </c>
      <c r="S249" s="70">
        <v>-0.04</v>
      </c>
      <c r="T249" s="70">
        <v>374905647.22000003</v>
      </c>
      <c r="U249" s="72" t="s">
        <v>0</v>
      </c>
    </row>
    <row r="250" spans="1:21" ht="14.45" customHeight="1">
      <c r="A250" s="64">
        <v>45716</v>
      </c>
      <c r="B250" s="64">
        <v>45714</v>
      </c>
      <c r="C250" s="64">
        <v>45712</v>
      </c>
      <c r="D250" s="65" t="s">
        <v>148</v>
      </c>
      <c r="E250" s="65" t="s">
        <v>115</v>
      </c>
      <c r="F250" s="65"/>
      <c r="G250" s="65" t="s">
        <v>76</v>
      </c>
      <c r="H250" s="65" t="s">
        <v>14</v>
      </c>
      <c r="I250" s="66" t="s">
        <v>12</v>
      </c>
      <c r="J250" s="67">
        <v>-1688247</v>
      </c>
      <c r="K250" s="68">
        <v>0.99</v>
      </c>
      <c r="L250" s="67">
        <v>1705300</v>
      </c>
      <c r="M250" s="69">
        <v>0</v>
      </c>
      <c r="N250" s="70">
        <v>0</v>
      </c>
      <c r="O250" s="70">
        <v>720837.58</v>
      </c>
      <c r="P250" s="70">
        <v>66223020.079999998</v>
      </c>
      <c r="Q250" s="70">
        <v>0</v>
      </c>
      <c r="R250" s="71">
        <v>376610947.25999999</v>
      </c>
      <c r="S250" s="70">
        <v>-0.04</v>
      </c>
      <c r="T250" s="70">
        <v>376610947.22000003</v>
      </c>
      <c r="U250" s="72" t="s">
        <v>0</v>
      </c>
    </row>
    <row r="251" spans="1:21" ht="14.45" customHeight="1">
      <c r="A251" s="64">
        <v>45716</v>
      </c>
      <c r="B251" s="64">
        <v>45714</v>
      </c>
      <c r="C251" s="64">
        <v>45712</v>
      </c>
      <c r="D251" s="65" t="s">
        <v>154</v>
      </c>
      <c r="E251" s="65" t="s">
        <v>192</v>
      </c>
      <c r="F251" s="65" t="s">
        <v>225</v>
      </c>
      <c r="G251" s="65" t="s">
        <v>76</v>
      </c>
      <c r="H251" s="65" t="s">
        <v>14</v>
      </c>
      <c r="I251" s="66" t="s">
        <v>12</v>
      </c>
      <c r="J251" s="67">
        <v>-2076353.79</v>
      </c>
      <c r="K251" s="68">
        <v>0.98499999999999999</v>
      </c>
      <c r="L251" s="67">
        <v>2107973.39</v>
      </c>
      <c r="M251" s="69">
        <v>0</v>
      </c>
      <c r="N251" s="70">
        <v>0</v>
      </c>
      <c r="O251" s="70">
        <v>720837.58</v>
      </c>
      <c r="P251" s="70">
        <v>64146666.289999999</v>
      </c>
      <c r="Q251" s="70">
        <v>0</v>
      </c>
      <c r="R251" s="71">
        <v>378718920.64999998</v>
      </c>
      <c r="S251" s="70">
        <v>-0.04</v>
      </c>
      <c r="T251" s="70">
        <v>378718920.61000001</v>
      </c>
      <c r="U251" s="72" t="s">
        <v>0</v>
      </c>
    </row>
    <row r="252" spans="1:21" ht="14.45" customHeight="1">
      <c r="A252" s="64">
        <v>45716</v>
      </c>
      <c r="B252" s="64">
        <v>45714</v>
      </c>
      <c r="C252" s="64">
        <v>45712</v>
      </c>
      <c r="D252" s="65" t="s">
        <v>154</v>
      </c>
      <c r="E252" s="65" t="s">
        <v>234</v>
      </c>
      <c r="F252" s="65" t="s">
        <v>297</v>
      </c>
      <c r="G252" s="65" t="s">
        <v>76</v>
      </c>
      <c r="H252" s="65" t="s">
        <v>14</v>
      </c>
      <c r="I252" s="66" t="s">
        <v>12</v>
      </c>
      <c r="J252" s="67">
        <v>-3679376.36</v>
      </c>
      <c r="K252" s="68">
        <v>0.98499999999999999</v>
      </c>
      <c r="L252" s="67">
        <v>3735407.47</v>
      </c>
      <c r="M252" s="69">
        <v>-0.01</v>
      </c>
      <c r="N252" s="70">
        <v>0</v>
      </c>
      <c r="O252" s="70">
        <v>720837.58</v>
      </c>
      <c r="P252" s="70">
        <v>60467289.93</v>
      </c>
      <c r="Q252" s="70">
        <v>0</v>
      </c>
      <c r="R252" s="71">
        <v>382454328.12</v>
      </c>
      <c r="S252" s="70">
        <v>-0.05</v>
      </c>
      <c r="T252" s="70">
        <v>382454328.06999999</v>
      </c>
      <c r="U252" s="72" t="s">
        <v>0</v>
      </c>
    </row>
    <row r="253" spans="1:21" ht="14.45" customHeight="1">
      <c r="A253" s="64">
        <v>45716</v>
      </c>
      <c r="B253" s="64">
        <v>45714</v>
      </c>
      <c r="C253" s="64">
        <v>45712</v>
      </c>
      <c r="D253" s="65" t="s">
        <v>268</v>
      </c>
      <c r="E253" s="65" t="s">
        <v>83</v>
      </c>
      <c r="F253" s="65"/>
      <c r="G253" s="65" t="s">
        <v>76</v>
      </c>
      <c r="H253" s="65" t="s">
        <v>14</v>
      </c>
      <c r="I253" s="66" t="s">
        <v>12</v>
      </c>
      <c r="J253" s="67">
        <v>-2088031.55</v>
      </c>
      <c r="K253" s="68">
        <v>0.99250000000000005</v>
      </c>
      <c r="L253" s="67">
        <v>2103810.13</v>
      </c>
      <c r="M253" s="69">
        <v>0</v>
      </c>
      <c r="N253" s="70">
        <v>0</v>
      </c>
      <c r="O253" s="70">
        <v>720837.58</v>
      </c>
      <c r="P253" s="70">
        <v>58379258.380000003</v>
      </c>
      <c r="Q253" s="70">
        <v>0</v>
      </c>
      <c r="R253" s="71">
        <v>384558138.25</v>
      </c>
      <c r="S253" s="70">
        <v>-0.05</v>
      </c>
      <c r="T253" s="70">
        <v>384558138.19999999</v>
      </c>
      <c r="U253" s="72" t="s">
        <v>0</v>
      </c>
    </row>
    <row r="254" spans="1:21" ht="14.45" customHeight="1">
      <c r="A254" s="64">
        <v>45716</v>
      </c>
      <c r="B254" s="64">
        <v>45714</v>
      </c>
      <c r="C254" s="64">
        <v>45712</v>
      </c>
      <c r="D254" s="65" t="s">
        <v>160</v>
      </c>
      <c r="E254" s="65" t="s">
        <v>298</v>
      </c>
      <c r="F254" s="65"/>
      <c r="G254" s="65" t="s">
        <v>76</v>
      </c>
      <c r="H254" s="65" t="s">
        <v>14</v>
      </c>
      <c r="I254" s="66" t="s">
        <v>12</v>
      </c>
      <c r="J254" s="67">
        <v>-3566437.1</v>
      </c>
      <c r="K254" s="68">
        <v>0.99</v>
      </c>
      <c r="L254" s="67">
        <v>3602461.72</v>
      </c>
      <c r="M254" s="69">
        <v>0</v>
      </c>
      <c r="N254" s="70">
        <v>0</v>
      </c>
      <c r="O254" s="70">
        <v>720837.58</v>
      </c>
      <c r="P254" s="70">
        <v>54812821.280000001</v>
      </c>
      <c r="Q254" s="70">
        <v>0</v>
      </c>
      <c r="R254" s="71">
        <v>388160599.97000003</v>
      </c>
      <c r="S254" s="70">
        <v>-0.05</v>
      </c>
      <c r="T254" s="70">
        <v>388160599.92000002</v>
      </c>
      <c r="U254" s="72" t="s">
        <v>0</v>
      </c>
    </row>
    <row r="255" spans="1:21" ht="14.45" customHeight="1">
      <c r="A255" s="64">
        <v>45716</v>
      </c>
      <c r="B255" s="64">
        <v>45714</v>
      </c>
      <c r="C255" s="64">
        <v>45712</v>
      </c>
      <c r="D255" s="65" t="s">
        <v>175</v>
      </c>
      <c r="E255" s="65" t="s">
        <v>176</v>
      </c>
      <c r="F255" s="65" t="s">
        <v>177</v>
      </c>
      <c r="G255" s="65" t="s">
        <v>76</v>
      </c>
      <c r="H255" s="65" t="s">
        <v>14</v>
      </c>
      <c r="I255" s="66" t="s">
        <v>12</v>
      </c>
      <c r="J255" s="67">
        <v>-7706310.6699999999</v>
      </c>
      <c r="K255" s="68">
        <v>1</v>
      </c>
      <c r="L255" s="67">
        <v>7706310.6699999999</v>
      </c>
      <c r="M255" s="69">
        <v>0</v>
      </c>
      <c r="N255" s="70">
        <v>0</v>
      </c>
      <c r="O255" s="70">
        <v>720837.58</v>
      </c>
      <c r="P255" s="70">
        <v>47106510.609999999</v>
      </c>
      <c r="Q255" s="70">
        <v>0</v>
      </c>
      <c r="R255" s="71">
        <v>395866910.63999999</v>
      </c>
      <c r="S255" s="70">
        <v>-0.05</v>
      </c>
      <c r="T255" s="70">
        <v>395866910.58999997</v>
      </c>
      <c r="U255" s="72" t="s">
        <v>0</v>
      </c>
    </row>
    <row r="256" spans="1:21" ht="14.45" customHeight="1">
      <c r="A256" s="64">
        <v>45716</v>
      </c>
      <c r="B256" s="64">
        <v>45714</v>
      </c>
      <c r="C256" s="64">
        <v>45712</v>
      </c>
      <c r="D256" s="65" t="s">
        <v>175</v>
      </c>
      <c r="E256" s="65" t="s">
        <v>115</v>
      </c>
      <c r="F256" s="65"/>
      <c r="G256" s="65" t="s">
        <v>76</v>
      </c>
      <c r="H256" s="65" t="s">
        <v>14</v>
      </c>
      <c r="I256" s="66" t="s">
        <v>12</v>
      </c>
      <c r="J256" s="67">
        <v>-710579.33</v>
      </c>
      <c r="K256" s="68">
        <v>1</v>
      </c>
      <c r="L256" s="67">
        <v>710579.33</v>
      </c>
      <c r="M256" s="69">
        <v>0</v>
      </c>
      <c r="N256" s="70">
        <v>0</v>
      </c>
      <c r="O256" s="70">
        <v>720837.58</v>
      </c>
      <c r="P256" s="70">
        <v>46395931.280000001</v>
      </c>
      <c r="Q256" s="70">
        <v>0</v>
      </c>
      <c r="R256" s="71">
        <v>396577489.97000003</v>
      </c>
      <c r="S256" s="70">
        <v>-0.05</v>
      </c>
      <c r="T256" s="70">
        <v>396577489.92000002</v>
      </c>
      <c r="U256" s="72" t="s">
        <v>0</v>
      </c>
    </row>
    <row r="257" spans="1:21" ht="14.45" customHeight="1">
      <c r="A257" s="64">
        <v>45716</v>
      </c>
      <c r="B257" s="64">
        <v>45714</v>
      </c>
      <c r="C257" s="64">
        <v>45712</v>
      </c>
      <c r="D257" s="65" t="s">
        <v>116</v>
      </c>
      <c r="E257" s="65" t="s">
        <v>130</v>
      </c>
      <c r="F257" s="65"/>
      <c r="G257" s="65" t="s">
        <v>76</v>
      </c>
      <c r="H257" s="65" t="s">
        <v>14</v>
      </c>
      <c r="I257" s="66" t="s">
        <v>12</v>
      </c>
      <c r="J257" s="67">
        <v>-564538.59</v>
      </c>
      <c r="K257" s="68">
        <v>0.99250000000000005</v>
      </c>
      <c r="L257" s="67">
        <v>568804.62</v>
      </c>
      <c r="M257" s="69">
        <v>0</v>
      </c>
      <c r="N257" s="70">
        <v>0</v>
      </c>
      <c r="O257" s="70">
        <v>720837.58</v>
      </c>
      <c r="P257" s="70">
        <v>45831392.689999998</v>
      </c>
      <c r="Q257" s="70">
        <v>0</v>
      </c>
      <c r="R257" s="71">
        <v>397146294.58999997</v>
      </c>
      <c r="S257" s="70">
        <v>-0.05</v>
      </c>
      <c r="T257" s="70">
        <v>397146294.54000002</v>
      </c>
      <c r="U257" s="72" t="s">
        <v>0</v>
      </c>
    </row>
    <row r="258" spans="1:21" ht="14.45" customHeight="1">
      <c r="A258" s="64">
        <v>45716</v>
      </c>
      <c r="B258" s="64">
        <v>45714</v>
      </c>
      <c r="C258" s="64">
        <v>45712</v>
      </c>
      <c r="D258" s="65" t="s">
        <v>87</v>
      </c>
      <c r="E258" s="65" t="s">
        <v>223</v>
      </c>
      <c r="F258" s="65" t="s">
        <v>224</v>
      </c>
      <c r="G258" s="65" t="s">
        <v>76</v>
      </c>
      <c r="H258" s="65" t="s">
        <v>14</v>
      </c>
      <c r="I258" s="66" t="s">
        <v>12</v>
      </c>
      <c r="J258" s="67">
        <v>-2100000</v>
      </c>
      <c r="K258" s="68">
        <v>1</v>
      </c>
      <c r="L258" s="67">
        <v>2100000</v>
      </c>
      <c r="M258" s="69">
        <v>0</v>
      </c>
      <c r="N258" s="70">
        <v>0</v>
      </c>
      <c r="O258" s="70">
        <v>720837.58</v>
      </c>
      <c r="P258" s="70">
        <v>43731392.689999998</v>
      </c>
      <c r="Q258" s="70">
        <v>0</v>
      </c>
      <c r="R258" s="71">
        <v>399246294.58999997</v>
      </c>
      <c r="S258" s="70">
        <v>-0.05</v>
      </c>
      <c r="T258" s="70">
        <v>399246294.54000002</v>
      </c>
      <c r="U258" s="72" t="s">
        <v>0</v>
      </c>
    </row>
    <row r="259" spans="1:21" ht="14.45" customHeight="1">
      <c r="A259" s="64">
        <v>45716</v>
      </c>
      <c r="B259" s="64">
        <v>45714</v>
      </c>
      <c r="C259" s="64">
        <v>45714</v>
      </c>
      <c r="D259" s="65" t="s">
        <v>116</v>
      </c>
      <c r="E259" s="65" t="s">
        <v>209</v>
      </c>
      <c r="F259" s="65"/>
      <c r="G259" s="65" t="s">
        <v>76</v>
      </c>
      <c r="H259" s="65" t="s">
        <v>14</v>
      </c>
      <c r="I259" s="66" t="s">
        <v>12</v>
      </c>
      <c r="J259" s="67">
        <v>-1755870.26</v>
      </c>
      <c r="K259" s="68">
        <v>0.99250000000000005</v>
      </c>
      <c r="L259" s="67">
        <v>1769138.8</v>
      </c>
      <c r="M259" s="69">
        <v>0</v>
      </c>
      <c r="N259" s="70">
        <v>0</v>
      </c>
      <c r="O259" s="70">
        <v>720837.58</v>
      </c>
      <c r="P259" s="70">
        <v>41975522.43</v>
      </c>
      <c r="Q259" s="70">
        <v>0</v>
      </c>
      <c r="R259" s="71">
        <v>401015433.38999999</v>
      </c>
      <c r="S259" s="70">
        <v>-0.05</v>
      </c>
      <c r="T259" s="70">
        <v>401015433.33999997</v>
      </c>
      <c r="U259" s="72" t="s">
        <v>0</v>
      </c>
    </row>
    <row r="260" spans="1:21" ht="14.45" customHeight="1">
      <c r="A260" s="64">
        <v>45719</v>
      </c>
      <c r="B260" s="64">
        <v>45719</v>
      </c>
      <c r="C260" s="64">
        <v>45719</v>
      </c>
      <c r="D260" s="65" t="s">
        <v>54</v>
      </c>
      <c r="E260" s="65" t="s">
        <v>55</v>
      </c>
      <c r="F260" s="65" t="s">
        <v>56</v>
      </c>
      <c r="G260" s="65" t="s">
        <v>57</v>
      </c>
      <c r="H260" s="65"/>
      <c r="I260" s="66" t="s">
        <v>12</v>
      </c>
      <c r="J260" s="67">
        <v>0</v>
      </c>
      <c r="K260" s="68">
        <v>0</v>
      </c>
      <c r="L260" s="67">
        <v>7868.37</v>
      </c>
      <c r="M260" s="69">
        <v>0</v>
      </c>
      <c r="N260" s="70">
        <v>0</v>
      </c>
      <c r="O260" s="70">
        <v>720837.58</v>
      </c>
      <c r="P260" s="70">
        <v>41975522.43</v>
      </c>
      <c r="Q260" s="70">
        <v>0</v>
      </c>
      <c r="R260" s="71">
        <v>401023301.75999999</v>
      </c>
      <c r="S260" s="70">
        <v>-0.05</v>
      </c>
      <c r="T260" s="70">
        <v>401023301.70999998</v>
      </c>
      <c r="U260" s="72" t="s">
        <v>0</v>
      </c>
    </row>
    <row r="261" spans="1:21" ht="14.45" customHeight="1">
      <c r="A261" s="64">
        <v>45719</v>
      </c>
      <c r="B261" s="64">
        <v>45719</v>
      </c>
      <c r="C261" s="64">
        <v>45719</v>
      </c>
      <c r="D261" s="65" t="s">
        <v>244</v>
      </c>
      <c r="E261" s="65" t="s">
        <v>299</v>
      </c>
      <c r="F261" s="65"/>
      <c r="G261" s="65" t="s">
        <v>66</v>
      </c>
      <c r="H261" s="65" t="s">
        <v>13</v>
      </c>
      <c r="I261" s="66" t="s">
        <v>12</v>
      </c>
      <c r="J261" s="67">
        <v>116742.6</v>
      </c>
      <c r="K261" s="68">
        <v>0</v>
      </c>
      <c r="L261" s="67">
        <v>0</v>
      </c>
      <c r="M261" s="69">
        <v>0</v>
      </c>
      <c r="N261" s="70">
        <v>0</v>
      </c>
      <c r="O261" s="70">
        <v>837580.18</v>
      </c>
      <c r="P261" s="70">
        <v>41975522.43</v>
      </c>
      <c r="Q261" s="70">
        <v>0</v>
      </c>
      <c r="R261" s="71">
        <v>401023301.75999999</v>
      </c>
      <c r="S261" s="70">
        <v>-0.05</v>
      </c>
      <c r="T261" s="70">
        <v>401023301.70999998</v>
      </c>
      <c r="U261" s="72" t="s">
        <v>0</v>
      </c>
    </row>
    <row r="262" spans="1:21" ht="14.45" customHeight="1">
      <c r="A262" s="64">
        <v>45719</v>
      </c>
      <c r="B262" s="64">
        <v>45719</v>
      </c>
      <c r="C262" s="64">
        <v>45719</v>
      </c>
      <c r="D262" s="65" t="s">
        <v>54</v>
      </c>
      <c r="E262" s="65" t="s">
        <v>55</v>
      </c>
      <c r="F262" s="65" t="s">
        <v>56</v>
      </c>
      <c r="G262" s="65" t="s">
        <v>66</v>
      </c>
      <c r="H262" s="65" t="s">
        <v>13</v>
      </c>
      <c r="I262" s="66" t="s">
        <v>12</v>
      </c>
      <c r="J262" s="67">
        <v>5869.92</v>
      </c>
      <c r="K262" s="68">
        <v>0</v>
      </c>
      <c r="L262" s="67">
        <v>0</v>
      </c>
      <c r="M262" s="69">
        <v>0</v>
      </c>
      <c r="N262" s="70">
        <v>0</v>
      </c>
      <c r="O262" s="70">
        <v>843450.1</v>
      </c>
      <c r="P262" s="70">
        <v>41975522.43</v>
      </c>
      <c r="Q262" s="70">
        <v>0</v>
      </c>
      <c r="R262" s="71">
        <v>401023301.75999999</v>
      </c>
      <c r="S262" s="70">
        <v>-0.05</v>
      </c>
      <c r="T262" s="70">
        <v>401023301.70999998</v>
      </c>
      <c r="U262" s="72" t="s">
        <v>0</v>
      </c>
    </row>
    <row r="263" spans="1:21" ht="14.45" customHeight="1">
      <c r="A263" s="64">
        <v>45721</v>
      </c>
      <c r="B263" s="64">
        <v>45664</v>
      </c>
      <c r="C263" s="64">
        <v>45657</v>
      </c>
      <c r="D263" s="65" t="s">
        <v>206</v>
      </c>
      <c r="E263" s="65" t="s">
        <v>86</v>
      </c>
      <c r="F263" s="65" t="s">
        <v>208</v>
      </c>
      <c r="G263" s="65" t="s">
        <v>249</v>
      </c>
      <c r="H263" s="65" t="s">
        <v>14</v>
      </c>
      <c r="I263" s="66" t="s">
        <v>12</v>
      </c>
      <c r="J263" s="67">
        <v>329100.53999999998</v>
      </c>
      <c r="K263" s="68">
        <v>1</v>
      </c>
      <c r="L263" s="67">
        <v>-329100.53999999998</v>
      </c>
      <c r="M263" s="69">
        <v>0</v>
      </c>
      <c r="N263" s="70">
        <v>0</v>
      </c>
      <c r="O263" s="70">
        <v>843450.1</v>
      </c>
      <c r="P263" s="70">
        <v>42304622.969999999</v>
      </c>
      <c r="Q263" s="70">
        <v>0</v>
      </c>
      <c r="R263" s="71">
        <v>400694201.22000003</v>
      </c>
      <c r="S263" s="70">
        <v>-0.05</v>
      </c>
      <c r="T263" s="70">
        <v>400694201.17000002</v>
      </c>
      <c r="U263" s="72" t="s">
        <v>0</v>
      </c>
    </row>
    <row r="264" spans="1:21" ht="14.45" customHeight="1">
      <c r="A264" s="64">
        <v>45721</v>
      </c>
      <c r="B264" s="64">
        <v>45664</v>
      </c>
      <c r="C264" s="64">
        <v>45664</v>
      </c>
      <c r="D264" s="65" t="s">
        <v>300</v>
      </c>
      <c r="E264" s="65" t="s">
        <v>0</v>
      </c>
      <c r="F264" s="65"/>
      <c r="G264" s="65" t="s">
        <v>48</v>
      </c>
      <c r="H264" s="65" t="s">
        <v>14</v>
      </c>
      <c r="I264" s="66" t="s">
        <v>12</v>
      </c>
      <c r="J264" s="67">
        <v>-1784854.7</v>
      </c>
      <c r="K264" s="68">
        <v>0</v>
      </c>
      <c r="L264" s="67">
        <v>0</v>
      </c>
      <c r="M264" s="69">
        <v>0</v>
      </c>
      <c r="N264" s="70">
        <v>0</v>
      </c>
      <c r="O264" s="70">
        <v>843450.1</v>
      </c>
      <c r="P264" s="70">
        <v>40519768.270000003</v>
      </c>
      <c r="Q264" s="70">
        <v>0</v>
      </c>
      <c r="R264" s="71">
        <v>400694201.22000003</v>
      </c>
      <c r="S264" s="70">
        <v>-0.05</v>
      </c>
      <c r="T264" s="70">
        <v>400694201.17000002</v>
      </c>
      <c r="U264" s="72" t="s">
        <v>0</v>
      </c>
    </row>
    <row r="265" spans="1:21" ht="14.45" customHeight="1">
      <c r="A265" s="64">
        <v>45721</v>
      </c>
      <c r="B265" s="64">
        <v>45664</v>
      </c>
      <c r="C265" s="64">
        <v>45664</v>
      </c>
      <c r="D265" s="65" t="s">
        <v>206</v>
      </c>
      <c r="E265" s="65" t="s">
        <v>83</v>
      </c>
      <c r="F265" s="65" t="s">
        <v>207</v>
      </c>
      <c r="G265" s="65" t="s">
        <v>249</v>
      </c>
      <c r="H265" s="65" t="s">
        <v>14</v>
      </c>
      <c r="I265" s="66" t="s">
        <v>12</v>
      </c>
      <c r="J265" s="67">
        <v>1455754.16</v>
      </c>
      <c r="K265" s="68">
        <v>1</v>
      </c>
      <c r="L265" s="67">
        <v>-1455754.16</v>
      </c>
      <c r="M265" s="69">
        <v>0</v>
      </c>
      <c r="N265" s="70">
        <v>0</v>
      </c>
      <c r="O265" s="70">
        <v>843450.1</v>
      </c>
      <c r="P265" s="70">
        <v>41975522.43</v>
      </c>
      <c r="Q265" s="70">
        <v>0</v>
      </c>
      <c r="R265" s="71">
        <v>399238447.06</v>
      </c>
      <c r="S265" s="70">
        <v>-0.05</v>
      </c>
      <c r="T265" s="70">
        <v>399238447.00999999</v>
      </c>
      <c r="U265" s="72" t="s">
        <v>0</v>
      </c>
    </row>
    <row r="266" spans="1:21" ht="14.45" customHeight="1">
      <c r="A266" s="64">
        <v>45721</v>
      </c>
      <c r="B266" s="64">
        <v>45679</v>
      </c>
      <c r="C266" s="64">
        <v>45657</v>
      </c>
      <c r="D266" s="65" t="s">
        <v>118</v>
      </c>
      <c r="E266" s="65" t="s">
        <v>140</v>
      </c>
      <c r="F266" s="65" t="s">
        <v>141</v>
      </c>
      <c r="G266" s="65" t="s">
        <v>249</v>
      </c>
      <c r="H266" s="65" t="s">
        <v>14</v>
      </c>
      <c r="I266" s="66" t="s">
        <v>12</v>
      </c>
      <c r="J266" s="67">
        <v>3931104.26</v>
      </c>
      <c r="K266" s="68">
        <v>0.98499999999999999</v>
      </c>
      <c r="L266" s="67">
        <v>-3990968.79</v>
      </c>
      <c r="M266" s="69">
        <v>0</v>
      </c>
      <c r="N266" s="70">
        <v>0</v>
      </c>
      <c r="O266" s="70">
        <v>843450.1</v>
      </c>
      <c r="P266" s="70">
        <v>45906626.689999998</v>
      </c>
      <c r="Q266" s="70">
        <v>0</v>
      </c>
      <c r="R266" s="71">
        <v>395247478.26999998</v>
      </c>
      <c r="S266" s="70">
        <v>-0.05</v>
      </c>
      <c r="T266" s="70">
        <v>395247478.22000003</v>
      </c>
      <c r="U266" s="72" t="s">
        <v>0</v>
      </c>
    </row>
    <row r="267" spans="1:21" ht="14.45" customHeight="1">
      <c r="A267" s="64">
        <v>45721</v>
      </c>
      <c r="B267" s="64">
        <v>45679</v>
      </c>
      <c r="C267" s="64">
        <v>45657</v>
      </c>
      <c r="D267" s="65" t="s">
        <v>118</v>
      </c>
      <c r="E267" s="65" t="s">
        <v>146</v>
      </c>
      <c r="F267" s="65" t="s">
        <v>147</v>
      </c>
      <c r="G267" s="65" t="s">
        <v>249</v>
      </c>
      <c r="H267" s="65" t="s">
        <v>14</v>
      </c>
      <c r="I267" s="66" t="s">
        <v>12</v>
      </c>
      <c r="J267" s="67">
        <v>964364.14</v>
      </c>
      <c r="K267" s="68">
        <v>0.98499999999999999</v>
      </c>
      <c r="L267" s="67">
        <v>-979049.89</v>
      </c>
      <c r="M267" s="69">
        <v>0</v>
      </c>
      <c r="N267" s="70">
        <v>0</v>
      </c>
      <c r="O267" s="70">
        <v>843450.1</v>
      </c>
      <c r="P267" s="70">
        <v>46870990.829999998</v>
      </c>
      <c r="Q267" s="70">
        <v>0</v>
      </c>
      <c r="R267" s="71">
        <v>394268428.38</v>
      </c>
      <c r="S267" s="70">
        <v>-0.05</v>
      </c>
      <c r="T267" s="70">
        <v>394268428.32999998</v>
      </c>
      <c r="U267" s="72" t="s">
        <v>0</v>
      </c>
    </row>
    <row r="268" spans="1:21" ht="14.45" customHeight="1">
      <c r="A268" s="64">
        <v>45721</v>
      </c>
      <c r="B268" s="64">
        <v>45679</v>
      </c>
      <c r="C268" s="64">
        <v>45679</v>
      </c>
      <c r="D268" s="65" t="s">
        <v>301</v>
      </c>
      <c r="E268" s="65" t="s">
        <v>0</v>
      </c>
      <c r="F268" s="65"/>
      <c r="G268" s="65" t="s">
        <v>48</v>
      </c>
      <c r="H268" s="65" t="s">
        <v>14</v>
      </c>
      <c r="I268" s="66" t="s">
        <v>12</v>
      </c>
      <c r="J268" s="67">
        <v>-4895468.4000000004</v>
      </c>
      <c r="K268" s="68">
        <v>0</v>
      </c>
      <c r="L268" s="67">
        <v>0</v>
      </c>
      <c r="M268" s="69">
        <v>0</v>
      </c>
      <c r="N268" s="70">
        <v>0</v>
      </c>
      <c r="O268" s="70">
        <v>843450.1</v>
      </c>
      <c r="P268" s="70">
        <v>41975522.43</v>
      </c>
      <c r="Q268" s="70">
        <v>0</v>
      </c>
      <c r="R268" s="71">
        <v>394268428.38</v>
      </c>
      <c r="S268" s="70">
        <v>-0.05</v>
      </c>
      <c r="T268" s="70">
        <v>394268428.32999998</v>
      </c>
      <c r="U268" s="72" t="s">
        <v>0</v>
      </c>
    </row>
    <row r="269" spans="1:21" ht="14.45" customHeight="1">
      <c r="A269" s="64">
        <v>45721</v>
      </c>
      <c r="B269" s="64">
        <v>45720</v>
      </c>
      <c r="C269" s="64">
        <v>45710</v>
      </c>
      <c r="D269" s="65" t="s">
        <v>164</v>
      </c>
      <c r="E269" s="65" t="s">
        <v>302</v>
      </c>
      <c r="F269" s="65" t="s">
        <v>303</v>
      </c>
      <c r="G269" s="65" t="s">
        <v>76</v>
      </c>
      <c r="H269" s="65" t="s">
        <v>14</v>
      </c>
      <c r="I269" s="66" t="s">
        <v>12</v>
      </c>
      <c r="J269" s="67">
        <v>-1491256.25</v>
      </c>
      <c r="K269" s="68">
        <v>0.995</v>
      </c>
      <c r="L269" s="67">
        <v>1498750</v>
      </c>
      <c r="M269" s="69">
        <v>0</v>
      </c>
      <c r="N269" s="70">
        <v>0</v>
      </c>
      <c r="O269" s="70">
        <v>843450.1</v>
      </c>
      <c r="P269" s="70">
        <v>40484266.18</v>
      </c>
      <c r="Q269" s="70">
        <v>0</v>
      </c>
      <c r="R269" s="71">
        <v>395767178.38</v>
      </c>
      <c r="S269" s="70">
        <v>-0.05</v>
      </c>
      <c r="T269" s="70">
        <v>395767178.32999998</v>
      </c>
      <c r="U269" s="72" t="s">
        <v>0</v>
      </c>
    </row>
    <row r="270" spans="1:21" ht="14.45" customHeight="1">
      <c r="A270" s="64">
        <v>45721</v>
      </c>
      <c r="B270" s="64">
        <v>45719</v>
      </c>
      <c r="C270" s="64">
        <v>45719</v>
      </c>
      <c r="D270" s="65" t="s">
        <v>61</v>
      </c>
      <c r="E270" s="65" t="s">
        <v>62</v>
      </c>
      <c r="F270" s="65" t="s">
        <v>63</v>
      </c>
      <c r="G270" s="65" t="s">
        <v>57</v>
      </c>
      <c r="H270" s="65"/>
      <c r="I270" s="66" t="s">
        <v>12</v>
      </c>
      <c r="J270" s="67">
        <v>0</v>
      </c>
      <c r="K270" s="68">
        <v>0</v>
      </c>
      <c r="L270" s="67">
        <v>25449.09</v>
      </c>
      <c r="M270" s="69">
        <v>0</v>
      </c>
      <c r="N270" s="70">
        <v>0</v>
      </c>
      <c r="O270" s="70">
        <v>843450.1</v>
      </c>
      <c r="P270" s="70">
        <v>40484266.18</v>
      </c>
      <c r="Q270" s="70">
        <v>0</v>
      </c>
      <c r="R270" s="71">
        <v>395792627.47000003</v>
      </c>
      <c r="S270" s="70">
        <v>-0.05</v>
      </c>
      <c r="T270" s="70">
        <v>395792627.42000002</v>
      </c>
      <c r="U270" s="72" t="s">
        <v>0</v>
      </c>
    </row>
    <row r="271" spans="1:21" ht="14.45" customHeight="1">
      <c r="A271" s="64">
        <v>45722</v>
      </c>
      <c r="B271" s="64">
        <v>45716</v>
      </c>
      <c r="C271" s="64">
        <v>45716</v>
      </c>
      <c r="D271" s="65" t="s">
        <v>112</v>
      </c>
      <c r="E271" s="65" t="s">
        <v>86</v>
      </c>
      <c r="F271" s="65" t="s">
        <v>113</v>
      </c>
      <c r="G271" s="65" t="s">
        <v>290</v>
      </c>
      <c r="H271" s="65" t="s">
        <v>13</v>
      </c>
      <c r="I271" s="66" t="s">
        <v>12</v>
      </c>
      <c r="J271" s="67">
        <v>4951.28</v>
      </c>
      <c r="K271" s="68">
        <v>0</v>
      </c>
      <c r="L271" s="67">
        <v>0</v>
      </c>
      <c r="M271" s="69">
        <v>0</v>
      </c>
      <c r="N271" s="70">
        <v>0</v>
      </c>
      <c r="O271" s="70">
        <v>848401.38</v>
      </c>
      <c r="P271" s="70">
        <v>40484266.18</v>
      </c>
      <c r="Q271" s="70">
        <v>0</v>
      </c>
      <c r="R271" s="71">
        <v>395792627.47000003</v>
      </c>
      <c r="S271" s="70">
        <v>-0.05</v>
      </c>
      <c r="T271" s="70">
        <v>395792627.42000002</v>
      </c>
      <c r="U271" s="72" t="s">
        <v>0</v>
      </c>
    </row>
    <row r="272" spans="1:21" ht="14.45" customHeight="1">
      <c r="A272" s="64">
        <v>45722</v>
      </c>
      <c r="B272" s="64">
        <v>45722</v>
      </c>
      <c r="C272" s="64">
        <v>45712</v>
      </c>
      <c r="D272" s="65" t="s">
        <v>304</v>
      </c>
      <c r="E272" s="65" t="s">
        <v>86</v>
      </c>
      <c r="F272" s="65"/>
      <c r="G272" s="65" t="s">
        <v>76</v>
      </c>
      <c r="H272" s="65" t="s">
        <v>14</v>
      </c>
      <c r="I272" s="66" t="s">
        <v>12</v>
      </c>
      <c r="J272" s="67">
        <v>-8939250</v>
      </c>
      <c r="K272" s="68">
        <v>0.99319999999999997</v>
      </c>
      <c r="L272" s="67">
        <v>9000000</v>
      </c>
      <c r="M272" s="69">
        <v>0</v>
      </c>
      <c r="N272" s="70">
        <v>0</v>
      </c>
      <c r="O272" s="70">
        <v>848401.38</v>
      </c>
      <c r="P272" s="70">
        <v>31545016.18</v>
      </c>
      <c r="Q272" s="70">
        <v>0</v>
      </c>
      <c r="R272" s="71">
        <v>404792627.47000003</v>
      </c>
      <c r="S272" s="70">
        <v>-0.05</v>
      </c>
      <c r="T272" s="70">
        <v>404792627.42000002</v>
      </c>
      <c r="U272" s="72" t="s">
        <v>0</v>
      </c>
    </row>
    <row r="273" spans="1:21" ht="14.45" customHeight="1">
      <c r="A273" s="64">
        <v>45722</v>
      </c>
      <c r="B273" s="64">
        <v>45678</v>
      </c>
      <c r="C273" s="64">
        <v>45657</v>
      </c>
      <c r="D273" s="65" t="s">
        <v>213</v>
      </c>
      <c r="E273" s="65" t="s">
        <v>305</v>
      </c>
      <c r="F273" s="65"/>
      <c r="G273" s="65" t="s">
        <v>249</v>
      </c>
      <c r="H273" s="65" t="s">
        <v>14</v>
      </c>
      <c r="I273" s="66" t="s">
        <v>12</v>
      </c>
      <c r="J273" s="67">
        <v>4987500</v>
      </c>
      <c r="K273" s="68">
        <v>1</v>
      </c>
      <c r="L273" s="67">
        <v>-4987500</v>
      </c>
      <c r="M273" s="69">
        <v>0</v>
      </c>
      <c r="N273" s="70">
        <v>0</v>
      </c>
      <c r="O273" s="70">
        <v>848401.38</v>
      </c>
      <c r="P273" s="70">
        <v>36532516.18</v>
      </c>
      <c r="Q273" s="70">
        <v>0</v>
      </c>
      <c r="R273" s="71">
        <v>399805127.47000003</v>
      </c>
      <c r="S273" s="70">
        <v>-0.05</v>
      </c>
      <c r="T273" s="70">
        <v>399805127.42000002</v>
      </c>
      <c r="U273" s="72" t="s">
        <v>0</v>
      </c>
    </row>
    <row r="274" spans="1:21" ht="14.45" customHeight="1">
      <c r="A274" s="64">
        <v>45722</v>
      </c>
      <c r="B274" s="64">
        <v>45678</v>
      </c>
      <c r="C274" s="64">
        <v>45678</v>
      </c>
      <c r="D274" s="65" t="s">
        <v>306</v>
      </c>
      <c r="E274" s="65" t="s">
        <v>0</v>
      </c>
      <c r="F274" s="65"/>
      <c r="G274" s="65" t="s">
        <v>48</v>
      </c>
      <c r="H274" s="65" t="s">
        <v>14</v>
      </c>
      <c r="I274" s="66" t="s">
        <v>12</v>
      </c>
      <c r="J274" s="67">
        <v>-4987500</v>
      </c>
      <c r="K274" s="68">
        <v>0</v>
      </c>
      <c r="L274" s="67">
        <v>0</v>
      </c>
      <c r="M274" s="69">
        <v>0</v>
      </c>
      <c r="N274" s="70">
        <v>0</v>
      </c>
      <c r="O274" s="70">
        <v>848401.38</v>
      </c>
      <c r="P274" s="70">
        <v>31545016.18</v>
      </c>
      <c r="Q274" s="70">
        <v>0</v>
      </c>
      <c r="R274" s="71">
        <v>399805127.47000003</v>
      </c>
      <c r="S274" s="70">
        <v>-0.05</v>
      </c>
      <c r="T274" s="70">
        <v>399805127.42000002</v>
      </c>
      <c r="U274" s="72" t="s">
        <v>0</v>
      </c>
    </row>
    <row r="275" spans="1:21" ht="14.45" customHeight="1">
      <c r="A275" s="64">
        <v>45722</v>
      </c>
      <c r="B275" s="64">
        <v>45721</v>
      </c>
      <c r="C275" s="64">
        <v>45720</v>
      </c>
      <c r="D275" s="65" t="s">
        <v>213</v>
      </c>
      <c r="E275" s="65" t="s">
        <v>307</v>
      </c>
      <c r="F275" s="65"/>
      <c r="G275" s="65" t="s">
        <v>76</v>
      </c>
      <c r="H275" s="65" t="s">
        <v>14</v>
      </c>
      <c r="I275" s="66" t="s">
        <v>12</v>
      </c>
      <c r="J275" s="67">
        <v>-1986487.83</v>
      </c>
      <c r="K275" s="68">
        <v>0.99280000000000002</v>
      </c>
      <c r="L275" s="67">
        <v>2000869.08</v>
      </c>
      <c r="M275" s="69">
        <v>0</v>
      </c>
      <c r="N275" s="70">
        <v>0</v>
      </c>
      <c r="O275" s="70">
        <v>848401.38</v>
      </c>
      <c r="P275" s="70">
        <v>29558528.350000001</v>
      </c>
      <c r="Q275" s="70">
        <v>0</v>
      </c>
      <c r="R275" s="71">
        <v>401805996.55000001</v>
      </c>
      <c r="S275" s="70">
        <v>-0.05</v>
      </c>
      <c r="T275" s="70">
        <v>401805996.5</v>
      </c>
      <c r="U275" s="72" t="s">
        <v>0</v>
      </c>
    </row>
    <row r="276" spans="1:21" ht="14.45" customHeight="1">
      <c r="A276" s="64">
        <v>45722</v>
      </c>
      <c r="B276" s="64">
        <v>45721</v>
      </c>
      <c r="C276" s="64">
        <v>45720</v>
      </c>
      <c r="D276" s="65" t="s">
        <v>308</v>
      </c>
      <c r="E276" s="65" t="s">
        <v>86</v>
      </c>
      <c r="F276" s="65"/>
      <c r="G276" s="65" t="s">
        <v>76</v>
      </c>
      <c r="H276" s="65" t="s">
        <v>14</v>
      </c>
      <c r="I276" s="66" t="s">
        <v>12</v>
      </c>
      <c r="J276" s="67">
        <v>-4960000</v>
      </c>
      <c r="K276" s="68">
        <v>0.99199999999999999</v>
      </c>
      <c r="L276" s="67">
        <v>5000000</v>
      </c>
      <c r="M276" s="69">
        <v>0</v>
      </c>
      <c r="N276" s="70">
        <v>0</v>
      </c>
      <c r="O276" s="70">
        <v>848401.38</v>
      </c>
      <c r="P276" s="70">
        <v>24598528.350000001</v>
      </c>
      <c r="Q276" s="70">
        <v>0</v>
      </c>
      <c r="R276" s="71">
        <v>406805996.55000001</v>
      </c>
      <c r="S276" s="70">
        <v>-0.05</v>
      </c>
      <c r="T276" s="70">
        <v>406805996.5</v>
      </c>
      <c r="U276" s="72" t="s">
        <v>0</v>
      </c>
    </row>
    <row r="277" spans="1:21" ht="14.45" customHeight="1">
      <c r="A277" s="64">
        <v>45722</v>
      </c>
      <c r="B277" s="64">
        <v>45722</v>
      </c>
      <c r="C277" s="64">
        <v>45722</v>
      </c>
      <c r="D277" s="65" t="s">
        <v>309</v>
      </c>
      <c r="E277" s="65" t="s">
        <v>0</v>
      </c>
      <c r="F277" s="65"/>
      <c r="G277" s="65" t="s">
        <v>48</v>
      </c>
      <c r="H277" s="65" t="s">
        <v>13</v>
      </c>
      <c r="I277" s="66" t="s">
        <v>12</v>
      </c>
      <c r="J277" s="67">
        <v>-203616.5</v>
      </c>
      <c r="K277" s="68">
        <v>0</v>
      </c>
      <c r="L277" s="67">
        <v>0</v>
      </c>
      <c r="M277" s="69">
        <v>0</v>
      </c>
      <c r="N277" s="70">
        <v>0</v>
      </c>
      <c r="O277" s="70">
        <v>644784.88</v>
      </c>
      <c r="P277" s="70">
        <v>24598528.350000001</v>
      </c>
      <c r="Q277" s="70">
        <v>0</v>
      </c>
      <c r="R277" s="71">
        <v>406805996.55000001</v>
      </c>
      <c r="S277" s="70">
        <v>-0.05</v>
      </c>
      <c r="T277" s="70">
        <v>406805996.5</v>
      </c>
      <c r="U277" s="72" t="s">
        <v>0</v>
      </c>
    </row>
    <row r="278" spans="1:21" ht="14.45" customHeight="1">
      <c r="A278" s="64">
        <v>45722</v>
      </c>
      <c r="B278" s="64">
        <v>45722</v>
      </c>
      <c r="C278" s="64">
        <v>45722</v>
      </c>
      <c r="D278" s="65" t="s">
        <v>310</v>
      </c>
      <c r="E278" s="65" t="s">
        <v>0</v>
      </c>
      <c r="F278" s="65"/>
      <c r="G278" s="65" t="s">
        <v>48</v>
      </c>
      <c r="H278" s="65" t="s">
        <v>13</v>
      </c>
      <c r="I278" s="66" t="s">
        <v>12</v>
      </c>
      <c r="J278" s="67">
        <v>-2150</v>
      </c>
      <c r="K278" s="68">
        <v>0</v>
      </c>
      <c r="L278" s="67">
        <v>0</v>
      </c>
      <c r="M278" s="69">
        <v>0</v>
      </c>
      <c r="N278" s="70">
        <v>0</v>
      </c>
      <c r="O278" s="70">
        <v>642634.88</v>
      </c>
      <c r="P278" s="70">
        <v>24598528.350000001</v>
      </c>
      <c r="Q278" s="70">
        <v>0</v>
      </c>
      <c r="R278" s="71">
        <v>406805996.55000001</v>
      </c>
      <c r="S278" s="70">
        <v>-0.05</v>
      </c>
      <c r="T278" s="70">
        <v>406805996.5</v>
      </c>
      <c r="U278" s="72" t="s">
        <v>0</v>
      </c>
    </row>
    <row r="279" spans="1:21" ht="14.45" customHeight="1">
      <c r="A279" s="64">
        <v>45722</v>
      </c>
      <c r="B279" s="64">
        <v>45722</v>
      </c>
      <c r="C279" s="64">
        <v>45722</v>
      </c>
      <c r="D279" s="65" t="s">
        <v>311</v>
      </c>
      <c r="E279" s="65" t="s">
        <v>0</v>
      </c>
      <c r="F279" s="65"/>
      <c r="G279" s="65" t="s">
        <v>48</v>
      </c>
      <c r="H279" s="65" t="s">
        <v>14</v>
      </c>
      <c r="I279" s="66" t="s">
        <v>12</v>
      </c>
      <c r="J279" s="67">
        <v>-100206.38</v>
      </c>
      <c r="K279" s="68">
        <v>0</v>
      </c>
      <c r="L279" s="67">
        <v>0</v>
      </c>
      <c r="M279" s="69">
        <v>0</v>
      </c>
      <c r="N279" s="70">
        <v>0</v>
      </c>
      <c r="O279" s="70">
        <v>642634.88</v>
      </c>
      <c r="P279" s="70">
        <v>24498321.969999999</v>
      </c>
      <c r="Q279" s="70">
        <v>0</v>
      </c>
      <c r="R279" s="71">
        <v>406805996.55000001</v>
      </c>
      <c r="S279" s="70">
        <v>-0.05</v>
      </c>
      <c r="T279" s="70">
        <v>406805996.5</v>
      </c>
      <c r="U279" s="72" t="s">
        <v>0</v>
      </c>
    </row>
    <row r="280" spans="1:21" ht="14.45" customHeight="1">
      <c r="A280" s="64">
        <v>45722</v>
      </c>
      <c r="B280" s="64">
        <v>45722</v>
      </c>
      <c r="C280" s="64">
        <v>45722</v>
      </c>
      <c r="D280" s="65" t="s">
        <v>310</v>
      </c>
      <c r="E280" s="65" t="s">
        <v>0</v>
      </c>
      <c r="F280" s="65"/>
      <c r="G280" s="65" t="s">
        <v>48</v>
      </c>
      <c r="H280" s="65" t="s">
        <v>14</v>
      </c>
      <c r="I280" s="66" t="s">
        <v>12</v>
      </c>
      <c r="J280" s="67">
        <v>-13750</v>
      </c>
      <c r="K280" s="68">
        <v>0</v>
      </c>
      <c r="L280" s="67">
        <v>0</v>
      </c>
      <c r="M280" s="69">
        <v>0</v>
      </c>
      <c r="N280" s="70">
        <v>0</v>
      </c>
      <c r="O280" s="70">
        <v>642634.88</v>
      </c>
      <c r="P280" s="70">
        <v>24484571.969999999</v>
      </c>
      <c r="Q280" s="70">
        <v>0</v>
      </c>
      <c r="R280" s="71">
        <v>406805996.55000001</v>
      </c>
      <c r="S280" s="70">
        <v>-0.05</v>
      </c>
      <c r="T280" s="70">
        <v>406805996.5</v>
      </c>
      <c r="U280" s="72" t="s">
        <v>0</v>
      </c>
    </row>
    <row r="281" spans="1:21" ht="14.45" customHeight="1">
      <c r="A281" s="64">
        <v>45723</v>
      </c>
      <c r="B281" s="64">
        <v>45723</v>
      </c>
      <c r="C281" s="64">
        <v>45723</v>
      </c>
      <c r="D281" s="65" t="s">
        <v>1</v>
      </c>
      <c r="E281" s="65" t="s">
        <v>45</v>
      </c>
      <c r="F281" s="65"/>
      <c r="G281" s="65" t="s">
        <v>49</v>
      </c>
      <c r="H281" s="65" t="s">
        <v>14</v>
      </c>
      <c r="I281" s="66" t="s">
        <v>12</v>
      </c>
      <c r="J281" s="67">
        <v>12500000</v>
      </c>
      <c r="K281" s="68">
        <v>1</v>
      </c>
      <c r="L281" s="67">
        <v>0</v>
      </c>
      <c r="M281" s="69">
        <v>0</v>
      </c>
      <c r="N281" s="70">
        <v>0</v>
      </c>
      <c r="O281" s="70">
        <v>642634.88</v>
      </c>
      <c r="P281" s="70">
        <v>36984571.969999999</v>
      </c>
      <c r="Q281" s="70">
        <v>0</v>
      </c>
      <c r="R281" s="71">
        <v>406805996.55000001</v>
      </c>
      <c r="S281" s="70">
        <v>-0.05</v>
      </c>
      <c r="T281" s="70">
        <v>406805996.5</v>
      </c>
      <c r="U281" s="72" t="s">
        <v>0</v>
      </c>
    </row>
    <row r="282" spans="1:21" ht="14.45" customHeight="1">
      <c r="A282" s="64">
        <v>45723</v>
      </c>
      <c r="B282" s="64">
        <v>45722</v>
      </c>
      <c r="C282" s="64">
        <v>45720</v>
      </c>
      <c r="D282" s="65" t="s">
        <v>312</v>
      </c>
      <c r="E282" s="65" t="s">
        <v>86</v>
      </c>
      <c r="F282" s="65" t="s">
        <v>313</v>
      </c>
      <c r="G282" s="65" t="s">
        <v>76</v>
      </c>
      <c r="H282" s="65" t="s">
        <v>14</v>
      </c>
      <c r="I282" s="66" t="s">
        <v>12</v>
      </c>
      <c r="J282" s="67">
        <v>-5959500</v>
      </c>
      <c r="K282" s="68">
        <v>0.99319999999999997</v>
      </c>
      <c r="L282" s="67">
        <v>6000000</v>
      </c>
      <c r="M282" s="69">
        <v>0</v>
      </c>
      <c r="N282" s="70">
        <v>0</v>
      </c>
      <c r="O282" s="70">
        <v>642634.88</v>
      </c>
      <c r="P282" s="70">
        <v>31025071.969999999</v>
      </c>
      <c r="Q282" s="70">
        <v>0</v>
      </c>
      <c r="R282" s="71">
        <v>412805996.55000001</v>
      </c>
      <c r="S282" s="70">
        <v>-0.05</v>
      </c>
      <c r="T282" s="70">
        <v>412805996.5</v>
      </c>
      <c r="U282" s="72" t="s">
        <v>0</v>
      </c>
    </row>
    <row r="283" spans="1:21" ht="14.45" customHeight="1">
      <c r="A283" s="64">
        <v>45726</v>
      </c>
      <c r="B283" s="64">
        <v>45726</v>
      </c>
      <c r="C283" s="64">
        <v>45726</v>
      </c>
      <c r="D283" s="65" t="s">
        <v>80</v>
      </c>
      <c r="E283" s="65" t="s">
        <v>83</v>
      </c>
      <c r="F283" s="65" t="s">
        <v>84</v>
      </c>
      <c r="G283" s="65" t="s">
        <v>66</v>
      </c>
      <c r="H283" s="65" t="s">
        <v>13</v>
      </c>
      <c r="I283" s="66" t="s">
        <v>12</v>
      </c>
      <c r="J283" s="67">
        <v>32800.9</v>
      </c>
      <c r="K283" s="68">
        <v>0</v>
      </c>
      <c r="L283" s="67">
        <v>0</v>
      </c>
      <c r="M283" s="69">
        <v>0</v>
      </c>
      <c r="N283" s="70">
        <v>0</v>
      </c>
      <c r="O283" s="70">
        <v>675435.78</v>
      </c>
      <c r="P283" s="70">
        <v>31025071.969999999</v>
      </c>
      <c r="Q283" s="70">
        <v>0</v>
      </c>
      <c r="R283" s="71">
        <v>412805996.55000001</v>
      </c>
      <c r="S283" s="70">
        <v>-0.05</v>
      </c>
      <c r="T283" s="70">
        <v>412805996.5</v>
      </c>
      <c r="U283" s="72" t="s">
        <v>0</v>
      </c>
    </row>
    <row r="284" spans="1:21" ht="14.45" customHeight="1">
      <c r="A284" s="64">
        <v>45726</v>
      </c>
      <c r="B284" s="64">
        <v>45726</v>
      </c>
      <c r="C284" s="64">
        <v>45726</v>
      </c>
      <c r="D284" s="65" t="s">
        <v>314</v>
      </c>
      <c r="E284" s="65" t="s">
        <v>0</v>
      </c>
      <c r="F284" s="65"/>
      <c r="G284" s="65" t="s">
        <v>270</v>
      </c>
      <c r="H284" s="65" t="s">
        <v>13</v>
      </c>
      <c r="I284" s="66" t="s">
        <v>12</v>
      </c>
      <c r="J284" s="67">
        <v>14842.76</v>
      </c>
      <c r="K284" s="68">
        <v>0</v>
      </c>
      <c r="L284" s="67">
        <v>0</v>
      </c>
      <c r="M284" s="69">
        <v>0</v>
      </c>
      <c r="N284" s="70">
        <v>0</v>
      </c>
      <c r="O284" s="70">
        <v>690278.54</v>
      </c>
      <c r="P284" s="70">
        <v>31025071.969999999</v>
      </c>
      <c r="Q284" s="70">
        <v>0</v>
      </c>
      <c r="R284" s="71">
        <v>412805996.55000001</v>
      </c>
      <c r="S284" s="70">
        <v>-0.05</v>
      </c>
      <c r="T284" s="70">
        <v>412805996.5</v>
      </c>
      <c r="U284" s="72" t="s">
        <v>0</v>
      </c>
    </row>
    <row r="285" spans="1:21" ht="14.45" customHeight="1">
      <c r="A285" s="64">
        <v>45726</v>
      </c>
      <c r="B285" s="64">
        <v>45726</v>
      </c>
      <c r="C285" s="64">
        <v>45726</v>
      </c>
      <c r="D285" s="65" t="s">
        <v>315</v>
      </c>
      <c r="E285" s="65" t="s">
        <v>0</v>
      </c>
      <c r="F285" s="65"/>
      <c r="G285" s="65" t="s">
        <v>270</v>
      </c>
      <c r="H285" s="65" t="s">
        <v>13</v>
      </c>
      <c r="I285" s="66" t="s">
        <v>12</v>
      </c>
      <c r="J285" s="67">
        <v>1926.8</v>
      </c>
      <c r="K285" s="68">
        <v>0</v>
      </c>
      <c r="L285" s="67">
        <v>0</v>
      </c>
      <c r="M285" s="69">
        <v>0</v>
      </c>
      <c r="N285" s="70">
        <v>0</v>
      </c>
      <c r="O285" s="70">
        <v>692205.34</v>
      </c>
      <c r="P285" s="70">
        <v>31025071.969999999</v>
      </c>
      <c r="Q285" s="70">
        <v>0</v>
      </c>
      <c r="R285" s="71">
        <v>412805996.55000001</v>
      </c>
      <c r="S285" s="70">
        <v>-0.05</v>
      </c>
      <c r="T285" s="70">
        <v>412805996.5</v>
      </c>
      <c r="U285" s="72" t="s">
        <v>0</v>
      </c>
    </row>
    <row r="286" spans="1:21" ht="14.45" customHeight="1">
      <c r="A286" s="64">
        <v>45726</v>
      </c>
      <c r="B286" s="64">
        <v>45726</v>
      </c>
      <c r="C286" s="64">
        <v>45721</v>
      </c>
      <c r="D286" s="65" t="s">
        <v>73</v>
      </c>
      <c r="E286" s="65" t="s">
        <v>74</v>
      </c>
      <c r="F286" s="65" t="s">
        <v>75</v>
      </c>
      <c r="G286" s="65" t="s">
        <v>249</v>
      </c>
      <c r="H286" s="65" t="s">
        <v>14</v>
      </c>
      <c r="I286" s="66" t="s">
        <v>12</v>
      </c>
      <c r="J286" s="67">
        <v>3341625</v>
      </c>
      <c r="K286" s="68">
        <v>0.99750000000000005</v>
      </c>
      <c r="L286" s="67">
        <v>-3350000</v>
      </c>
      <c r="M286" s="69">
        <v>0</v>
      </c>
      <c r="N286" s="70">
        <v>0</v>
      </c>
      <c r="O286" s="70">
        <v>692205.34</v>
      </c>
      <c r="P286" s="70">
        <v>34366696.969999999</v>
      </c>
      <c r="Q286" s="70">
        <v>0</v>
      </c>
      <c r="R286" s="71">
        <v>409455996.55000001</v>
      </c>
      <c r="S286" s="70">
        <v>-0.05</v>
      </c>
      <c r="T286" s="70">
        <v>409455996.5</v>
      </c>
      <c r="U286" s="72" t="s">
        <v>0</v>
      </c>
    </row>
    <row r="287" spans="1:21" ht="14.45" customHeight="1">
      <c r="A287" s="64">
        <v>45727</v>
      </c>
      <c r="B287" s="64">
        <v>45720</v>
      </c>
      <c r="C287" s="64">
        <v>45720</v>
      </c>
      <c r="D287" s="65" t="s">
        <v>316</v>
      </c>
      <c r="E287" s="65" t="s">
        <v>86</v>
      </c>
      <c r="F287" s="65"/>
      <c r="G287" s="65" t="s">
        <v>76</v>
      </c>
      <c r="H287" s="65" t="s">
        <v>14</v>
      </c>
      <c r="I287" s="66" t="s">
        <v>12</v>
      </c>
      <c r="J287" s="67">
        <v>-19815000</v>
      </c>
      <c r="K287" s="68">
        <v>0.99080000000000001</v>
      </c>
      <c r="L287" s="67">
        <v>20000000</v>
      </c>
      <c r="M287" s="69">
        <v>0</v>
      </c>
      <c r="N287" s="70">
        <v>0</v>
      </c>
      <c r="O287" s="70">
        <v>692205.34</v>
      </c>
      <c r="P287" s="70">
        <v>14551696.970000001</v>
      </c>
      <c r="Q287" s="70">
        <v>0</v>
      </c>
      <c r="R287" s="71">
        <v>429455996.55000001</v>
      </c>
      <c r="S287" s="70">
        <v>-0.05</v>
      </c>
      <c r="T287" s="70">
        <v>429455996.5</v>
      </c>
      <c r="U287" s="72" t="s">
        <v>0</v>
      </c>
    </row>
    <row r="288" spans="1:21" ht="14.45" customHeight="1">
      <c r="A288" s="64">
        <v>45727</v>
      </c>
      <c r="B288" s="64">
        <v>45727</v>
      </c>
      <c r="C288" s="64">
        <v>45727</v>
      </c>
      <c r="D288" s="65" t="s">
        <v>317</v>
      </c>
      <c r="E288" s="65" t="s">
        <v>0</v>
      </c>
      <c r="F288" s="65"/>
      <c r="G288" s="65" t="s">
        <v>317</v>
      </c>
      <c r="H288" s="65" t="s">
        <v>13</v>
      </c>
      <c r="I288" s="66" t="s">
        <v>12</v>
      </c>
      <c r="J288" s="67">
        <v>903170.94</v>
      </c>
      <c r="K288" s="68">
        <v>0</v>
      </c>
      <c r="L288" s="67">
        <v>0</v>
      </c>
      <c r="M288" s="69">
        <v>0</v>
      </c>
      <c r="N288" s="70">
        <v>0</v>
      </c>
      <c r="O288" s="70">
        <v>1595376.28</v>
      </c>
      <c r="P288" s="70">
        <v>14551696.970000001</v>
      </c>
      <c r="Q288" s="70">
        <v>0</v>
      </c>
      <c r="R288" s="71">
        <v>429455996.55000001</v>
      </c>
      <c r="S288" s="70">
        <v>-0.05</v>
      </c>
      <c r="T288" s="70">
        <v>429455996.5</v>
      </c>
      <c r="U288" s="72" t="s">
        <v>0</v>
      </c>
    </row>
    <row r="289" spans="1:21" ht="14.45" customHeight="1">
      <c r="A289" s="64">
        <v>45727</v>
      </c>
      <c r="B289" s="64">
        <v>45727</v>
      </c>
      <c r="C289" s="64">
        <v>45727</v>
      </c>
      <c r="D289" s="65" t="s">
        <v>317</v>
      </c>
      <c r="E289" s="65" t="s">
        <v>0</v>
      </c>
      <c r="F289" s="65"/>
      <c r="G289" s="65" t="s">
        <v>317</v>
      </c>
      <c r="H289" s="65" t="s">
        <v>14</v>
      </c>
      <c r="I289" s="66" t="s">
        <v>12</v>
      </c>
      <c r="J289" s="67">
        <v>-903170.94</v>
      </c>
      <c r="K289" s="68">
        <v>0</v>
      </c>
      <c r="L289" s="67">
        <v>0</v>
      </c>
      <c r="M289" s="69">
        <v>0</v>
      </c>
      <c r="N289" s="70">
        <v>0</v>
      </c>
      <c r="O289" s="70">
        <v>1595376.28</v>
      </c>
      <c r="P289" s="70">
        <v>13648526.029999999</v>
      </c>
      <c r="Q289" s="70">
        <v>0</v>
      </c>
      <c r="R289" s="71">
        <v>429455996.55000001</v>
      </c>
      <c r="S289" s="70">
        <v>-0.05</v>
      </c>
      <c r="T289" s="70">
        <v>429455996.5</v>
      </c>
      <c r="U289" s="72" t="s">
        <v>0</v>
      </c>
    </row>
    <row r="290" spans="1:21" ht="14.45" customHeight="1">
      <c r="A290" s="64">
        <v>45727</v>
      </c>
      <c r="B290" s="64">
        <v>45719</v>
      </c>
      <c r="C290" s="64">
        <v>45719</v>
      </c>
      <c r="D290" s="65" t="s">
        <v>318</v>
      </c>
      <c r="E290" s="65" t="s">
        <v>0</v>
      </c>
      <c r="F290" s="65"/>
      <c r="G290" s="65" t="s">
        <v>48</v>
      </c>
      <c r="H290" s="65" t="s">
        <v>13</v>
      </c>
      <c r="I290" s="66" t="s">
        <v>12</v>
      </c>
      <c r="J290" s="67">
        <v>61004.4</v>
      </c>
      <c r="K290" s="68">
        <v>0</v>
      </c>
      <c r="L290" s="67">
        <v>0</v>
      </c>
      <c r="M290" s="69">
        <v>0</v>
      </c>
      <c r="N290" s="70">
        <v>0</v>
      </c>
      <c r="O290" s="70">
        <v>1656380.68</v>
      </c>
      <c r="P290" s="70">
        <v>13648526.029999999</v>
      </c>
      <c r="Q290" s="70">
        <v>0</v>
      </c>
      <c r="R290" s="71">
        <v>429455996.55000001</v>
      </c>
      <c r="S290" s="70">
        <v>-0.05</v>
      </c>
      <c r="T290" s="70">
        <v>429455996.5</v>
      </c>
      <c r="U290" s="72" t="s">
        <v>0</v>
      </c>
    </row>
    <row r="291" spans="1:21" ht="14.45" customHeight="1">
      <c r="A291" s="64">
        <v>45727</v>
      </c>
      <c r="B291" s="64">
        <v>45716</v>
      </c>
      <c r="C291" s="64">
        <v>45716</v>
      </c>
      <c r="D291" s="65" t="s">
        <v>319</v>
      </c>
      <c r="E291" s="65" t="s">
        <v>0</v>
      </c>
      <c r="F291" s="65"/>
      <c r="G291" s="65" t="s">
        <v>48</v>
      </c>
      <c r="H291" s="65" t="s">
        <v>13</v>
      </c>
      <c r="I291" s="66" t="s">
        <v>12</v>
      </c>
      <c r="J291" s="67">
        <v>65924.11</v>
      </c>
      <c r="K291" s="68">
        <v>0</v>
      </c>
      <c r="L291" s="67">
        <v>0</v>
      </c>
      <c r="M291" s="69">
        <v>0</v>
      </c>
      <c r="N291" s="70">
        <v>0</v>
      </c>
      <c r="O291" s="70">
        <v>1722304.79</v>
      </c>
      <c r="P291" s="70">
        <v>13648526.029999999</v>
      </c>
      <c r="Q291" s="70">
        <v>0</v>
      </c>
      <c r="R291" s="71">
        <v>429455996.55000001</v>
      </c>
      <c r="S291" s="70">
        <v>-0.05</v>
      </c>
      <c r="T291" s="70">
        <v>429455996.5</v>
      </c>
      <c r="U291" s="72" t="s">
        <v>0</v>
      </c>
    </row>
    <row r="292" spans="1:21" ht="14.45" customHeight="1">
      <c r="A292" s="64">
        <v>45727</v>
      </c>
      <c r="B292" s="64">
        <v>45716</v>
      </c>
      <c r="C292" s="64">
        <v>45716</v>
      </c>
      <c r="D292" s="65" t="s">
        <v>320</v>
      </c>
      <c r="E292" s="65" t="s">
        <v>0</v>
      </c>
      <c r="F292" s="65"/>
      <c r="G292" s="65" t="s">
        <v>48</v>
      </c>
      <c r="H292" s="65" t="s">
        <v>13</v>
      </c>
      <c r="I292" s="66" t="s">
        <v>12</v>
      </c>
      <c r="J292" s="67">
        <v>35758.550000000003</v>
      </c>
      <c r="K292" s="68">
        <v>0</v>
      </c>
      <c r="L292" s="67">
        <v>0</v>
      </c>
      <c r="M292" s="69">
        <v>0</v>
      </c>
      <c r="N292" s="70">
        <v>0</v>
      </c>
      <c r="O292" s="70">
        <v>1758063.34</v>
      </c>
      <c r="P292" s="70">
        <v>13648526.029999999</v>
      </c>
      <c r="Q292" s="70">
        <v>0</v>
      </c>
      <c r="R292" s="71">
        <v>429455996.55000001</v>
      </c>
      <c r="S292" s="70">
        <v>-0.05</v>
      </c>
      <c r="T292" s="70">
        <v>429455996.5</v>
      </c>
      <c r="U292" s="72" t="s">
        <v>0</v>
      </c>
    </row>
    <row r="293" spans="1:21" ht="14.45" customHeight="1">
      <c r="A293" s="64">
        <v>45727</v>
      </c>
      <c r="B293" s="64">
        <v>45706</v>
      </c>
      <c r="C293" s="64">
        <v>45706</v>
      </c>
      <c r="D293" s="65" t="s">
        <v>321</v>
      </c>
      <c r="E293" s="65" t="s">
        <v>0</v>
      </c>
      <c r="F293" s="65"/>
      <c r="G293" s="65" t="s">
        <v>48</v>
      </c>
      <c r="H293" s="65" t="s">
        <v>13</v>
      </c>
      <c r="I293" s="66" t="s">
        <v>12</v>
      </c>
      <c r="J293" s="67">
        <v>27343.37</v>
      </c>
      <c r="K293" s="68">
        <v>0</v>
      </c>
      <c r="L293" s="67">
        <v>0</v>
      </c>
      <c r="M293" s="69">
        <v>0</v>
      </c>
      <c r="N293" s="70">
        <v>0</v>
      </c>
      <c r="O293" s="70">
        <v>1785406.71</v>
      </c>
      <c r="P293" s="70">
        <v>13648526.029999999</v>
      </c>
      <c r="Q293" s="70">
        <v>0</v>
      </c>
      <c r="R293" s="71">
        <v>429455996.55000001</v>
      </c>
      <c r="S293" s="70">
        <v>-0.05</v>
      </c>
      <c r="T293" s="70">
        <v>429455996.5</v>
      </c>
      <c r="U293" s="72" t="s">
        <v>0</v>
      </c>
    </row>
    <row r="294" spans="1:21" ht="14.45" customHeight="1">
      <c r="A294" s="64">
        <v>45727</v>
      </c>
      <c r="B294" s="64">
        <v>45716</v>
      </c>
      <c r="C294" s="64">
        <v>45716</v>
      </c>
      <c r="D294" s="65" t="s">
        <v>321</v>
      </c>
      <c r="E294" s="65" t="s">
        <v>0</v>
      </c>
      <c r="F294" s="65"/>
      <c r="G294" s="65" t="s">
        <v>48</v>
      </c>
      <c r="H294" s="65" t="s">
        <v>13</v>
      </c>
      <c r="I294" s="66" t="s">
        <v>12</v>
      </c>
      <c r="J294" s="67">
        <v>10098.65</v>
      </c>
      <c r="K294" s="68">
        <v>0</v>
      </c>
      <c r="L294" s="67">
        <v>0</v>
      </c>
      <c r="M294" s="69">
        <v>0</v>
      </c>
      <c r="N294" s="70">
        <v>0</v>
      </c>
      <c r="O294" s="70">
        <v>1795505.36</v>
      </c>
      <c r="P294" s="70">
        <v>13648526.029999999</v>
      </c>
      <c r="Q294" s="70">
        <v>0</v>
      </c>
      <c r="R294" s="71">
        <v>429455996.55000001</v>
      </c>
      <c r="S294" s="70">
        <v>-0.05</v>
      </c>
      <c r="T294" s="70">
        <v>429455996.5</v>
      </c>
      <c r="U294" s="72" t="s">
        <v>0</v>
      </c>
    </row>
    <row r="295" spans="1:21" ht="14.45" customHeight="1">
      <c r="A295" s="64">
        <v>45727</v>
      </c>
      <c r="B295" s="64">
        <v>45700</v>
      </c>
      <c r="C295" s="64">
        <v>45700</v>
      </c>
      <c r="D295" s="65" t="s">
        <v>322</v>
      </c>
      <c r="E295" s="65" t="s">
        <v>0</v>
      </c>
      <c r="F295" s="65"/>
      <c r="G295" s="65" t="s">
        <v>48</v>
      </c>
      <c r="H295" s="65" t="s">
        <v>13</v>
      </c>
      <c r="I295" s="66" t="s">
        <v>12</v>
      </c>
      <c r="J295" s="67">
        <v>795.92</v>
      </c>
      <c r="K295" s="68">
        <v>0</v>
      </c>
      <c r="L295" s="67">
        <v>0</v>
      </c>
      <c r="M295" s="69">
        <v>0</v>
      </c>
      <c r="N295" s="70">
        <v>0</v>
      </c>
      <c r="O295" s="70">
        <v>1796301.28</v>
      </c>
      <c r="P295" s="70">
        <v>13648526.029999999</v>
      </c>
      <c r="Q295" s="70">
        <v>0</v>
      </c>
      <c r="R295" s="71">
        <v>429455996.55000001</v>
      </c>
      <c r="S295" s="70">
        <v>-0.05</v>
      </c>
      <c r="T295" s="70">
        <v>429455996.5</v>
      </c>
      <c r="U295" s="72" t="s">
        <v>0</v>
      </c>
    </row>
    <row r="296" spans="1:21" ht="14.45" customHeight="1">
      <c r="A296" s="64">
        <v>45727</v>
      </c>
      <c r="B296" s="64">
        <v>45708</v>
      </c>
      <c r="C296" s="64">
        <v>45708</v>
      </c>
      <c r="D296" s="65" t="s">
        <v>323</v>
      </c>
      <c r="E296" s="65" t="s">
        <v>0</v>
      </c>
      <c r="F296" s="65"/>
      <c r="G296" s="65" t="s">
        <v>48</v>
      </c>
      <c r="H296" s="65" t="s">
        <v>13</v>
      </c>
      <c r="I296" s="66" t="s">
        <v>12</v>
      </c>
      <c r="J296" s="67">
        <v>1204.8399999999999</v>
      </c>
      <c r="K296" s="68">
        <v>0</v>
      </c>
      <c r="L296" s="67">
        <v>0</v>
      </c>
      <c r="M296" s="69">
        <v>0</v>
      </c>
      <c r="N296" s="70">
        <v>0</v>
      </c>
      <c r="O296" s="70">
        <v>1797506.12</v>
      </c>
      <c r="P296" s="70">
        <v>13648526.029999999</v>
      </c>
      <c r="Q296" s="70">
        <v>0</v>
      </c>
      <c r="R296" s="71">
        <v>429455996.55000001</v>
      </c>
      <c r="S296" s="70">
        <v>-0.05</v>
      </c>
      <c r="T296" s="70">
        <v>429455996.5</v>
      </c>
      <c r="U296" s="72" t="s">
        <v>0</v>
      </c>
    </row>
    <row r="297" spans="1:21" ht="14.45" customHeight="1">
      <c r="A297" s="64">
        <v>45727</v>
      </c>
      <c r="B297" s="64">
        <v>45716</v>
      </c>
      <c r="C297" s="64">
        <v>45716</v>
      </c>
      <c r="D297" s="65" t="s">
        <v>324</v>
      </c>
      <c r="E297" s="65" t="s">
        <v>0</v>
      </c>
      <c r="F297" s="65"/>
      <c r="G297" s="65" t="s">
        <v>48</v>
      </c>
      <c r="H297" s="65" t="s">
        <v>13</v>
      </c>
      <c r="I297" s="66" t="s">
        <v>12</v>
      </c>
      <c r="J297" s="67">
        <v>44.57</v>
      </c>
      <c r="K297" s="68">
        <v>0</v>
      </c>
      <c r="L297" s="67">
        <v>0</v>
      </c>
      <c r="M297" s="69">
        <v>0</v>
      </c>
      <c r="N297" s="70">
        <v>0</v>
      </c>
      <c r="O297" s="70">
        <v>1797550.69</v>
      </c>
      <c r="P297" s="70">
        <v>13648526.029999999</v>
      </c>
      <c r="Q297" s="70">
        <v>0</v>
      </c>
      <c r="R297" s="71">
        <v>429455996.55000001</v>
      </c>
      <c r="S297" s="70">
        <v>-0.05</v>
      </c>
      <c r="T297" s="70">
        <v>429455996.5</v>
      </c>
      <c r="U297" s="72" t="s">
        <v>0</v>
      </c>
    </row>
    <row r="298" spans="1:21" ht="14.45" customHeight="1">
      <c r="A298" s="64">
        <v>45727</v>
      </c>
      <c r="B298" s="64">
        <v>45716</v>
      </c>
      <c r="C298" s="64">
        <v>45716</v>
      </c>
      <c r="D298" s="65" t="s">
        <v>324</v>
      </c>
      <c r="E298" s="65" t="s">
        <v>0</v>
      </c>
      <c r="F298" s="65"/>
      <c r="G298" s="65" t="s">
        <v>48</v>
      </c>
      <c r="H298" s="65" t="s">
        <v>13</v>
      </c>
      <c r="I298" s="66" t="s">
        <v>12</v>
      </c>
      <c r="J298" s="67">
        <v>15882.47</v>
      </c>
      <c r="K298" s="68">
        <v>0</v>
      </c>
      <c r="L298" s="67">
        <v>0</v>
      </c>
      <c r="M298" s="69">
        <v>0</v>
      </c>
      <c r="N298" s="70">
        <v>0</v>
      </c>
      <c r="O298" s="70">
        <v>1813433.16</v>
      </c>
      <c r="P298" s="70">
        <v>13648526.029999999</v>
      </c>
      <c r="Q298" s="70">
        <v>0</v>
      </c>
      <c r="R298" s="71">
        <v>429455996.55000001</v>
      </c>
      <c r="S298" s="70">
        <v>-0.05</v>
      </c>
      <c r="T298" s="70">
        <v>429455996.5</v>
      </c>
      <c r="U298" s="72" t="s">
        <v>0</v>
      </c>
    </row>
    <row r="299" spans="1:21" ht="14.45" customHeight="1">
      <c r="A299" s="64">
        <v>45727</v>
      </c>
      <c r="B299" s="64">
        <v>45716</v>
      </c>
      <c r="C299" s="64">
        <v>45716</v>
      </c>
      <c r="D299" s="65" t="s">
        <v>325</v>
      </c>
      <c r="E299" s="65" t="s">
        <v>0</v>
      </c>
      <c r="F299" s="65"/>
      <c r="G299" s="65" t="s">
        <v>48</v>
      </c>
      <c r="H299" s="65" t="s">
        <v>13</v>
      </c>
      <c r="I299" s="66" t="s">
        <v>12</v>
      </c>
      <c r="J299" s="67">
        <v>2796.4</v>
      </c>
      <c r="K299" s="68">
        <v>0</v>
      </c>
      <c r="L299" s="67">
        <v>0</v>
      </c>
      <c r="M299" s="69">
        <v>0</v>
      </c>
      <c r="N299" s="70">
        <v>0</v>
      </c>
      <c r="O299" s="70">
        <v>1816229.56</v>
      </c>
      <c r="P299" s="70">
        <v>13648526.029999999</v>
      </c>
      <c r="Q299" s="70">
        <v>0</v>
      </c>
      <c r="R299" s="71">
        <v>429455996.55000001</v>
      </c>
      <c r="S299" s="70">
        <v>-0.05</v>
      </c>
      <c r="T299" s="70">
        <v>429455996.5</v>
      </c>
      <c r="U299" s="72" t="s">
        <v>0</v>
      </c>
    </row>
    <row r="300" spans="1:21" ht="14.45" customHeight="1">
      <c r="A300" s="64">
        <v>45727</v>
      </c>
      <c r="B300" s="64">
        <v>45716</v>
      </c>
      <c r="C300" s="64">
        <v>45716</v>
      </c>
      <c r="D300" s="65" t="s">
        <v>326</v>
      </c>
      <c r="E300" s="65" t="s">
        <v>0</v>
      </c>
      <c r="F300" s="65"/>
      <c r="G300" s="65" t="s">
        <v>48</v>
      </c>
      <c r="H300" s="65" t="s">
        <v>13</v>
      </c>
      <c r="I300" s="66" t="s">
        <v>12</v>
      </c>
      <c r="J300" s="67">
        <v>6580.51</v>
      </c>
      <c r="K300" s="68">
        <v>0</v>
      </c>
      <c r="L300" s="67">
        <v>0</v>
      </c>
      <c r="M300" s="69">
        <v>0</v>
      </c>
      <c r="N300" s="70">
        <v>0</v>
      </c>
      <c r="O300" s="70">
        <v>1822810.07</v>
      </c>
      <c r="P300" s="70">
        <v>13648526.029999999</v>
      </c>
      <c r="Q300" s="70">
        <v>0</v>
      </c>
      <c r="R300" s="71">
        <v>429455996.55000001</v>
      </c>
      <c r="S300" s="70">
        <v>-0.05</v>
      </c>
      <c r="T300" s="70">
        <v>429455996.5</v>
      </c>
      <c r="U300" s="72" t="s">
        <v>0</v>
      </c>
    </row>
    <row r="301" spans="1:21" ht="14.45" customHeight="1">
      <c r="A301" s="64">
        <v>45727</v>
      </c>
      <c r="B301" s="64">
        <v>45716</v>
      </c>
      <c r="C301" s="64">
        <v>45716</v>
      </c>
      <c r="D301" s="65" t="s">
        <v>327</v>
      </c>
      <c r="E301" s="65" t="s">
        <v>0</v>
      </c>
      <c r="F301" s="65"/>
      <c r="G301" s="65" t="s">
        <v>48</v>
      </c>
      <c r="H301" s="65" t="s">
        <v>13</v>
      </c>
      <c r="I301" s="66" t="s">
        <v>12</v>
      </c>
      <c r="J301" s="67">
        <v>18052.05</v>
      </c>
      <c r="K301" s="68">
        <v>0</v>
      </c>
      <c r="L301" s="67">
        <v>0</v>
      </c>
      <c r="M301" s="69">
        <v>0</v>
      </c>
      <c r="N301" s="70">
        <v>0</v>
      </c>
      <c r="O301" s="70">
        <v>1840862.12</v>
      </c>
      <c r="P301" s="70">
        <v>13648526.029999999</v>
      </c>
      <c r="Q301" s="70">
        <v>0</v>
      </c>
      <c r="R301" s="71">
        <v>429455996.55000001</v>
      </c>
      <c r="S301" s="70">
        <v>-0.05</v>
      </c>
      <c r="T301" s="70">
        <v>429455996.5</v>
      </c>
      <c r="U301" s="72" t="s">
        <v>0</v>
      </c>
    </row>
    <row r="302" spans="1:21" ht="14.45" customHeight="1">
      <c r="A302" s="64">
        <v>45727</v>
      </c>
      <c r="B302" s="64">
        <v>45716</v>
      </c>
      <c r="C302" s="64">
        <v>45716</v>
      </c>
      <c r="D302" s="65" t="s">
        <v>328</v>
      </c>
      <c r="E302" s="65" t="s">
        <v>0</v>
      </c>
      <c r="F302" s="65"/>
      <c r="G302" s="65" t="s">
        <v>48</v>
      </c>
      <c r="H302" s="65" t="s">
        <v>13</v>
      </c>
      <c r="I302" s="66" t="s">
        <v>12</v>
      </c>
      <c r="J302" s="67">
        <v>13569.4</v>
      </c>
      <c r="K302" s="68">
        <v>0</v>
      </c>
      <c r="L302" s="67">
        <v>0</v>
      </c>
      <c r="M302" s="69">
        <v>0</v>
      </c>
      <c r="N302" s="70">
        <v>0</v>
      </c>
      <c r="O302" s="70">
        <v>1854431.52</v>
      </c>
      <c r="P302" s="70">
        <v>13648526.029999999</v>
      </c>
      <c r="Q302" s="70">
        <v>0</v>
      </c>
      <c r="R302" s="71">
        <v>429455996.55000001</v>
      </c>
      <c r="S302" s="70">
        <v>-0.05</v>
      </c>
      <c r="T302" s="70">
        <v>429455996.5</v>
      </c>
      <c r="U302" s="72" t="s">
        <v>0</v>
      </c>
    </row>
    <row r="303" spans="1:21" ht="14.45" customHeight="1">
      <c r="A303" s="64">
        <v>45727</v>
      </c>
      <c r="B303" s="64">
        <v>45716</v>
      </c>
      <c r="C303" s="64">
        <v>45716</v>
      </c>
      <c r="D303" s="65" t="s">
        <v>329</v>
      </c>
      <c r="E303" s="65" t="s">
        <v>0</v>
      </c>
      <c r="F303" s="65"/>
      <c r="G303" s="65" t="s">
        <v>48</v>
      </c>
      <c r="H303" s="65" t="s">
        <v>13</v>
      </c>
      <c r="I303" s="66" t="s">
        <v>12</v>
      </c>
      <c r="J303" s="67">
        <v>5549.7</v>
      </c>
      <c r="K303" s="68">
        <v>0</v>
      </c>
      <c r="L303" s="67">
        <v>0</v>
      </c>
      <c r="M303" s="69">
        <v>0</v>
      </c>
      <c r="N303" s="70">
        <v>0</v>
      </c>
      <c r="O303" s="70">
        <v>1859981.22</v>
      </c>
      <c r="P303" s="70">
        <v>13648526.029999999</v>
      </c>
      <c r="Q303" s="70">
        <v>0</v>
      </c>
      <c r="R303" s="71">
        <v>429455996.55000001</v>
      </c>
      <c r="S303" s="70">
        <v>-0.05</v>
      </c>
      <c r="T303" s="70">
        <v>429455996.5</v>
      </c>
      <c r="U303" s="72" t="s">
        <v>0</v>
      </c>
    </row>
    <row r="304" spans="1:21" ht="14.45" customHeight="1">
      <c r="A304" s="64">
        <v>45727</v>
      </c>
      <c r="B304" s="64">
        <v>45716</v>
      </c>
      <c r="C304" s="64">
        <v>45716</v>
      </c>
      <c r="D304" s="65" t="s">
        <v>330</v>
      </c>
      <c r="E304" s="65" t="s">
        <v>0</v>
      </c>
      <c r="F304" s="65"/>
      <c r="G304" s="65" t="s">
        <v>48</v>
      </c>
      <c r="H304" s="65" t="s">
        <v>13</v>
      </c>
      <c r="I304" s="66" t="s">
        <v>12</v>
      </c>
      <c r="J304" s="67">
        <v>14658.97</v>
      </c>
      <c r="K304" s="68">
        <v>0</v>
      </c>
      <c r="L304" s="67">
        <v>0</v>
      </c>
      <c r="M304" s="69">
        <v>0</v>
      </c>
      <c r="N304" s="70">
        <v>0</v>
      </c>
      <c r="O304" s="70">
        <v>1874640.19</v>
      </c>
      <c r="P304" s="70">
        <v>13648526.029999999</v>
      </c>
      <c r="Q304" s="70">
        <v>0</v>
      </c>
      <c r="R304" s="71">
        <v>429455996.55000001</v>
      </c>
      <c r="S304" s="70">
        <v>-0.05</v>
      </c>
      <c r="T304" s="70">
        <v>429455996.5</v>
      </c>
      <c r="U304" s="72" t="s">
        <v>0</v>
      </c>
    </row>
    <row r="305" spans="1:21" ht="14.45" customHeight="1">
      <c r="A305" s="64">
        <v>45727</v>
      </c>
      <c r="B305" s="64">
        <v>45716</v>
      </c>
      <c r="C305" s="64">
        <v>45716</v>
      </c>
      <c r="D305" s="65" t="s">
        <v>330</v>
      </c>
      <c r="E305" s="65" t="s">
        <v>0</v>
      </c>
      <c r="F305" s="65"/>
      <c r="G305" s="65" t="s">
        <v>48</v>
      </c>
      <c r="H305" s="65" t="s">
        <v>13</v>
      </c>
      <c r="I305" s="66" t="s">
        <v>12</v>
      </c>
      <c r="J305" s="67">
        <v>39.74</v>
      </c>
      <c r="K305" s="68">
        <v>0</v>
      </c>
      <c r="L305" s="67">
        <v>0</v>
      </c>
      <c r="M305" s="69">
        <v>0</v>
      </c>
      <c r="N305" s="70">
        <v>0</v>
      </c>
      <c r="O305" s="70">
        <v>1874679.93</v>
      </c>
      <c r="P305" s="70">
        <v>13648526.029999999</v>
      </c>
      <c r="Q305" s="70">
        <v>0</v>
      </c>
      <c r="R305" s="71">
        <v>429455996.55000001</v>
      </c>
      <c r="S305" s="70">
        <v>-0.05</v>
      </c>
      <c r="T305" s="70">
        <v>429455996.5</v>
      </c>
      <c r="U305" s="72" t="s">
        <v>0</v>
      </c>
    </row>
    <row r="306" spans="1:21" ht="14.45" customHeight="1">
      <c r="A306" s="64">
        <v>45727</v>
      </c>
      <c r="B306" s="64">
        <v>45706</v>
      </c>
      <c r="C306" s="64">
        <v>45706</v>
      </c>
      <c r="D306" s="65" t="s">
        <v>95</v>
      </c>
      <c r="E306" s="65" t="s">
        <v>65</v>
      </c>
      <c r="F306" s="65" t="s">
        <v>96</v>
      </c>
      <c r="G306" s="65" t="s">
        <v>66</v>
      </c>
      <c r="H306" s="65" t="s">
        <v>13</v>
      </c>
      <c r="I306" s="66" t="s">
        <v>12</v>
      </c>
      <c r="J306" s="67">
        <v>9053.4699999999993</v>
      </c>
      <c r="K306" s="68">
        <v>0</v>
      </c>
      <c r="L306" s="67">
        <v>0</v>
      </c>
      <c r="M306" s="69">
        <v>0</v>
      </c>
      <c r="N306" s="70">
        <v>0</v>
      </c>
      <c r="O306" s="70">
        <v>1883733.4</v>
      </c>
      <c r="P306" s="70">
        <v>13648526.029999999</v>
      </c>
      <c r="Q306" s="70">
        <v>0</v>
      </c>
      <c r="R306" s="71">
        <v>429455996.55000001</v>
      </c>
      <c r="S306" s="70">
        <v>-0.05</v>
      </c>
      <c r="T306" s="70">
        <v>429455996.5</v>
      </c>
      <c r="U306" s="72" t="s">
        <v>0</v>
      </c>
    </row>
    <row r="307" spans="1:21" ht="14.45" customHeight="1">
      <c r="A307" s="64">
        <v>45727</v>
      </c>
      <c r="B307" s="64">
        <v>45706</v>
      </c>
      <c r="C307" s="64">
        <v>45706</v>
      </c>
      <c r="D307" s="65" t="s">
        <v>150</v>
      </c>
      <c r="E307" s="65" t="s">
        <v>86</v>
      </c>
      <c r="F307" s="65" t="s">
        <v>151</v>
      </c>
      <c r="G307" s="65" t="s">
        <v>66</v>
      </c>
      <c r="H307" s="65" t="s">
        <v>13</v>
      </c>
      <c r="I307" s="66" t="s">
        <v>12</v>
      </c>
      <c r="J307" s="67">
        <v>50568.28</v>
      </c>
      <c r="K307" s="68">
        <v>0</v>
      </c>
      <c r="L307" s="67">
        <v>0</v>
      </c>
      <c r="M307" s="69">
        <v>0</v>
      </c>
      <c r="N307" s="70">
        <v>0</v>
      </c>
      <c r="O307" s="70">
        <v>1934301.68</v>
      </c>
      <c r="P307" s="70">
        <v>13648526.029999999</v>
      </c>
      <c r="Q307" s="70">
        <v>0</v>
      </c>
      <c r="R307" s="71">
        <v>429455996.55000001</v>
      </c>
      <c r="S307" s="70">
        <v>-0.05</v>
      </c>
      <c r="T307" s="70">
        <v>429455996.5</v>
      </c>
      <c r="U307" s="72" t="s">
        <v>0</v>
      </c>
    </row>
    <row r="308" spans="1:21" ht="14.45" customHeight="1">
      <c r="A308" s="64">
        <v>45727</v>
      </c>
      <c r="B308" s="64">
        <v>45716</v>
      </c>
      <c r="C308" s="64">
        <v>45716</v>
      </c>
      <c r="D308" s="65" t="s">
        <v>172</v>
      </c>
      <c r="E308" s="65" t="s">
        <v>173</v>
      </c>
      <c r="F308" s="65" t="s">
        <v>174</v>
      </c>
      <c r="G308" s="65" t="s">
        <v>66</v>
      </c>
      <c r="H308" s="65" t="s">
        <v>13</v>
      </c>
      <c r="I308" s="66" t="s">
        <v>12</v>
      </c>
      <c r="J308" s="67">
        <v>22554.57</v>
      </c>
      <c r="K308" s="68">
        <v>0</v>
      </c>
      <c r="L308" s="67">
        <v>0</v>
      </c>
      <c r="M308" s="69">
        <v>0</v>
      </c>
      <c r="N308" s="70">
        <v>0</v>
      </c>
      <c r="O308" s="70">
        <v>1956856.25</v>
      </c>
      <c r="P308" s="70">
        <v>13648526.029999999</v>
      </c>
      <c r="Q308" s="70">
        <v>0</v>
      </c>
      <c r="R308" s="71">
        <v>429455996.55000001</v>
      </c>
      <c r="S308" s="70">
        <v>-0.05</v>
      </c>
      <c r="T308" s="70">
        <v>429455996.5</v>
      </c>
      <c r="U308" s="72" t="s">
        <v>0</v>
      </c>
    </row>
    <row r="309" spans="1:21" ht="14.45" customHeight="1">
      <c r="A309" s="64">
        <v>45727</v>
      </c>
      <c r="B309" s="64">
        <v>45716</v>
      </c>
      <c r="C309" s="64">
        <v>45716</v>
      </c>
      <c r="D309" s="65" t="s">
        <v>95</v>
      </c>
      <c r="E309" s="65" t="s">
        <v>65</v>
      </c>
      <c r="F309" s="65" t="s">
        <v>96</v>
      </c>
      <c r="G309" s="65" t="s">
        <v>66</v>
      </c>
      <c r="H309" s="65" t="s">
        <v>13</v>
      </c>
      <c r="I309" s="66" t="s">
        <v>12</v>
      </c>
      <c r="J309" s="67">
        <v>5341.65</v>
      </c>
      <c r="K309" s="68">
        <v>0</v>
      </c>
      <c r="L309" s="67">
        <v>0</v>
      </c>
      <c r="M309" s="69">
        <v>0</v>
      </c>
      <c r="N309" s="70">
        <v>0</v>
      </c>
      <c r="O309" s="70">
        <v>1962197.9</v>
      </c>
      <c r="P309" s="70">
        <v>13648526.029999999</v>
      </c>
      <c r="Q309" s="70">
        <v>0</v>
      </c>
      <c r="R309" s="71">
        <v>429455996.55000001</v>
      </c>
      <c r="S309" s="70">
        <v>-0.05</v>
      </c>
      <c r="T309" s="70">
        <v>429455996.5</v>
      </c>
      <c r="U309" s="72" t="s">
        <v>0</v>
      </c>
    </row>
    <row r="310" spans="1:21" ht="14.45" customHeight="1">
      <c r="A310" s="64">
        <v>45727</v>
      </c>
      <c r="B310" s="64">
        <v>45716</v>
      </c>
      <c r="C310" s="64">
        <v>45716</v>
      </c>
      <c r="D310" s="65" t="s">
        <v>191</v>
      </c>
      <c r="E310" s="65" t="s">
        <v>192</v>
      </c>
      <c r="F310" s="65" t="s">
        <v>193</v>
      </c>
      <c r="G310" s="65" t="s">
        <v>66</v>
      </c>
      <c r="H310" s="65" t="s">
        <v>13</v>
      </c>
      <c r="I310" s="66" t="s">
        <v>12</v>
      </c>
      <c r="J310" s="67">
        <v>17805.650000000001</v>
      </c>
      <c r="K310" s="68">
        <v>0</v>
      </c>
      <c r="L310" s="67">
        <v>0</v>
      </c>
      <c r="M310" s="69">
        <v>0</v>
      </c>
      <c r="N310" s="70">
        <v>0</v>
      </c>
      <c r="O310" s="70">
        <v>1980003.55</v>
      </c>
      <c r="P310" s="70">
        <v>13648526.029999999</v>
      </c>
      <c r="Q310" s="70">
        <v>0</v>
      </c>
      <c r="R310" s="71">
        <v>429455996.55000001</v>
      </c>
      <c r="S310" s="70">
        <v>-0.05</v>
      </c>
      <c r="T310" s="70">
        <v>429455996.5</v>
      </c>
      <c r="U310" s="72" t="s">
        <v>0</v>
      </c>
    </row>
    <row r="311" spans="1:21" ht="14.45" customHeight="1">
      <c r="A311" s="64">
        <v>45727</v>
      </c>
      <c r="B311" s="64">
        <v>45716</v>
      </c>
      <c r="C311" s="64">
        <v>45716</v>
      </c>
      <c r="D311" s="65" t="s">
        <v>85</v>
      </c>
      <c r="E311" s="65" t="s">
        <v>192</v>
      </c>
      <c r="F311" s="65" t="s">
        <v>90</v>
      </c>
      <c r="G311" s="65" t="s">
        <v>66</v>
      </c>
      <c r="H311" s="65" t="s">
        <v>13</v>
      </c>
      <c r="I311" s="66" t="s">
        <v>12</v>
      </c>
      <c r="J311" s="67">
        <v>8602.7199999999993</v>
      </c>
      <c r="K311" s="68">
        <v>0</v>
      </c>
      <c r="L311" s="67">
        <v>0</v>
      </c>
      <c r="M311" s="69">
        <v>0</v>
      </c>
      <c r="N311" s="70">
        <v>0</v>
      </c>
      <c r="O311" s="70">
        <v>1988606.27</v>
      </c>
      <c r="P311" s="70">
        <v>13648526.029999999</v>
      </c>
      <c r="Q311" s="70">
        <v>0</v>
      </c>
      <c r="R311" s="71">
        <v>429455996.55000001</v>
      </c>
      <c r="S311" s="70">
        <v>-0.05</v>
      </c>
      <c r="T311" s="70">
        <v>429455996.5</v>
      </c>
      <c r="U311" s="72" t="s">
        <v>0</v>
      </c>
    </row>
    <row r="312" spans="1:21" ht="14.45" customHeight="1">
      <c r="A312" s="64">
        <v>45727</v>
      </c>
      <c r="B312" s="64">
        <v>45719</v>
      </c>
      <c r="C312" s="64">
        <v>45719</v>
      </c>
      <c r="D312" s="65" t="s">
        <v>152</v>
      </c>
      <c r="E312" s="65" t="s">
        <v>65</v>
      </c>
      <c r="F312" s="65" t="s">
        <v>153</v>
      </c>
      <c r="G312" s="65" t="s">
        <v>66</v>
      </c>
      <c r="H312" s="65" t="s">
        <v>13</v>
      </c>
      <c r="I312" s="66" t="s">
        <v>12</v>
      </c>
      <c r="J312" s="67">
        <v>33657.599999999999</v>
      </c>
      <c r="K312" s="68">
        <v>0</v>
      </c>
      <c r="L312" s="67">
        <v>0</v>
      </c>
      <c r="M312" s="69">
        <v>0</v>
      </c>
      <c r="N312" s="70">
        <v>0</v>
      </c>
      <c r="O312" s="70">
        <v>2022263.87</v>
      </c>
      <c r="P312" s="70">
        <v>13648526.029999999</v>
      </c>
      <c r="Q312" s="70">
        <v>0</v>
      </c>
      <c r="R312" s="71">
        <v>429455996.55000001</v>
      </c>
      <c r="S312" s="70">
        <v>-0.05</v>
      </c>
      <c r="T312" s="70">
        <v>429455996.5</v>
      </c>
      <c r="U312" s="72" t="s">
        <v>0</v>
      </c>
    </row>
    <row r="313" spans="1:21" ht="14.45" customHeight="1">
      <c r="A313" s="64">
        <v>45727</v>
      </c>
      <c r="B313" s="64">
        <v>45716</v>
      </c>
      <c r="C313" s="64">
        <v>45716</v>
      </c>
      <c r="D313" s="65" t="s">
        <v>50</v>
      </c>
      <c r="E313" s="65" t="s">
        <v>246</v>
      </c>
      <c r="F313" s="65" t="s">
        <v>247</v>
      </c>
      <c r="G313" s="65" t="s">
        <v>66</v>
      </c>
      <c r="H313" s="65" t="s">
        <v>13</v>
      </c>
      <c r="I313" s="66" t="s">
        <v>12</v>
      </c>
      <c r="J313" s="67">
        <v>3224.18</v>
      </c>
      <c r="K313" s="68">
        <v>0</v>
      </c>
      <c r="L313" s="67">
        <v>0</v>
      </c>
      <c r="M313" s="69">
        <v>0</v>
      </c>
      <c r="N313" s="70">
        <v>0</v>
      </c>
      <c r="O313" s="70">
        <v>2025488.05</v>
      </c>
      <c r="P313" s="70">
        <v>13648526.029999999</v>
      </c>
      <c r="Q313" s="70">
        <v>0</v>
      </c>
      <c r="R313" s="71">
        <v>429455996.55000001</v>
      </c>
      <c r="S313" s="70">
        <v>-0.05</v>
      </c>
      <c r="T313" s="70">
        <v>429455996.5</v>
      </c>
      <c r="U313" s="72" t="s">
        <v>0</v>
      </c>
    </row>
    <row r="314" spans="1:21" ht="14.45" customHeight="1">
      <c r="A314" s="64">
        <v>45727</v>
      </c>
      <c r="B314" s="64">
        <v>45716</v>
      </c>
      <c r="C314" s="64">
        <v>45716</v>
      </c>
      <c r="D314" s="65" t="s">
        <v>238</v>
      </c>
      <c r="E314" s="65" t="s">
        <v>86</v>
      </c>
      <c r="F314" s="65" t="s">
        <v>240</v>
      </c>
      <c r="G314" s="65" t="s">
        <v>66</v>
      </c>
      <c r="H314" s="65" t="s">
        <v>13</v>
      </c>
      <c r="I314" s="66" t="s">
        <v>12</v>
      </c>
      <c r="J314" s="67">
        <v>71363.56</v>
      </c>
      <c r="K314" s="68">
        <v>0</v>
      </c>
      <c r="L314" s="67">
        <v>0</v>
      </c>
      <c r="M314" s="69">
        <v>0</v>
      </c>
      <c r="N314" s="70">
        <v>0</v>
      </c>
      <c r="O314" s="70">
        <v>2096851.61</v>
      </c>
      <c r="P314" s="70">
        <v>13648526.029999999</v>
      </c>
      <c r="Q314" s="70">
        <v>0</v>
      </c>
      <c r="R314" s="71">
        <v>429455996.55000001</v>
      </c>
      <c r="S314" s="70">
        <v>-0.05</v>
      </c>
      <c r="T314" s="70">
        <v>429455996.5</v>
      </c>
      <c r="U314" s="72" t="s">
        <v>0</v>
      </c>
    </row>
    <row r="315" spans="1:21" ht="14.45" customHeight="1">
      <c r="A315" s="64">
        <v>45727</v>
      </c>
      <c r="B315" s="64">
        <v>45716</v>
      </c>
      <c r="C315" s="64">
        <v>45716</v>
      </c>
      <c r="D315" s="65" t="s">
        <v>175</v>
      </c>
      <c r="E315" s="65" t="s">
        <v>176</v>
      </c>
      <c r="F315" s="65" t="s">
        <v>177</v>
      </c>
      <c r="G315" s="65" t="s">
        <v>66</v>
      </c>
      <c r="H315" s="65" t="s">
        <v>13</v>
      </c>
      <c r="I315" s="66" t="s">
        <v>12</v>
      </c>
      <c r="J315" s="67">
        <v>23566.400000000001</v>
      </c>
      <c r="K315" s="68">
        <v>0</v>
      </c>
      <c r="L315" s="67">
        <v>0</v>
      </c>
      <c r="M315" s="69">
        <v>0</v>
      </c>
      <c r="N315" s="70">
        <v>0</v>
      </c>
      <c r="O315" s="70">
        <v>2120418.0099999998</v>
      </c>
      <c r="P315" s="70">
        <v>13648526.029999999</v>
      </c>
      <c r="Q315" s="70">
        <v>0</v>
      </c>
      <c r="R315" s="71">
        <v>429455996.55000001</v>
      </c>
      <c r="S315" s="70">
        <v>-0.05</v>
      </c>
      <c r="T315" s="70">
        <v>429455996.5</v>
      </c>
      <c r="U315" s="72" t="s">
        <v>0</v>
      </c>
    </row>
    <row r="316" spans="1:21" ht="14.45" customHeight="1">
      <c r="A316" s="64">
        <v>45727</v>
      </c>
      <c r="B316" s="64">
        <v>45721</v>
      </c>
      <c r="C316" s="64">
        <v>45721</v>
      </c>
      <c r="D316" s="65" t="s">
        <v>233</v>
      </c>
      <c r="E316" s="65" t="s">
        <v>234</v>
      </c>
      <c r="F316" s="65" t="s">
        <v>235</v>
      </c>
      <c r="G316" s="65" t="s">
        <v>66</v>
      </c>
      <c r="H316" s="65" t="s">
        <v>13</v>
      </c>
      <c r="I316" s="66" t="s">
        <v>12</v>
      </c>
      <c r="J316" s="67">
        <v>9763.82</v>
      </c>
      <c r="K316" s="68">
        <v>0</v>
      </c>
      <c r="L316" s="67">
        <v>0</v>
      </c>
      <c r="M316" s="69">
        <v>0</v>
      </c>
      <c r="N316" s="70">
        <v>0</v>
      </c>
      <c r="O316" s="70">
        <v>2130181.83</v>
      </c>
      <c r="P316" s="70">
        <v>13648526.029999999</v>
      </c>
      <c r="Q316" s="70">
        <v>0</v>
      </c>
      <c r="R316" s="71">
        <v>429455996.55000001</v>
      </c>
      <c r="S316" s="70">
        <v>-0.05</v>
      </c>
      <c r="T316" s="70">
        <v>429455996.5</v>
      </c>
      <c r="U316" s="72" t="s">
        <v>0</v>
      </c>
    </row>
    <row r="317" spans="1:21" ht="14.45" customHeight="1">
      <c r="A317" s="64">
        <v>45733</v>
      </c>
      <c r="B317" s="64">
        <v>45733</v>
      </c>
      <c r="C317" s="64">
        <v>45733</v>
      </c>
      <c r="D317" s="65" t="s">
        <v>331</v>
      </c>
      <c r="E317" s="65" t="s">
        <v>0</v>
      </c>
      <c r="F317" s="65"/>
      <c r="G317" s="65" t="s">
        <v>48</v>
      </c>
      <c r="H317" s="65" t="s">
        <v>13</v>
      </c>
      <c r="I317" s="66" t="s">
        <v>12</v>
      </c>
      <c r="J317" s="67">
        <v>-43304.88</v>
      </c>
      <c r="K317" s="68">
        <v>0</v>
      </c>
      <c r="L317" s="67">
        <v>0</v>
      </c>
      <c r="M317" s="69">
        <v>0</v>
      </c>
      <c r="N317" s="70">
        <v>0</v>
      </c>
      <c r="O317" s="70">
        <v>2086876.95</v>
      </c>
      <c r="P317" s="70">
        <v>13648526.029999999</v>
      </c>
      <c r="Q317" s="70">
        <v>0</v>
      </c>
      <c r="R317" s="71">
        <v>429455996.55000001</v>
      </c>
      <c r="S317" s="70">
        <v>-0.05</v>
      </c>
      <c r="T317" s="70">
        <v>429455996.5</v>
      </c>
      <c r="U317" s="72" t="s">
        <v>0</v>
      </c>
    </row>
    <row r="318" spans="1:21" ht="14.45" customHeight="1">
      <c r="A318" s="64">
        <v>45734</v>
      </c>
      <c r="B318" s="64">
        <v>45657</v>
      </c>
      <c r="C318" s="64">
        <v>45657</v>
      </c>
      <c r="D318" s="65" t="s">
        <v>106</v>
      </c>
      <c r="E318" s="65" t="s">
        <v>188</v>
      </c>
      <c r="F318" s="65" t="s">
        <v>189</v>
      </c>
      <c r="G318" s="65" t="s">
        <v>46</v>
      </c>
      <c r="H318" s="65"/>
      <c r="I318" s="66" t="s">
        <v>12</v>
      </c>
      <c r="J318" s="67">
        <v>0</v>
      </c>
      <c r="K318" s="68">
        <v>0</v>
      </c>
      <c r="L318" s="67">
        <v>-2661801.5299999998</v>
      </c>
      <c r="M318" s="69">
        <v>0</v>
      </c>
      <c r="N318" s="70">
        <v>0</v>
      </c>
      <c r="O318" s="70">
        <v>2086876.95</v>
      </c>
      <c r="P318" s="70">
        <v>13648526.029999999</v>
      </c>
      <c r="Q318" s="70">
        <v>0</v>
      </c>
      <c r="R318" s="71">
        <v>426794195.01999998</v>
      </c>
      <c r="S318" s="70">
        <v>-0.05</v>
      </c>
      <c r="T318" s="70">
        <v>426794194.97000003</v>
      </c>
      <c r="U318" s="72" t="s">
        <v>0</v>
      </c>
    </row>
    <row r="319" spans="1:21" ht="14.45" customHeight="1">
      <c r="A319" s="64">
        <v>45734</v>
      </c>
      <c r="B319" s="64">
        <v>45734</v>
      </c>
      <c r="C319" s="64">
        <v>45734</v>
      </c>
      <c r="D319" s="65" t="s">
        <v>150</v>
      </c>
      <c r="E319" s="65" t="s">
        <v>86</v>
      </c>
      <c r="F319" s="65" t="s">
        <v>151</v>
      </c>
      <c r="G319" s="65" t="s">
        <v>66</v>
      </c>
      <c r="H319" s="65" t="s">
        <v>13</v>
      </c>
      <c r="I319" s="66" t="s">
        <v>12</v>
      </c>
      <c r="J319" s="67">
        <v>42934.97</v>
      </c>
      <c r="K319" s="68">
        <v>0</v>
      </c>
      <c r="L319" s="67">
        <v>0</v>
      </c>
      <c r="M319" s="69">
        <v>0</v>
      </c>
      <c r="N319" s="70">
        <v>0</v>
      </c>
      <c r="O319" s="70">
        <v>2129811.92</v>
      </c>
      <c r="P319" s="70">
        <v>13648526.029999999</v>
      </c>
      <c r="Q319" s="70">
        <v>0</v>
      </c>
      <c r="R319" s="71">
        <v>426794195.01999998</v>
      </c>
      <c r="S319" s="70">
        <v>-0.05</v>
      </c>
      <c r="T319" s="70">
        <v>426794194.97000003</v>
      </c>
      <c r="U319" s="72" t="s">
        <v>0</v>
      </c>
    </row>
    <row r="320" spans="1:21" ht="14.45" customHeight="1">
      <c r="A320" s="64">
        <v>45740</v>
      </c>
      <c r="B320" s="64">
        <v>45740</v>
      </c>
      <c r="C320" s="64">
        <v>45740</v>
      </c>
      <c r="D320" s="65" t="s">
        <v>80</v>
      </c>
      <c r="E320" s="65" t="s">
        <v>83</v>
      </c>
      <c r="F320" s="65" t="s">
        <v>84</v>
      </c>
      <c r="G320" s="65" t="s">
        <v>66</v>
      </c>
      <c r="H320" s="65" t="s">
        <v>13</v>
      </c>
      <c r="I320" s="66" t="s">
        <v>12</v>
      </c>
      <c r="J320" s="67">
        <v>19677.349999999999</v>
      </c>
      <c r="K320" s="68">
        <v>0</v>
      </c>
      <c r="L320" s="67">
        <v>0</v>
      </c>
      <c r="M320" s="69">
        <v>0</v>
      </c>
      <c r="N320" s="70">
        <v>0</v>
      </c>
      <c r="O320" s="70">
        <v>2149489.27</v>
      </c>
      <c r="P320" s="70">
        <v>13648526.029999999</v>
      </c>
      <c r="Q320" s="70">
        <v>0</v>
      </c>
      <c r="R320" s="71">
        <v>426794195.01999998</v>
      </c>
      <c r="S320" s="70">
        <v>-0.05</v>
      </c>
      <c r="T320" s="70">
        <v>426794194.97000003</v>
      </c>
      <c r="U320" s="72" t="s">
        <v>0</v>
      </c>
    </row>
    <row r="321" spans="1:21" ht="14.45" customHeight="1">
      <c r="A321" s="64">
        <v>45743</v>
      </c>
      <c r="B321" s="64">
        <v>45657</v>
      </c>
      <c r="C321" s="64">
        <v>45657</v>
      </c>
      <c r="D321" s="65" t="s">
        <v>201</v>
      </c>
      <c r="E321" s="65" t="s">
        <v>65</v>
      </c>
      <c r="F321" s="65" t="s">
        <v>202</v>
      </c>
      <c r="G321" s="65" t="s">
        <v>76</v>
      </c>
      <c r="H321" s="65" t="s">
        <v>14</v>
      </c>
      <c r="I321" s="66" t="s">
        <v>12</v>
      </c>
      <c r="J321" s="67">
        <v>12543514.789999999</v>
      </c>
      <c r="K321" s="68">
        <v>-1</v>
      </c>
      <c r="L321" s="67">
        <v>-12543514.789999999</v>
      </c>
      <c r="M321" s="69">
        <v>0</v>
      </c>
      <c r="N321" s="70">
        <v>0</v>
      </c>
      <c r="O321" s="70">
        <v>2149489.27</v>
      </c>
      <c r="P321" s="70">
        <v>26192040.82</v>
      </c>
      <c r="Q321" s="70">
        <v>0</v>
      </c>
      <c r="R321" s="71">
        <v>414250680.23000002</v>
      </c>
      <c r="S321" s="70">
        <v>-0.05</v>
      </c>
      <c r="T321" s="70">
        <v>414250680.18000001</v>
      </c>
      <c r="U321" s="72" t="s">
        <v>0</v>
      </c>
    </row>
    <row r="322" spans="1:21" ht="14.45" customHeight="1">
      <c r="A322" s="64">
        <v>45743</v>
      </c>
      <c r="B322" s="64">
        <v>45657</v>
      </c>
      <c r="C322" s="64">
        <v>45657</v>
      </c>
      <c r="D322" s="65" t="s">
        <v>332</v>
      </c>
      <c r="E322" s="65" t="s">
        <v>0</v>
      </c>
      <c r="F322" s="65"/>
      <c r="G322" s="65" t="s">
        <v>48</v>
      </c>
      <c r="H322" s="65" t="s">
        <v>14</v>
      </c>
      <c r="I322" s="66" t="s">
        <v>12</v>
      </c>
      <c r="J322" s="67">
        <v>-13476.19</v>
      </c>
      <c r="K322" s="68">
        <v>0</v>
      </c>
      <c r="L322" s="67">
        <v>0</v>
      </c>
      <c r="M322" s="69">
        <v>0</v>
      </c>
      <c r="N322" s="70">
        <v>0</v>
      </c>
      <c r="O322" s="70">
        <v>2149489.27</v>
      </c>
      <c r="P322" s="70">
        <v>26178564.629999999</v>
      </c>
      <c r="Q322" s="70">
        <v>0</v>
      </c>
      <c r="R322" s="71">
        <v>414250680.23000002</v>
      </c>
      <c r="S322" s="70">
        <v>-0.05</v>
      </c>
      <c r="T322" s="70">
        <v>414250680.18000001</v>
      </c>
      <c r="U322" s="72" t="s">
        <v>0</v>
      </c>
    </row>
    <row r="323" spans="1:21" ht="14.45" customHeight="1">
      <c r="A323" s="64">
        <v>45743</v>
      </c>
      <c r="B323" s="64">
        <v>45657</v>
      </c>
      <c r="C323" s="64">
        <v>45657</v>
      </c>
      <c r="D323" s="65" t="s">
        <v>201</v>
      </c>
      <c r="E323" s="65" t="s">
        <v>65</v>
      </c>
      <c r="F323" s="65" t="s">
        <v>202</v>
      </c>
      <c r="G323" s="65" t="s">
        <v>76</v>
      </c>
      <c r="H323" s="65" t="s">
        <v>14</v>
      </c>
      <c r="I323" s="66" t="s">
        <v>12</v>
      </c>
      <c r="J323" s="67">
        <v>-7422562.4500000002</v>
      </c>
      <c r="K323" s="68">
        <v>1</v>
      </c>
      <c r="L323" s="67">
        <v>7422562.4500000002</v>
      </c>
      <c r="M323" s="69">
        <v>0</v>
      </c>
      <c r="N323" s="70">
        <v>0</v>
      </c>
      <c r="O323" s="70">
        <v>2149489.27</v>
      </c>
      <c r="P323" s="70">
        <v>18756002.18</v>
      </c>
      <c r="Q323" s="70">
        <v>0</v>
      </c>
      <c r="R323" s="71">
        <v>421673242.68000001</v>
      </c>
      <c r="S323" s="70">
        <v>-0.05</v>
      </c>
      <c r="T323" s="70">
        <v>421673242.63</v>
      </c>
      <c r="U323" s="72" t="s">
        <v>0</v>
      </c>
    </row>
    <row r="324" spans="1:21" ht="14.45" customHeight="1">
      <c r="A324" s="64">
        <v>45743</v>
      </c>
      <c r="B324" s="64">
        <v>45657</v>
      </c>
      <c r="C324" s="64">
        <v>45646</v>
      </c>
      <c r="D324" s="65" t="s">
        <v>201</v>
      </c>
      <c r="E324" s="65" t="s">
        <v>333</v>
      </c>
      <c r="F324" s="65" t="s">
        <v>334</v>
      </c>
      <c r="G324" s="65" t="s">
        <v>76</v>
      </c>
      <c r="H324" s="65" t="s">
        <v>14</v>
      </c>
      <c r="I324" s="66" t="s">
        <v>12</v>
      </c>
      <c r="J324" s="67">
        <v>-5107476.1500000004</v>
      </c>
      <c r="K324" s="68">
        <v>1</v>
      </c>
      <c r="L324" s="67">
        <v>5107476.1500000004</v>
      </c>
      <c r="M324" s="69">
        <v>0</v>
      </c>
      <c r="N324" s="70">
        <v>0</v>
      </c>
      <c r="O324" s="70">
        <v>2149489.27</v>
      </c>
      <c r="P324" s="70">
        <v>13648526.029999999</v>
      </c>
      <c r="Q324" s="70">
        <v>0</v>
      </c>
      <c r="R324" s="71">
        <v>426780718.82999998</v>
      </c>
      <c r="S324" s="70">
        <v>-0.05</v>
      </c>
      <c r="T324" s="70">
        <v>426780718.77999997</v>
      </c>
      <c r="U324" s="72" t="s">
        <v>0</v>
      </c>
    </row>
    <row r="325" spans="1:21" ht="14.45" customHeight="1">
      <c r="A325" s="64">
        <v>45744</v>
      </c>
      <c r="B325" s="64">
        <v>45744</v>
      </c>
      <c r="C325" s="64">
        <v>45744</v>
      </c>
      <c r="D325" s="65" t="s">
        <v>80</v>
      </c>
      <c r="E325" s="65" t="s">
        <v>65</v>
      </c>
      <c r="F325" s="65" t="s">
        <v>103</v>
      </c>
      <c r="G325" s="65" t="s">
        <v>66</v>
      </c>
      <c r="H325" s="65" t="s">
        <v>13</v>
      </c>
      <c r="I325" s="66" t="s">
        <v>12</v>
      </c>
      <c r="J325" s="67">
        <v>27.12</v>
      </c>
      <c r="K325" s="68">
        <v>0</v>
      </c>
      <c r="L325" s="67">
        <v>0</v>
      </c>
      <c r="M325" s="69">
        <v>0</v>
      </c>
      <c r="N325" s="70">
        <v>0</v>
      </c>
      <c r="O325" s="70">
        <v>2149516.39</v>
      </c>
      <c r="P325" s="70">
        <v>13648526.029999999</v>
      </c>
      <c r="Q325" s="70">
        <v>0</v>
      </c>
      <c r="R325" s="71">
        <v>426780718.82999998</v>
      </c>
      <c r="S325" s="70">
        <v>-0.05</v>
      </c>
      <c r="T325" s="70">
        <v>426780718.77999997</v>
      </c>
      <c r="U325" s="72" t="s">
        <v>0</v>
      </c>
    </row>
    <row r="326" spans="1:21" ht="14.45" customHeight="1">
      <c r="A326" s="64">
        <v>45744</v>
      </c>
      <c r="B326" s="64">
        <v>45744</v>
      </c>
      <c r="C326" s="64">
        <v>45744</v>
      </c>
      <c r="D326" s="65" t="s">
        <v>80</v>
      </c>
      <c r="E326" s="65" t="s">
        <v>83</v>
      </c>
      <c r="F326" s="65" t="s">
        <v>84</v>
      </c>
      <c r="G326" s="65" t="s">
        <v>71</v>
      </c>
      <c r="H326" s="65" t="s">
        <v>14</v>
      </c>
      <c r="I326" s="66" t="s">
        <v>12</v>
      </c>
      <c r="J326" s="67">
        <v>16250</v>
      </c>
      <c r="K326" s="68">
        <v>1</v>
      </c>
      <c r="L326" s="67">
        <v>-16250</v>
      </c>
      <c r="M326" s="69">
        <v>0</v>
      </c>
      <c r="N326" s="70">
        <v>0</v>
      </c>
      <c r="O326" s="70">
        <v>2149516.39</v>
      </c>
      <c r="P326" s="70">
        <v>13664776.029999999</v>
      </c>
      <c r="Q326" s="70">
        <v>0</v>
      </c>
      <c r="R326" s="71">
        <v>426764468.82999998</v>
      </c>
      <c r="S326" s="70">
        <v>-0.05</v>
      </c>
      <c r="T326" s="70">
        <v>426764468.77999997</v>
      </c>
      <c r="U326" s="72" t="s">
        <v>0</v>
      </c>
    </row>
    <row r="327" spans="1:21" ht="14.45" customHeight="1">
      <c r="A327" s="64">
        <v>45744</v>
      </c>
      <c r="B327" s="64">
        <v>45744</v>
      </c>
      <c r="C327" s="64">
        <v>45744</v>
      </c>
      <c r="D327" s="65" t="s">
        <v>80</v>
      </c>
      <c r="E327" s="65" t="s">
        <v>226</v>
      </c>
      <c r="F327" s="65" t="s">
        <v>227</v>
      </c>
      <c r="G327" s="65" t="s">
        <v>71</v>
      </c>
      <c r="H327" s="65" t="s">
        <v>14</v>
      </c>
      <c r="I327" s="66" t="s">
        <v>12</v>
      </c>
      <c r="J327" s="67">
        <v>16054.4</v>
      </c>
      <c r="K327" s="68">
        <v>1</v>
      </c>
      <c r="L327" s="67">
        <v>-16054.4</v>
      </c>
      <c r="M327" s="69">
        <v>0</v>
      </c>
      <c r="N327" s="70">
        <v>0</v>
      </c>
      <c r="O327" s="70">
        <v>2149516.39</v>
      </c>
      <c r="P327" s="70">
        <v>13680830.43</v>
      </c>
      <c r="Q327" s="70">
        <v>0</v>
      </c>
      <c r="R327" s="71">
        <v>426748414.43000001</v>
      </c>
      <c r="S327" s="70">
        <v>-0.05</v>
      </c>
      <c r="T327" s="70">
        <v>426748414.38</v>
      </c>
      <c r="U327" s="72" t="s">
        <v>0</v>
      </c>
    </row>
    <row r="328" spans="1:21" ht="14.45" customHeight="1">
      <c r="A328" s="64">
        <v>45744</v>
      </c>
      <c r="B328" s="64">
        <v>45744</v>
      </c>
      <c r="C328" s="64">
        <v>45744</v>
      </c>
      <c r="D328" s="65" t="s">
        <v>80</v>
      </c>
      <c r="E328" s="65" t="s">
        <v>81</v>
      </c>
      <c r="F328" s="65" t="s">
        <v>82</v>
      </c>
      <c r="G328" s="65" t="s">
        <v>71</v>
      </c>
      <c r="H328" s="65" t="s">
        <v>14</v>
      </c>
      <c r="I328" s="66" t="s">
        <v>12</v>
      </c>
      <c r="J328" s="67">
        <v>9758.52</v>
      </c>
      <c r="K328" s="68">
        <v>1</v>
      </c>
      <c r="L328" s="67">
        <v>-9758.52</v>
      </c>
      <c r="M328" s="69">
        <v>0</v>
      </c>
      <c r="N328" s="70">
        <v>0</v>
      </c>
      <c r="O328" s="70">
        <v>2149516.39</v>
      </c>
      <c r="P328" s="70">
        <v>13690588.949999999</v>
      </c>
      <c r="Q328" s="70">
        <v>0</v>
      </c>
      <c r="R328" s="71">
        <v>426738655.91000003</v>
      </c>
      <c r="S328" s="70">
        <v>-0.05</v>
      </c>
      <c r="T328" s="70">
        <v>426738655.86000001</v>
      </c>
      <c r="U328" s="72" t="s">
        <v>0</v>
      </c>
    </row>
    <row r="329" spans="1:21" ht="14.45" customHeight="1">
      <c r="A329" s="64">
        <v>45744</v>
      </c>
      <c r="B329" s="64">
        <v>45744</v>
      </c>
      <c r="C329" s="64">
        <v>45744</v>
      </c>
      <c r="D329" s="65" t="s">
        <v>80</v>
      </c>
      <c r="E329" s="65" t="s">
        <v>81</v>
      </c>
      <c r="F329" s="65" t="s">
        <v>82</v>
      </c>
      <c r="G329" s="65" t="s">
        <v>66</v>
      </c>
      <c r="H329" s="65" t="s">
        <v>13</v>
      </c>
      <c r="I329" s="66" t="s">
        <v>12</v>
      </c>
      <c r="J329" s="67">
        <v>36527.69</v>
      </c>
      <c r="K329" s="68">
        <v>0</v>
      </c>
      <c r="L329" s="67">
        <v>0</v>
      </c>
      <c r="M329" s="69">
        <v>0</v>
      </c>
      <c r="N329" s="70">
        <v>0</v>
      </c>
      <c r="O329" s="70">
        <v>2186044.08</v>
      </c>
      <c r="P329" s="70">
        <v>13690588.949999999</v>
      </c>
      <c r="Q329" s="70">
        <v>0</v>
      </c>
      <c r="R329" s="71">
        <v>426738655.91000003</v>
      </c>
      <c r="S329" s="70">
        <v>-0.05</v>
      </c>
      <c r="T329" s="70">
        <v>426738655.86000001</v>
      </c>
      <c r="U329" s="72" t="s">
        <v>0</v>
      </c>
    </row>
    <row r="330" spans="1:21" ht="14.45" customHeight="1">
      <c r="A330" s="64">
        <v>45744</v>
      </c>
      <c r="B330" s="64">
        <v>45744</v>
      </c>
      <c r="C330" s="64">
        <v>45744</v>
      </c>
      <c r="D330" s="65" t="s">
        <v>80</v>
      </c>
      <c r="E330" s="65" t="s">
        <v>65</v>
      </c>
      <c r="F330" s="65" t="s">
        <v>103</v>
      </c>
      <c r="G330" s="65" t="s">
        <v>282</v>
      </c>
      <c r="H330" s="65" t="s">
        <v>13</v>
      </c>
      <c r="I330" s="66" t="s">
        <v>12</v>
      </c>
      <c r="J330" s="67">
        <v>-10.6</v>
      </c>
      <c r="K330" s="68">
        <v>0</v>
      </c>
      <c r="L330" s="67">
        <v>0</v>
      </c>
      <c r="M330" s="69">
        <v>0</v>
      </c>
      <c r="N330" s="70">
        <v>0</v>
      </c>
      <c r="O330" s="70">
        <v>2186033.48</v>
      </c>
      <c r="P330" s="70">
        <v>13690588.949999999</v>
      </c>
      <c r="Q330" s="70">
        <v>0</v>
      </c>
      <c r="R330" s="71">
        <v>426738655.91000003</v>
      </c>
      <c r="S330" s="70">
        <v>-0.05</v>
      </c>
      <c r="T330" s="70">
        <v>426738655.86000001</v>
      </c>
      <c r="U330" s="72" t="s">
        <v>0</v>
      </c>
    </row>
    <row r="331" spans="1:21" ht="14.45" customHeight="1">
      <c r="A331" s="64">
        <v>45744</v>
      </c>
      <c r="B331" s="64">
        <v>45744</v>
      </c>
      <c r="C331" s="64">
        <v>45744</v>
      </c>
      <c r="D331" s="65" t="s">
        <v>80</v>
      </c>
      <c r="E331" s="65" t="s">
        <v>226</v>
      </c>
      <c r="F331" s="65" t="s">
        <v>227</v>
      </c>
      <c r="G331" s="65" t="s">
        <v>66</v>
      </c>
      <c r="H331" s="65" t="s">
        <v>13</v>
      </c>
      <c r="I331" s="66" t="s">
        <v>12</v>
      </c>
      <c r="J331" s="67">
        <v>149456.38</v>
      </c>
      <c r="K331" s="68">
        <v>0</v>
      </c>
      <c r="L331" s="67">
        <v>0</v>
      </c>
      <c r="M331" s="69">
        <v>0</v>
      </c>
      <c r="N331" s="70">
        <v>0</v>
      </c>
      <c r="O331" s="70">
        <v>2335489.86</v>
      </c>
      <c r="P331" s="70">
        <v>13690588.949999999</v>
      </c>
      <c r="Q331" s="70">
        <v>0</v>
      </c>
      <c r="R331" s="71">
        <v>426738655.91000003</v>
      </c>
      <c r="S331" s="70">
        <v>-0.05</v>
      </c>
      <c r="T331" s="70">
        <v>426738655.86000001</v>
      </c>
      <c r="U331" s="72" t="s">
        <v>0</v>
      </c>
    </row>
    <row r="332" spans="1:21" ht="14.45" customHeight="1">
      <c r="A332" s="64">
        <v>45744</v>
      </c>
      <c r="B332" s="64">
        <v>45744</v>
      </c>
      <c r="C332" s="64">
        <v>45744</v>
      </c>
      <c r="D332" s="65" t="s">
        <v>80</v>
      </c>
      <c r="E332" s="65" t="s">
        <v>226</v>
      </c>
      <c r="F332" s="65" t="s">
        <v>227</v>
      </c>
      <c r="G332" s="65" t="s">
        <v>282</v>
      </c>
      <c r="H332" s="65" t="s">
        <v>13</v>
      </c>
      <c r="I332" s="66" t="s">
        <v>12</v>
      </c>
      <c r="J332" s="67">
        <v>24009.47</v>
      </c>
      <c r="K332" s="68">
        <v>0</v>
      </c>
      <c r="L332" s="67">
        <v>0</v>
      </c>
      <c r="M332" s="69">
        <v>0</v>
      </c>
      <c r="N332" s="70">
        <v>0</v>
      </c>
      <c r="O332" s="70">
        <v>2359499.33</v>
      </c>
      <c r="P332" s="70">
        <v>13690588.949999999</v>
      </c>
      <c r="Q332" s="70">
        <v>0</v>
      </c>
      <c r="R332" s="71">
        <v>426738655.91000003</v>
      </c>
      <c r="S332" s="70">
        <v>-0.05</v>
      </c>
      <c r="T332" s="70">
        <v>426738655.86000001</v>
      </c>
      <c r="U332" s="72" t="s">
        <v>0</v>
      </c>
    </row>
    <row r="333" spans="1:21" ht="14.45" customHeight="1">
      <c r="A333" s="64">
        <v>45744</v>
      </c>
      <c r="B333" s="64">
        <v>45744</v>
      </c>
      <c r="C333" s="64">
        <v>45744</v>
      </c>
      <c r="D333" s="65" t="s">
        <v>80</v>
      </c>
      <c r="E333" s="65" t="s">
        <v>65</v>
      </c>
      <c r="F333" s="65" t="s">
        <v>103</v>
      </c>
      <c r="G333" s="65" t="s">
        <v>71</v>
      </c>
      <c r="H333" s="65" t="s">
        <v>14</v>
      </c>
      <c r="I333" s="66" t="s">
        <v>12</v>
      </c>
      <c r="J333" s="67">
        <v>3</v>
      </c>
      <c r="K333" s="68">
        <v>1</v>
      </c>
      <c r="L333" s="67">
        <v>-3</v>
      </c>
      <c r="M333" s="69">
        <v>0</v>
      </c>
      <c r="N333" s="70">
        <v>0</v>
      </c>
      <c r="O333" s="70">
        <v>2359499.33</v>
      </c>
      <c r="P333" s="70">
        <v>13690591.949999999</v>
      </c>
      <c r="Q333" s="70">
        <v>0</v>
      </c>
      <c r="R333" s="71">
        <v>426738652.91000003</v>
      </c>
      <c r="S333" s="70">
        <v>-0.05</v>
      </c>
      <c r="T333" s="70">
        <v>426738652.86000001</v>
      </c>
      <c r="U333" s="72" t="s">
        <v>0</v>
      </c>
    </row>
    <row r="334" spans="1:21" ht="14.45" customHeight="1">
      <c r="A334" s="64">
        <v>45744</v>
      </c>
      <c r="B334" s="64">
        <v>45744</v>
      </c>
      <c r="C334" s="64">
        <v>45744</v>
      </c>
      <c r="D334" s="65" t="s">
        <v>73</v>
      </c>
      <c r="E334" s="65" t="s">
        <v>74</v>
      </c>
      <c r="F334" s="65" t="s">
        <v>75</v>
      </c>
      <c r="G334" s="65" t="s">
        <v>71</v>
      </c>
      <c r="H334" s="65" t="s">
        <v>14</v>
      </c>
      <c r="I334" s="66" t="s">
        <v>12</v>
      </c>
      <c r="J334" s="67">
        <v>29125</v>
      </c>
      <c r="K334" s="68">
        <v>1</v>
      </c>
      <c r="L334" s="67">
        <v>-29125</v>
      </c>
      <c r="M334" s="69">
        <v>0</v>
      </c>
      <c r="N334" s="70">
        <v>0</v>
      </c>
      <c r="O334" s="70">
        <v>2359499.33</v>
      </c>
      <c r="P334" s="70">
        <v>13719716.949999999</v>
      </c>
      <c r="Q334" s="70">
        <v>0</v>
      </c>
      <c r="R334" s="71">
        <v>426709527.91000003</v>
      </c>
      <c r="S334" s="70">
        <v>-0.05</v>
      </c>
      <c r="T334" s="70">
        <v>426709527.86000001</v>
      </c>
      <c r="U334" s="72" t="s">
        <v>0</v>
      </c>
    </row>
    <row r="335" spans="1:21" ht="14.45" customHeight="1">
      <c r="A335" s="64">
        <v>45744</v>
      </c>
      <c r="B335" s="64">
        <v>45744</v>
      </c>
      <c r="C335" s="64">
        <v>45744</v>
      </c>
      <c r="D335" s="65" t="s">
        <v>73</v>
      </c>
      <c r="E335" s="65" t="s">
        <v>86</v>
      </c>
      <c r="F335" s="65" t="s">
        <v>75</v>
      </c>
      <c r="G335" s="65" t="s">
        <v>66</v>
      </c>
      <c r="H335" s="65" t="s">
        <v>13</v>
      </c>
      <c r="I335" s="66" t="s">
        <v>12</v>
      </c>
      <c r="J335" s="67">
        <v>503.55</v>
      </c>
      <c r="K335" s="68">
        <v>0</v>
      </c>
      <c r="L335" s="67">
        <v>0</v>
      </c>
      <c r="M335" s="69">
        <v>0</v>
      </c>
      <c r="N335" s="70">
        <v>0</v>
      </c>
      <c r="O335" s="70">
        <v>2360002.88</v>
      </c>
      <c r="P335" s="70">
        <v>13719716.949999999</v>
      </c>
      <c r="Q335" s="70">
        <v>0</v>
      </c>
      <c r="R335" s="71">
        <v>426709527.91000003</v>
      </c>
      <c r="S335" s="70">
        <v>-0.05</v>
      </c>
      <c r="T335" s="70">
        <v>426709527.86000001</v>
      </c>
      <c r="U335" s="72" t="s">
        <v>0</v>
      </c>
    </row>
    <row r="336" spans="1:21" ht="14.45" customHeight="1">
      <c r="A336" s="64">
        <v>45747</v>
      </c>
      <c r="B336" s="64">
        <v>45747</v>
      </c>
      <c r="C336" s="64">
        <v>45747</v>
      </c>
      <c r="D336" s="65" t="s">
        <v>335</v>
      </c>
      <c r="E336" s="65" t="s">
        <v>336</v>
      </c>
      <c r="F336" s="65" t="s">
        <v>337</v>
      </c>
      <c r="G336" s="65" t="s">
        <v>57</v>
      </c>
      <c r="H336" s="65"/>
      <c r="I336" s="66" t="s">
        <v>12</v>
      </c>
      <c r="J336" s="67">
        <v>0</v>
      </c>
      <c r="K336" s="68">
        <v>0</v>
      </c>
      <c r="L336" s="67">
        <v>2043.23</v>
      </c>
      <c r="M336" s="69">
        <v>0</v>
      </c>
      <c r="N336" s="70">
        <v>0</v>
      </c>
      <c r="O336" s="70">
        <v>2360002.88</v>
      </c>
      <c r="P336" s="70">
        <v>13719716.949999999</v>
      </c>
      <c r="Q336" s="70">
        <v>0</v>
      </c>
      <c r="R336" s="71">
        <v>426711571.13999999</v>
      </c>
      <c r="S336" s="70">
        <v>-0.05</v>
      </c>
      <c r="T336" s="70">
        <v>426711571.08999997</v>
      </c>
      <c r="U336" s="72" t="s">
        <v>0</v>
      </c>
    </row>
    <row r="337" spans="1:21" ht="14.45" customHeight="1">
      <c r="A337" s="64">
        <v>45747</v>
      </c>
      <c r="B337" s="64">
        <v>45747</v>
      </c>
      <c r="C337" s="64">
        <v>45747</v>
      </c>
      <c r="D337" s="65" t="s">
        <v>181</v>
      </c>
      <c r="E337" s="65" t="s">
        <v>86</v>
      </c>
      <c r="F337" s="65" t="s">
        <v>182</v>
      </c>
      <c r="G337" s="65" t="s">
        <v>57</v>
      </c>
      <c r="H337" s="65"/>
      <c r="I337" s="66" t="s">
        <v>12</v>
      </c>
      <c r="J337" s="67">
        <v>0</v>
      </c>
      <c r="K337" s="68">
        <v>0</v>
      </c>
      <c r="L337" s="67">
        <v>92360.36</v>
      </c>
      <c r="M337" s="69">
        <v>0</v>
      </c>
      <c r="N337" s="70">
        <v>0</v>
      </c>
      <c r="O337" s="70">
        <v>2360002.88</v>
      </c>
      <c r="P337" s="70">
        <v>13719716.949999999</v>
      </c>
      <c r="Q337" s="70">
        <v>0</v>
      </c>
      <c r="R337" s="71">
        <v>426803931.5</v>
      </c>
      <c r="S337" s="70">
        <v>-0.05</v>
      </c>
      <c r="T337" s="70">
        <v>426803931.44999999</v>
      </c>
      <c r="U337" s="72" t="s">
        <v>0</v>
      </c>
    </row>
    <row r="338" spans="1:21" ht="14.45" customHeight="1">
      <c r="A338" s="64">
        <v>45747</v>
      </c>
      <c r="B338" s="64">
        <v>45747</v>
      </c>
      <c r="C338" s="64">
        <v>45747</v>
      </c>
      <c r="D338" s="65" t="s">
        <v>293</v>
      </c>
      <c r="E338" s="65" t="s">
        <v>338</v>
      </c>
      <c r="F338" s="65" t="s">
        <v>295</v>
      </c>
      <c r="G338" s="65" t="s">
        <v>66</v>
      </c>
      <c r="H338" s="65" t="s">
        <v>13</v>
      </c>
      <c r="I338" s="66" t="s">
        <v>12</v>
      </c>
      <c r="J338" s="67">
        <v>8438.27</v>
      </c>
      <c r="K338" s="68">
        <v>0</v>
      </c>
      <c r="L338" s="67">
        <v>0</v>
      </c>
      <c r="M338" s="69">
        <v>0</v>
      </c>
      <c r="N338" s="70">
        <v>0</v>
      </c>
      <c r="O338" s="70">
        <v>2368441.15</v>
      </c>
      <c r="P338" s="70">
        <v>13719716.949999999</v>
      </c>
      <c r="Q338" s="70">
        <v>0</v>
      </c>
      <c r="R338" s="71">
        <v>426803931.5</v>
      </c>
      <c r="S338" s="70">
        <v>-0.05</v>
      </c>
      <c r="T338" s="70">
        <v>426803931.44999999</v>
      </c>
      <c r="U338" s="72" t="s">
        <v>0</v>
      </c>
    </row>
    <row r="339" spans="1:21" ht="14.45" customHeight="1">
      <c r="A339" s="64">
        <v>45747</v>
      </c>
      <c r="B339" s="64">
        <v>45747</v>
      </c>
      <c r="C339" s="64">
        <v>45747</v>
      </c>
      <c r="D339" s="65" t="s">
        <v>293</v>
      </c>
      <c r="E339" s="65" t="s">
        <v>294</v>
      </c>
      <c r="F339" s="65" t="s">
        <v>295</v>
      </c>
      <c r="G339" s="65" t="s">
        <v>71</v>
      </c>
      <c r="H339" s="65" t="s">
        <v>14</v>
      </c>
      <c r="I339" s="66" t="s">
        <v>12</v>
      </c>
      <c r="J339" s="67">
        <v>2500</v>
      </c>
      <c r="K339" s="68">
        <v>1</v>
      </c>
      <c r="L339" s="67">
        <v>-2500</v>
      </c>
      <c r="M339" s="69">
        <v>0</v>
      </c>
      <c r="N339" s="70">
        <v>0</v>
      </c>
      <c r="O339" s="70">
        <v>2368441.15</v>
      </c>
      <c r="P339" s="70">
        <v>13722216.949999999</v>
      </c>
      <c r="Q339" s="70">
        <v>0</v>
      </c>
      <c r="R339" s="71">
        <v>426801431.5</v>
      </c>
      <c r="S339" s="70">
        <v>-0.05</v>
      </c>
      <c r="T339" s="70">
        <v>426801431.44999999</v>
      </c>
      <c r="U339" s="72" t="s">
        <v>0</v>
      </c>
    </row>
    <row r="340" spans="1:21" ht="14.45" customHeight="1">
      <c r="A340" s="64">
        <v>45747</v>
      </c>
      <c r="B340" s="64">
        <v>45747</v>
      </c>
      <c r="C340" s="64">
        <v>45747</v>
      </c>
      <c r="D340" s="65" t="s">
        <v>263</v>
      </c>
      <c r="E340" s="65" t="s">
        <v>176</v>
      </c>
      <c r="F340" s="65"/>
      <c r="G340" s="65" t="s">
        <v>71</v>
      </c>
      <c r="H340" s="65" t="s">
        <v>14</v>
      </c>
      <c r="I340" s="66" t="s">
        <v>12</v>
      </c>
      <c r="J340" s="67">
        <v>537.24</v>
      </c>
      <c r="K340" s="68">
        <v>1</v>
      </c>
      <c r="L340" s="67">
        <v>-537.24</v>
      </c>
      <c r="M340" s="69">
        <v>0</v>
      </c>
      <c r="N340" s="70">
        <v>0</v>
      </c>
      <c r="O340" s="70">
        <v>2368441.15</v>
      </c>
      <c r="P340" s="70">
        <v>13722754.189999999</v>
      </c>
      <c r="Q340" s="70">
        <v>0</v>
      </c>
      <c r="R340" s="71">
        <v>426800894.25999999</v>
      </c>
      <c r="S340" s="70">
        <v>-0.05</v>
      </c>
      <c r="T340" s="70">
        <v>426800894.20999998</v>
      </c>
      <c r="U340" s="72" t="s">
        <v>0</v>
      </c>
    </row>
    <row r="341" spans="1:21" ht="14.45" customHeight="1">
      <c r="A341" s="64">
        <v>45747</v>
      </c>
      <c r="B341" s="64">
        <v>45747</v>
      </c>
      <c r="C341" s="64">
        <v>45747</v>
      </c>
      <c r="D341" s="65" t="s">
        <v>263</v>
      </c>
      <c r="E341" s="65" t="s">
        <v>264</v>
      </c>
      <c r="F341" s="65"/>
      <c r="G341" s="65" t="s">
        <v>66</v>
      </c>
      <c r="H341" s="65" t="s">
        <v>13</v>
      </c>
      <c r="I341" s="66" t="s">
        <v>12</v>
      </c>
      <c r="J341" s="67">
        <v>20740.13</v>
      </c>
      <c r="K341" s="68">
        <v>0</v>
      </c>
      <c r="L341" s="67">
        <v>0</v>
      </c>
      <c r="M341" s="69">
        <v>0</v>
      </c>
      <c r="N341" s="70">
        <v>0</v>
      </c>
      <c r="O341" s="70">
        <v>2389181.2799999998</v>
      </c>
      <c r="P341" s="70">
        <v>13722754.189999999</v>
      </c>
      <c r="Q341" s="70">
        <v>0</v>
      </c>
      <c r="R341" s="71">
        <v>426800894.25999999</v>
      </c>
      <c r="S341" s="70">
        <v>-0.05</v>
      </c>
      <c r="T341" s="70">
        <v>426800894.20999998</v>
      </c>
      <c r="U341" s="72" t="s">
        <v>0</v>
      </c>
    </row>
    <row r="342" spans="1:21" ht="14.45" customHeight="1">
      <c r="A342" s="64">
        <v>45747</v>
      </c>
      <c r="B342" s="64">
        <v>45747</v>
      </c>
      <c r="C342" s="64">
        <v>45747</v>
      </c>
      <c r="D342" s="65" t="s">
        <v>172</v>
      </c>
      <c r="E342" s="65" t="s">
        <v>173</v>
      </c>
      <c r="F342" s="65" t="s">
        <v>174</v>
      </c>
      <c r="G342" s="65" t="s">
        <v>71</v>
      </c>
      <c r="H342" s="65" t="s">
        <v>14</v>
      </c>
      <c r="I342" s="66" t="s">
        <v>12</v>
      </c>
      <c r="J342" s="67">
        <v>8144.65</v>
      </c>
      <c r="K342" s="68">
        <v>1</v>
      </c>
      <c r="L342" s="67">
        <v>-8144.65</v>
      </c>
      <c r="M342" s="69">
        <v>0</v>
      </c>
      <c r="N342" s="70">
        <v>0</v>
      </c>
      <c r="O342" s="70">
        <v>2389181.2799999998</v>
      </c>
      <c r="P342" s="70">
        <v>13730898.84</v>
      </c>
      <c r="Q342" s="70">
        <v>0</v>
      </c>
      <c r="R342" s="71">
        <v>426792749.61000001</v>
      </c>
      <c r="S342" s="70">
        <v>-0.05</v>
      </c>
      <c r="T342" s="70">
        <v>426792749.56</v>
      </c>
      <c r="U342" s="72" t="s">
        <v>0</v>
      </c>
    </row>
    <row r="343" spans="1:21" ht="14.45" customHeight="1">
      <c r="A343" s="64">
        <v>45747</v>
      </c>
      <c r="B343" s="64">
        <v>45747</v>
      </c>
      <c r="C343" s="64">
        <v>45747</v>
      </c>
      <c r="D343" s="65" t="s">
        <v>172</v>
      </c>
      <c r="E343" s="65" t="s">
        <v>173</v>
      </c>
      <c r="F343" s="65" t="s">
        <v>174</v>
      </c>
      <c r="G343" s="65" t="s">
        <v>66</v>
      </c>
      <c r="H343" s="65" t="s">
        <v>13</v>
      </c>
      <c r="I343" s="66" t="s">
        <v>12</v>
      </c>
      <c r="J343" s="67">
        <v>25004.89</v>
      </c>
      <c r="K343" s="68">
        <v>0</v>
      </c>
      <c r="L343" s="67">
        <v>0</v>
      </c>
      <c r="M343" s="69">
        <v>0</v>
      </c>
      <c r="N343" s="70">
        <v>0</v>
      </c>
      <c r="O343" s="70">
        <v>2414186.17</v>
      </c>
      <c r="P343" s="70">
        <v>13730898.84</v>
      </c>
      <c r="Q343" s="70">
        <v>0</v>
      </c>
      <c r="R343" s="71">
        <v>426792749.61000001</v>
      </c>
      <c r="S343" s="70">
        <v>-0.05</v>
      </c>
      <c r="T343" s="70">
        <v>426792749.56</v>
      </c>
      <c r="U343" s="72" t="s">
        <v>0</v>
      </c>
    </row>
    <row r="344" spans="1:21" ht="14.45" customHeight="1">
      <c r="A344" s="64">
        <v>45747</v>
      </c>
      <c r="B344" s="64">
        <v>45747</v>
      </c>
      <c r="C344" s="64">
        <v>45747</v>
      </c>
      <c r="D344" s="65" t="s">
        <v>104</v>
      </c>
      <c r="E344" s="65" t="s">
        <v>65</v>
      </c>
      <c r="F344" s="65" t="s">
        <v>105</v>
      </c>
      <c r="G344" s="65" t="s">
        <v>66</v>
      </c>
      <c r="H344" s="65" t="s">
        <v>13</v>
      </c>
      <c r="I344" s="66" t="s">
        <v>12</v>
      </c>
      <c r="J344" s="67">
        <v>15971.08</v>
      </c>
      <c r="K344" s="68">
        <v>0</v>
      </c>
      <c r="L344" s="67">
        <v>0</v>
      </c>
      <c r="M344" s="69">
        <v>0</v>
      </c>
      <c r="N344" s="70">
        <v>0</v>
      </c>
      <c r="O344" s="70">
        <v>2430157.25</v>
      </c>
      <c r="P344" s="70">
        <v>13730898.84</v>
      </c>
      <c r="Q344" s="70">
        <v>0</v>
      </c>
      <c r="R344" s="71">
        <v>426792749.61000001</v>
      </c>
      <c r="S344" s="70">
        <v>-0.05</v>
      </c>
      <c r="T344" s="70">
        <v>426792749.56</v>
      </c>
      <c r="U344" s="72" t="s">
        <v>0</v>
      </c>
    </row>
    <row r="345" spans="1:21" ht="14.45" customHeight="1">
      <c r="A345" s="64">
        <v>45747</v>
      </c>
      <c r="B345" s="64">
        <v>45747</v>
      </c>
      <c r="C345" s="64">
        <v>45747</v>
      </c>
      <c r="D345" s="65" t="s">
        <v>104</v>
      </c>
      <c r="E345" s="65" t="s">
        <v>65</v>
      </c>
      <c r="F345" s="65" t="s">
        <v>105</v>
      </c>
      <c r="G345" s="65" t="s">
        <v>71</v>
      </c>
      <c r="H345" s="65" t="s">
        <v>14</v>
      </c>
      <c r="I345" s="66" t="s">
        <v>12</v>
      </c>
      <c r="J345" s="67">
        <v>1559.22</v>
      </c>
      <c r="K345" s="68">
        <v>1</v>
      </c>
      <c r="L345" s="67">
        <v>-1559.22</v>
      </c>
      <c r="M345" s="69">
        <v>0</v>
      </c>
      <c r="N345" s="70">
        <v>0</v>
      </c>
      <c r="O345" s="70">
        <v>2430157.25</v>
      </c>
      <c r="P345" s="70">
        <v>13732458.060000001</v>
      </c>
      <c r="Q345" s="70">
        <v>0</v>
      </c>
      <c r="R345" s="71">
        <v>426791190.38999999</v>
      </c>
      <c r="S345" s="70">
        <v>-0.05</v>
      </c>
      <c r="T345" s="70">
        <v>426791190.33999997</v>
      </c>
      <c r="U345" s="72" t="s">
        <v>0</v>
      </c>
    </row>
    <row r="346" spans="1:21" ht="14.45" customHeight="1">
      <c r="A346" s="64">
        <v>45747</v>
      </c>
      <c r="B346" s="64">
        <v>45747</v>
      </c>
      <c r="C346" s="64">
        <v>45747</v>
      </c>
      <c r="D346" s="65" t="s">
        <v>85</v>
      </c>
      <c r="E346" s="65" t="s">
        <v>86</v>
      </c>
      <c r="F346" s="65"/>
      <c r="G346" s="65" t="s">
        <v>71</v>
      </c>
      <c r="H346" s="65" t="s">
        <v>14</v>
      </c>
      <c r="I346" s="66" t="s">
        <v>12</v>
      </c>
      <c r="J346" s="67">
        <v>692.81</v>
      </c>
      <c r="K346" s="68">
        <v>1</v>
      </c>
      <c r="L346" s="67">
        <v>-692.81</v>
      </c>
      <c r="M346" s="69">
        <v>0</v>
      </c>
      <c r="N346" s="70">
        <v>0</v>
      </c>
      <c r="O346" s="70">
        <v>2430157.25</v>
      </c>
      <c r="P346" s="70">
        <v>13733150.869999999</v>
      </c>
      <c r="Q346" s="70">
        <v>0</v>
      </c>
      <c r="R346" s="71">
        <v>426790497.57999998</v>
      </c>
      <c r="S346" s="70">
        <v>-0.05</v>
      </c>
      <c r="T346" s="70">
        <v>426790497.52999997</v>
      </c>
      <c r="U346" s="72" t="s">
        <v>0</v>
      </c>
    </row>
    <row r="347" spans="1:21" ht="14.45" customHeight="1">
      <c r="A347" s="64">
        <v>45747</v>
      </c>
      <c r="B347" s="64">
        <v>45747</v>
      </c>
      <c r="C347" s="64">
        <v>45747</v>
      </c>
      <c r="D347" s="65" t="s">
        <v>252</v>
      </c>
      <c r="E347" s="65" t="s">
        <v>253</v>
      </c>
      <c r="F347" s="65" t="s">
        <v>254</v>
      </c>
      <c r="G347" s="65" t="s">
        <v>66</v>
      </c>
      <c r="H347" s="65" t="s">
        <v>13</v>
      </c>
      <c r="I347" s="66" t="s">
        <v>12</v>
      </c>
      <c r="J347" s="67">
        <v>40912.400000000001</v>
      </c>
      <c r="K347" s="68">
        <v>0</v>
      </c>
      <c r="L347" s="67">
        <v>0</v>
      </c>
      <c r="M347" s="69">
        <v>0</v>
      </c>
      <c r="N347" s="70">
        <v>0</v>
      </c>
      <c r="O347" s="70">
        <v>2471069.65</v>
      </c>
      <c r="P347" s="70">
        <v>13733150.869999999</v>
      </c>
      <c r="Q347" s="70">
        <v>0</v>
      </c>
      <c r="R347" s="71">
        <v>426790497.57999998</v>
      </c>
      <c r="S347" s="70">
        <v>-0.05</v>
      </c>
      <c r="T347" s="70">
        <v>426790497.52999997</v>
      </c>
      <c r="U347" s="72" t="s">
        <v>0</v>
      </c>
    </row>
    <row r="348" spans="1:21" ht="14.45" customHeight="1">
      <c r="A348" s="64">
        <v>45747</v>
      </c>
      <c r="B348" s="64">
        <v>45747</v>
      </c>
      <c r="C348" s="64">
        <v>45747</v>
      </c>
      <c r="D348" s="65" t="s">
        <v>252</v>
      </c>
      <c r="E348" s="65" t="s">
        <v>253</v>
      </c>
      <c r="F348" s="65" t="s">
        <v>254</v>
      </c>
      <c r="G348" s="65" t="s">
        <v>71</v>
      </c>
      <c r="H348" s="65" t="s">
        <v>14</v>
      </c>
      <c r="I348" s="66" t="s">
        <v>12</v>
      </c>
      <c r="J348" s="67">
        <v>6275.12</v>
      </c>
      <c r="K348" s="68">
        <v>1</v>
      </c>
      <c r="L348" s="67">
        <v>-6275.12</v>
      </c>
      <c r="M348" s="69">
        <v>0</v>
      </c>
      <c r="N348" s="70">
        <v>0</v>
      </c>
      <c r="O348" s="70">
        <v>2471069.65</v>
      </c>
      <c r="P348" s="70">
        <v>13739425.99</v>
      </c>
      <c r="Q348" s="70">
        <v>0</v>
      </c>
      <c r="R348" s="71">
        <v>426784222.45999998</v>
      </c>
      <c r="S348" s="70">
        <v>-0.05</v>
      </c>
      <c r="T348" s="70">
        <v>426784222.41000003</v>
      </c>
      <c r="U348" s="72" t="s">
        <v>0</v>
      </c>
    </row>
    <row r="349" spans="1:21" ht="14.45" customHeight="1">
      <c r="A349" s="64">
        <v>45747</v>
      </c>
      <c r="B349" s="64">
        <v>45747</v>
      </c>
      <c r="C349" s="64">
        <v>45747</v>
      </c>
      <c r="D349" s="65" t="s">
        <v>138</v>
      </c>
      <c r="E349" s="65" t="s">
        <v>122</v>
      </c>
      <c r="F349" s="65" t="s">
        <v>139</v>
      </c>
      <c r="G349" s="65" t="s">
        <v>66</v>
      </c>
      <c r="H349" s="65" t="s">
        <v>13</v>
      </c>
      <c r="I349" s="66" t="s">
        <v>12</v>
      </c>
      <c r="J349" s="67">
        <v>48117.84</v>
      </c>
      <c r="K349" s="68">
        <v>0</v>
      </c>
      <c r="L349" s="67">
        <v>0</v>
      </c>
      <c r="M349" s="69">
        <v>0</v>
      </c>
      <c r="N349" s="70">
        <v>0</v>
      </c>
      <c r="O349" s="70">
        <v>2519187.4900000002</v>
      </c>
      <c r="P349" s="70">
        <v>13739425.99</v>
      </c>
      <c r="Q349" s="70">
        <v>0</v>
      </c>
      <c r="R349" s="71">
        <v>426784222.45999998</v>
      </c>
      <c r="S349" s="70">
        <v>-0.05</v>
      </c>
      <c r="T349" s="70">
        <v>426784222.41000003</v>
      </c>
      <c r="U349" s="72" t="s">
        <v>0</v>
      </c>
    </row>
    <row r="350" spans="1:21" ht="14.45" customHeight="1">
      <c r="A350" s="64">
        <v>45747</v>
      </c>
      <c r="B350" s="64">
        <v>45747</v>
      </c>
      <c r="C350" s="64">
        <v>45747</v>
      </c>
      <c r="D350" s="65" t="s">
        <v>138</v>
      </c>
      <c r="E350" s="65" t="s">
        <v>122</v>
      </c>
      <c r="F350" s="65" t="s">
        <v>139</v>
      </c>
      <c r="G350" s="65" t="s">
        <v>71</v>
      </c>
      <c r="H350" s="65" t="s">
        <v>14</v>
      </c>
      <c r="I350" s="66" t="s">
        <v>12</v>
      </c>
      <c r="J350" s="67">
        <v>4962.41</v>
      </c>
      <c r="K350" s="68">
        <v>1</v>
      </c>
      <c r="L350" s="67">
        <v>-4962.41</v>
      </c>
      <c r="M350" s="69">
        <v>0</v>
      </c>
      <c r="N350" s="70">
        <v>0</v>
      </c>
      <c r="O350" s="70">
        <v>2519187.4900000002</v>
      </c>
      <c r="P350" s="70">
        <v>13744388.4</v>
      </c>
      <c r="Q350" s="70">
        <v>0</v>
      </c>
      <c r="R350" s="71">
        <v>426779260.05000001</v>
      </c>
      <c r="S350" s="70">
        <v>-0.05</v>
      </c>
      <c r="T350" s="70">
        <v>426779260</v>
      </c>
      <c r="U350" s="72" t="s">
        <v>0</v>
      </c>
    </row>
    <row r="351" spans="1:21" ht="14.45" customHeight="1">
      <c r="A351" s="64">
        <v>45747</v>
      </c>
      <c r="B351" s="64">
        <v>45747</v>
      </c>
      <c r="C351" s="64">
        <v>45747</v>
      </c>
      <c r="D351" s="65" t="s">
        <v>150</v>
      </c>
      <c r="E351" s="65" t="s">
        <v>86</v>
      </c>
      <c r="F351" s="65" t="s">
        <v>151</v>
      </c>
      <c r="G351" s="65" t="s">
        <v>71</v>
      </c>
      <c r="H351" s="65" t="s">
        <v>14</v>
      </c>
      <c r="I351" s="66" t="s">
        <v>12</v>
      </c>
      <c r="J351" s="67">
        <v>13750.06</v>
      </c>
      <c r="K351" s="68">
        <v>1</v>
      </c>
      <c r="L351" s="67">
        <v>-13750.06</v>
      </c>
      <c r="M351" s="69">
        <v>0</v>
      </c>
      <c r="N351" s="70">
        <v>0</v>
      </c>
      <c r="O351" s="70">
        <v>2519187.4900000002</v>
      </c>
      <c r="P351" s="70">
        <v>13758138.460000001</v>
      </c>
      <c r="Q351" s="70">
        <v>0</v>
      </c>
      <c r="R351" s="71">
        <v>426765509.99000001</v>
      </c>
      <c r="S351" s="70">
        <v>-0.05</v>
      </c>
      <c r="T351" s="70">
        <v>426765509.94</v>
      </c>
      <c r="U351" s="72" t="s">
        <v>0</v>
      </c>
    </row>
    <row r="352" spans="1:21" ht="14.45" customHeight="1">
      <c r="A352" s="64">
        <v>45747</v>
      </c>
      <c r="B352" s="64">
        <v>45747</v>
      </c>
      <c r="C352" s="64">
        <v>45747</v>
      </c>
      <c r="D352" s="65" t="s">
        <v>152</v>
      </c>
      <c r="E352" s="65" t="s">
        <v>65</v>
      </c>
      <c r="F352" s="65" t="s">
        <v>153</v>
      </c>
      <c r="G352" s="65" t="s">
        <v>71</v>
      </c>
      <c r="H352" s="65" t="s">
        <v>14</v>
      </c>
      <c r="I352" s="66" t="s">
        <v>12</v>
      </c>
      <c r="J352" s="67">
        <v>2500</v>
      </c>
      <c r="K352" s="68">
        <v>1</v>
      </c>
      <c r="L352" s="67">
        <v>-2500</v>
      </c>
      <c r="M352" s="69">
        <v>0</v>
      </c>
      <c r="N352" s="70">
        <v>0</v>
      </c>
      <c r="O352" s="70">
        <v>2519187.4900000002</v>
      </c>
      <c r="P352" s="70">
        <v>13760638.460000001</v>
      </c>
      <c r="Q352" s="70">
        <v>0</v>
      </c>
      <c r="R352" s="71">
        <v>426763009.99000001</v>
      </c>
      <c r="S352" s="70">
        <v>-0.05</v>
      </c>
      <c r="T352" s="70">
        <v>426763009.94</v>
      </c>
      <c r="U352" s="72" t="s">
        <v>0</v>
      </c>
    </row>
    <row r="353" spans="1:21" ht="14.45" customHeight="1">
      <c r="A353" s="64">
        <v>45747</v>
      </c>
      <c r="B353" s="64">
        <v>45747</v>
      </c>
      <c r="C353" s="64">
        <v>45747</v>
      </c>
      <c r="D353" s="65" t="s">
        <v>112</v>
      </c>
      <c r="E353" s="65" t="s">
        <v>86</v>
      </c>
      <c r="F353" s="65" t="s">
        <v>113</v>
      </c>
      <c r="G353" s="65" t="s">
        <v>66</v>
      </c>
      <c r="H353" s="65" t="s">
        <v>13</v>
      </c>
      <c r="I353" s="66" t="s">
        <v>12</v>
      </c>
      <c r="J353" s="67">
        <v>20360.09</v>
      </c>
      <c r="K353" s="68">
        <v>0</v>
      </c>
      <c r="L353" s="67">
        <v>0</v>
      </c>
      <c r="M353" s="69">
        <v>0</v>
      </c>
      <c r="N353" s="70">
        <v>0</v>
      </c>
      <c r="O353" s="70">
        <v>2539547.58</v>
      </c>
      <c r="P353" s="70">
        <v>13760638.460000001</v>
      </c>
      <c r="Q353" s="70">
        <v>0</v>
      </c>
      <c r="R353" s="71">
        <v>426763009.99000001</v>
      </c>
      <c r="S353" s="70">
        <v>-0.05</v>
      </c>
      <c r="T353" s="70">
        <v>426763009.94</v>
      </c>
      <c r="U353" s="72" t="s">
        <v>0</v>
      </c>
    </row>
    <row r="354" spans="1:21" ht="14.45" customHeight="1">
      <c r="A354" s="64">
        <v>45747</v>
      </c>
      <c r="B354" s="64">
        <v>45747</v>
      </c>
      <c r="C354" s="64">
        <v>45747</v>
      </c>
      <c r="D354" s="65" t="s">
        <v>112</v>
      </c>
      <c r="E354" s="65" t="s">
        <v>86</v>
      </c>
      <c r="F354" s="65" t="s">
        <v>113</v>
      </c>
      <c r="G354" s="65" t="s">
        <v>71</v>
      </c>
      <c r="H354" s="65" t="s">
        <v>14</v>
      </c>
      <c r="I354" s="66" t="s">
        <v>12</v>
      </c>
      <c r="J354" s="67">
        <v>5026.68</v>
      </c>
      <c r="K354" s="68">
        <v>1</v>
      </c>
      <c r="L354" s="67">
        <v>-5026.68</v>
      </c>
      <c r="M354" s="69">
        <v>0</v>
      </c>
      <c r="N354" s="70">
        <v>0</v>
      </c>
      <c r="O354" s="70">
        <v>2539547.58</v>
      </c>
      <c r="P354" s="70">
        <v>13765665.140000001</v>
      </c>
      <c r="Q354" s="70">
        <v>0</v>
      </c>
      <c r="R354" s="71">
        <v>426757983.31</v>
      </c>
      <c r="S354" s="70">
        <v>-0.05</v>
      </c>
      <c r="T354" s="70">
        <v>426757983.25999999</v>
      </c>
      <c r="U354" s="72" t="s">
        <v>0</v>
      </c>
    </row>
    <row r="355" spans="1:21" ht="14.45" customHeight="1">
      <c r="A355" s="64">
        <v>45747</v>
      </c>
      <c r="B355" s="64">
        <v>45747</v>
      </c>
      <c r="C355" s="64">
        <v>45747</v>
      </c>
      <c r="D355" s="65" t="s">
        <v>128</v>
      </c>
      <c r="E355" s="65" t="s">
        <v>65</v>
      </c>
      <c r="F355" s="65" t="s">
        <v>129</v>
      </c>
      <c r="G355" s="65" t="s">
        <v>66</v>
      </c>
      <c r="H355" s="65" t="s">
        <v>13</v>
      </c>
      <c r="I355" s="66" t="s">
        <v>12</v>
      </c>
      <c r="J355" s="67">
        <v>100238.59</v>
      </c>
      <c r="K355" s="68">
        <v>0</v>
      </c>
      <c r="L355" s="67">
        <v>0</v>
      </c>
      <c r="M355" s="69">
        <v>0</v>
      </c>
      <c r="N355" s="70">
        <v>0</v>
      </c>
      <c r="O355" s="70">
        <v>2639786.17</v>
      </c>
      <c r="P355" s="70">
        <v>13765665.140000001</v>
      </c>
      <c r="Q355" s="70">
        <v>0</v>
      </c>
      <c r="R355" s="71">
        <v>426757983.31</v>
      </c>
      <c r="S355" s="70">
        <v>-0.05</v>
      </c>
      <c r="T355" s="70">
        <v>426757983.25999999</v>
      </c>
      <c r="U355" s="72" t="s">
        <v>0</v>
      </c>
    </row>
    <row r="356" spans="1:21" ht="14.45" customHeight="1">
      <c r="A356" s="64">
        <v>45747</v>
      </c>
      <c r="B356" s="64">
        <v>45747</v>
      </c>
      <c r="C356" s="64">
        <v>45747</v>
      </c>
      <c r="D356" s="65" t="s">
        <v>128</v>
      </c>
      <c r="E356" s="65" t="s">
        <v>65</v>
      </c>
      <c r="F356" s="65" t="s">
        <v>129</v>
      </c>
      <c r="G356" s="65" t="s">
        <v>71</v>
      </c>
      <c r="H356" s="65" t="s">
        <v>14</v>
      </c>
      <c r="I356" s="66" t="s">
        <v>12</v>
      </c>
      <c r="J356" s="67">
        <v>9571.15</v>
      </c>
      <c r="K356" s="68">
        <v>1</v>
      </c>
      <c r="L356" s="67">
        <v>-9571.15</v>
      </c>
      <c r="M356" s="69">
        <v>0</v>
      </c>
      <c r="N356" s="70">
        <v>0</v>
      </c>
      <c r="O356" s="70">
        <v>2639786.17</v>
      </c>
      <c r="P356" s="70">
        <v>13775236.289999999</v>
      </c>
      <c r="Q356" s="70">
        <v>0</v>
      </c>
      <c r="R356" s="71">
        <v>426748412.16000003</v>
      </c>
      <c r="S356" s="70">
        <v>-0.05</v>
      </c>
      <c r="T356" s="70">
        <v>426748412.11000001</v>
      </c>
      <c r="U356" s="72" t="s">
        <v>0</v>
      </c>
    </row>
    <row r="357" spans="1:21" ht="14.45" customHeight="1">
      <c r="A357" s="64">
        <v>45747</v>
      </c>
      <c r="B357" s="64">
        <v>45747</v>
      </c>
      <c r="C357" s="64">
        <v>45747</v>
      </c>
      <c r="D357" s="65" t="s">
        <v>257</v>
      </c>
      <c r="E357" s="65" t="s">
        <v>86</v>
      </c>
      <c r="F357" s="65" t="s">
        <v>258</v>
      </c>
      <c r="G357" s="65" t="s">
        <v>66</v>
      </c>
      <c r="H357" s="65" t="s">
        <v>13</v>
      </c>
      <c r="I357" s="66" t="s">
        <v>12</v>
      </c>
      <c r="J357" s="67">
        <v>137524.14000000001</v>
      </c>
      <c r="K357" s="68">
        <v>0</v>
      </c>
      <c r="L357" s="67">
        <v>0</v>
      </c>
      <c r="M357" s="69">
        <v>0</v>
      </c>
      <c r="N357" s="70">
        <v>0</v>
      </c>
      <c r="O357" s="70">
        <v>2777310.31</v>
      </c>
      <c r="P357" s="70">
        <v>13775236.289999999</v>
      </c>
      <c r="Q357" s="70">
        <v>0</v>
      </c>
      <c r="R357" s="71">
        <v>426748412.16000003</v>
      </c>
      <c r="S357" s="70">
        <v>-0.05</v>
      </c>
      <c r="T357" s="70">
        <v>426748412.11000001</v>
      </c>
      <c r="U357" s="72" t="s">
        <v>0</v>
      </c>
    </row>
    <row r="358" spans="1:21" ht="14.45" customHeight="1">
      <c r="A358" s="64">
        <v>45747</v>
      </c>
      <c r="B358" s="64">
        <v>45747</v>
      </c>
      <c r="C358" s="64">
        <v>45747</v>
      </c>
      <c r="D358" s="65" t="s">
        <v>257</v>
      </c>
      <c r="E358" s="65" t="s">
        <v>86</v>
      </c>
      <c r="F358" s="65" t="s">
        <v>258</v>
      </c>
      <c r="G358" s="65" t="s">
        <v>71</v>
      </c>
      <c r="H358" s="65" t="s">
        <v>14</v>
      </c>
      <c r="I358" s="66" t="s">
        <v>12</v>
      </c>
      <c r="J358" s="67">
        <v>15000</v>
      </c>
      <c r="K358" s="68">
        <v>1</v>
      </c>
      <c r="L358" s="67">
        <v>-15000</v>
      </c>
      <c r="M358" s="69">
        <v>0</v>
      </c>
      <c r="N358" s="70">
        <v>0</v>
      </c>
      <c r="O358" s="70">
        <v>2777310.31</v>
      </c>
      <c r="P358" s="70">
        <v>13790236.289999999</v>
      </c>
      <c r="Q358" s="70">
        <v>0</v>
      </c>
      <c r="R358" s="71">
        <v>426733412.16000003</v>
      </c>
      <c r="S358" s="70">
        <v>-0.05</v>
      </c>
      <c r="T358" s="70">
        <v>426733412.11000001</v>
      </c>
      <c r="U358" s="72" t="s">
        <v>0</v>
      </c>
    </row>
    <row r="359" spans="1:21" ht="14.45" customHeight="1">
      <c r="A359" s="64">
        <v>45747</v>
      </c>
      <c r="B359" s="64">
        <v>45747</v>
      </c>
      <c r="C359" s="64">
        <v>45747</v>
      </c>
      <c r="D359" s="65" t="s">
        <v>64</v>
      </c>
      <c r="E359" s="65" t="s">
        <v>65</v>
      </c>
      <c r="F359" s="65"/>
      <c r="G359" s="65" t="s">
        <v>66</v>
      </c>
      <c r="H359" s="65" t="s">
        <v>13</v>
      </c>
      <c r="I359" s="66" t="s">
        <v>12</v>
      </c>
      <c r="J359" s="67">
        <v>58518.66</v>
      </c>
      <c r="K359" s="68">
        <v>0</v>
      </c>
      <c r="L359" s="67">
        <v>0</v>
      </c>
      <c r="M359" s="69">
        <v>0</v>
      </c>
      <c r="N359" s="70">
        <v>0</v>
      </c>
      <c r="O359" s="70">
        <v>2835828.97</v>
      </c>
      <c r="P359" s="70">
        <v>13790236.289999999</v>
      </c>
      <c r="Q359" s="70">
        <v>0</v>
      </c>
      <c r="R359" s="71">
        <v>426733412.16000003</v>
      </c>
      <c r="S359" s="70">
        <v>-0.05</v>
      </c>
      <c r="T359" s="70">
        <v>426733412.11000001</v>
      </c>
      <c r="U359" s="72" t="s">
        <v>0</v>
      </c>
    </row>
    <row r="360" spans="1:21" ht="14.45" customHeight="1">
      <c r="A360" s="64">
        <v>45747</v>
      </c>
      <c r="B360" s="64">
        <v>45747</v>
      </c>
      <c r="C360" s="64">
        <v>45747</v>
      </c>
      <c r="D360" s="65" t="s">
        <v>64</v>
      </c>
      <c r="E360" s="65" t="s">
        <v>65</v>
      </c>
      <c r="F360" s="65"/>
      <c r="G360" s="65" t="s">
        <v>71</v>
      </c>
      <c r="H360" s="65" t="s">
        <v>14</v>
      </c>
      <c r="I360" s="66" t="s">
        <v>12</v>
      </c>
      <c r="J360" s="67">
        <v>17424.62</v>
      </c>
      <c r="K360" s="68">
        <v>1</v>
      </c>
      <c r="L360" s="67">
        <v>-17424.62</v>
      </c>
      <c r="M360" s="69">
        <v>0</v>
      </c>
      <c r="N360" s="70">
        <v>0</v>
      </c>
      <c r="O360" s="70">
        <v>2835828.97</v>
      </c>
      <c r="P360" s="70">
        <v>13807660.91</v>
      </c>
      <c r="Q360" s="70">
        <v>0</v>
      </c>
      <c r="R360" s="71">
        <v>426715987.54000002</v>
      </c>
      <c r="S360" s="70">
        <v>-0.05</v>
      </c>
      <c r="T360" s="70">
        <v>426715987.49000001</v>
      </c>
      <c r="U360" s="72" t="s">
        <v>0</v>
      </c>
    </row>
    <row r="361" spans="1:21" ht="14.45" customHeight="1">
      <c r="A361" s="64">
        <v>45747</v>
      </c>
      <c r="B361" s="64">
        <v>45747</v>
      </c>
      <c r="C361" s="64">
        <v>45747</v>
      </c>
      <c r="D361" s="65" t="s">
        <v>158</v>
      </c>
      <c r="E361" s="65" t="s">
        <v>86</v>
      </c>
      <c r="F361" s="65" t="s">
        <v>159</v>
      </c>
      <c r="G361" s="65" t="s">
        <v>66</v>
      </c>
      <c r="H361" s="65" t="s">
        <v>13</v>
      </c>
      <c r="I361" s="66" t="s">
        <v>12</v>
      </c>
      <c r="J361" s="67">
        <v>131509.38</v>
      </c>
      <c r="K361" s="68">
        <v>0</v>
      </c>
      <c r="L361" s="67">
        <v>0</v>
      </c>
      <c r="M361" s="69">
        <v>0</v>
      </c>
      <c r="N361" s="70">
        <v>0</v>
      </c>
      <c r="O361" s="70">
        <v>2967338.35</v>
      </c>
      <c r="P361" s="70">
        <v>13807660.91</v>
      </c>
      <c r="Q361" s="70">
        <v>0</v>
      </c>
      <c r="R361" s="71">
        <v>426715987.54000002</v>
      </c>
      <c r="S361" s="70">
        <v>-0.05</v>
      </c>
      <c r="T361" s="70">
        <v>426715987.49000001</v>
      </c>
      <c r="U361" s="72" t="s">
        <v>0</v>
      </c>
    </row>
    <row r="362" spans="1:21" ht="14.45" customHeight="1">
      <c r="A362" s="64">
        <v>45747</v>
      </c>
      <c r="B362" s="64">
        <v>45747</v>
      </c>
      <c r="C362" s="64">
        <v>45747</v>
      </c>
      <c r="D362" s="65" t="s">
        <v>158</v>
      </c>
      <c r="E362" s="65" t="s">
        <v>86</v>
      </c>
      <c r="F362" s="65" t="s">
        <v>159</v>
      </c>
      <c r="G362" s="65" t="s">
        <v>71</v>
      </c>
      <c r="H362" s="65" t="s">
        <v>14</v>
      </c>
      <c r="I362" s="66" t="s">
        <v>12</v>
      </c>
      <c r="J362" s="67">
        <v>13382.71</v>
      </c>
      <c r="K362" s="68">
        <v>1</v>
      </c>
      <c r="L362" s="67">
        <v>-13382.71</v>
      </c>
      <c r="M362" s="69">
        <v>0</v>
      </c>
      <c r="N362" s="70">
        <v>0</v>
      </c>
      <c r="O362" s="70">
        <v>2967338.35</v>
      </c>
      <c r="P362" s="70">
        <v>13821043.619999999</v>
      </c>
      <c r="Q362" s="70">
        <v>0</v>
      </c>
      <c r="R362" s="71">
        <v>426702604.82999998</v>
      </c>
      <c r="S362" s="70">
        <v>-0.05</v>
      </c>
      <c r="T362" s="70">
        <v>426702604.77999997</v>
      </c>
      <c r="U362" s="72" t="s">
        <v>0</v>
      </c>
    </row>
    <row r="363" spans="1:21" ht="14.45" customHeight="1">
      <c r="A363" s="64">
        <v>45747</v>
      </c>
      <c r="B363" s="64">
        <v>45747</v>
      </c>
      <c r="C363" s="64">
        <v>45747</v>
      </c>
      <c r="D363" s="65" t="s">
        <v>287</v>
      </c>
      <c r="E363" s="65" t="s">
        <v>288</v>
      </c>
      <c r="F363" s="65" t="s">
        <v>289</v>
      </c>
      <c r="G363" s="65" t="s">
        <v>66</v>
      </c>
      <c r="H363" s="65" t="s">
        <v>13</v>
      </c>
      <c r="I363" s="66" t="s">
        <v>12</v>
      </c>
      <c r="J363" s="67">
        <v>8335.7199999999993</v>
      </c>
      <c r="K363" s="68">
        <v>0</v>
      </c>
      <c r="L363" s="67">
        <v>0</v>
      </c>
      <c r="M363" s="69">
        <v>0</v>
      </c>
      <c r="N363" s="70">
        <v>0</v>
      </c>
      <c r="O363" s="70">
        <v>2975674.07</v>
      </c>
      <c r="P363" s="70">
        <v>13821043.619999999</v>
      </c>
      <c r="Q363" s="70">
        <v>0</v>
      </c>
      <c r="R363" s="71">
        <v>426702604.82999998</v>
      </c>
      <c r="S363" s="70">
        <v>-0.05</v>
      </c>
      <c r="T363" s="70">
        <v>426702604.77999997</v>
      </c>
      <c r="U363" s="72" t="s">
        <v>0</v>
      </c>
    </row>
    <row r="364" spans="1:21" ht="14.45" customHeight="1">
      <c r="A364" s="64">
        <v>45747</v>
      </c>
      <c r="B364" s="64">
        <v>45747</v>
      </c>
      <c r="C364" s="64">
        <v>45747</v>
      </c>
      <c r="D364" s="65" t="s">
        <v>287</v>
      </c>
      <c r="E364" s="65" t="s">
        <v>288</v>
      </c>
      <c r="F364" s="65" t="s">
        <v>289</v>
      </c>
      <c r="G364" s="65" t="s">
        <v>71</v>
      </c>
      <c r="H364" s="65" t="s">
        <v>14</v>
      </c>
      <c r="I364" s="66" t="s">
        <v>12</v>
      </c>
      <c r="J364" s="67">
        <v>2500</v>
      </c>
      <c r="K364" s="68">
        <v>1</v>
      </c>
      <c r="L364" s="67">
        <v>-2500</v>
      </c>
      <c r="M364" s="69">
        <v>0</v>
      </c>
      <c r="N364" s="70">
        <v>0</v>
      </c>
      <c r="O364" s="70">
        <v>2975674.07</v>
      </c>
      <c r="P364" s="70">
        <v>13823543.619999999</v>
      </c>
      <c r="Q364" s="70">
        <v>0</v>
      </c>
      <c r="R364" s="71">
        <v>426700104.82999998</v>
      </c>
      <c r="S364" s="70">
        <v>-0.05</v>
      </c>
      <c r="T364" s="70">
        <v>426700104.77999997</v>
      </c>
      <c r="U364" s="72" t="s">
        <v>0</v>
      </c>
    </row>
    <row r="365" spans="1:21" ht="14.45" customHeight="1">
      <c r="A365" s="64">
        <v>45747</v>
      </c>
      <c r="B365" s="64">
        <v>45747</v>
      </c>
      <c r="C365" s="64">
        <v>45747</v>
      </c>
      <c r="D365" s="65" t="s">
        <v>78</v>
      </c>
      <c r="E365" s="65" t="s">
        <v>173</v>
      </c>
      <c r="F365" s="65" t="s">
        <v>228</v>
      </c>
      <c r="G365" s="65" t="s">
        <v>66</v>
      </c>
      <c r="H365" s="65" t="s">
        <v>13</v>
      </c>
      <c r="I365" s="66" t="s">
        <v>12</v>
      </c>
      <c r="J365" s="67">
        <v>43011.31</v>
      </c>
      <c r="K365" s="68">
        <v>0</v>
      </c>
      <c r="L365" s="67">
        <v>0</v>
      </c>
      <c r="M365" s="69">
        <v>0</v>
      </c>
      <c r="N365" s="70">
        <v>0</v>
      </c>
      <c r="O365" s="70">
        <v>3018685.38</v>
      </c>
      <c r="P365" s="70">
        <v>13823543.619999999</v>
      </c>
      <c r="Q365" s="70">
        <v>0</v>
      </c>
      <c r="R365" s="71">
        <v>426700104.82999998</v>
      </c>
      <c r="S365" s="70">
        <v>-0.05</v>
      </c>
      <c r="T365" s="70">
        <v>426700104.77999997</v>
      </c>
      <c r="U365" s="72" t="s">
        <v>0</v>
      </c>
    </row>
    <row r="366" spans="1:21" ht="14.45" customHeight="1">
      <c r="A366" s="64">
        <v>45747</v>
      </c>
      <c r="B366" s="64">
        <v>45747</v>
      </c>
      <c r="C366" s="64">
        <v>45747</v>
      </c>
      <c r="D366" s="65" t="s">
        <v>78</v>
      </c>
      <c r="E366" s="65" t="s">
        <v>173</v>
      </c>
      <c r="F366" s="65" t="s">
        <v>228</v>
      </c>
      <c r="G366" s="65" t="s">
        <v>71</v>
      </c>
      <c r="H366" s="65" t="s">
        <v>14</v>
      </c>
      <c r="I366" s="66" t="s">
        <v>12</v>
      </c>
      <c r="J366" s="67">
        <v>6119.23</v>
      </c>
      <c r="K366" s="68">
        <v>1</v>
      </c>
      <c r="L366" s="67">
        <v>-6119.23</v>
      </c>
      <c r="M366" s="69">
        <v>0</v>
      </c>
      <c r="N366" s="70">
        <v>0</v>
      </c>
      <c r="O366" s="70">
        <v>3018685.38</v>
      </c>
      <c r="P366" s="70">
        <v>13829662.85</v>
      </c>
      <c r="Q366" s="70">
        <v>0</v>
      </c>
      <c r="R366" s="71">
        <v>426693985.60000002</v>
      </c>
      <c r="S366" s="70">
        <v>-0.05</v>
      </c>
      <c r="T366" s="70">
        <v>426693985.55000001</v>
      </c>
      <c r="U366" s="72" t="s">
        <v>0</v>
      </c>
    </row>
    <row r="367" spans="1:21" ht="14.45" customHeight="1">
      <c r="A367" s="64">
        <v>45747</v>
      </c>
      <c r="B367" s="64">
        <v>45747</v>
      </c>
      <c r="C367" s="64">
        <v>45747</v>
      </c>
      <c r="D367" s="65" t="s">
        <v>78</v>
      </c>
      <c r="E367" s="65" t="s">
        <v>65</v>
      </c>
      <c r="F367" s="65" t="s">
        <v>79</v>
      </c>
      <c r="G367" s="65" t="s">
        <v>71</v>
      </c>
      <c r="H367" s="65" t="s">
        <v>14</v>
      </c>
      <c r="I367" s="66" t="s">
        <v>12</v>
      </c>
      <c r="J367" s="67">
        <v>10182.280000000001</v>
      </c>
      <c r="K367" s="68">
        <v>1</v>
      </c>
      <c r="L367" s="67">
        <v>-10182.280000000001</v>
      </c>
      <c r="M367" s="69">
        <v>0</v>
      </c>
      <c r="N367" s="70">
        <v>0</v>
      </c>
      <c r="O367" s="70">
        <v>3018685.38</v>
      </c>
      <c r="P367" s="70">
        <v>13839845.130000001</v>
      </c>
      <c r="Q367" s="70">
        <v>0</v>
      </c>
      <c r="R367" s="71">
        <v>426683803.31999999</v>
      </c>
      <c r="S367" s="70">
        <v>-0.05</v>
      </c>
      <c r="T367" s="70">
        <v>426683803.26999998</v>
      </c>
      <c r="U367" s="72" t="s">
        <v>0</v>
      </c>
    </row>
    <row r="368" spans="1:21" ht="14.45" customHeight="1">
      <c r="A368" s="64">
        <v>45747</v>
      </c>
      <c r="B368" s="64">
        <v>45720</v>
      </c>
      <c r="C368" s="64">
        <v>45710</v>
      </c>
      <c r="D368" s="65" t="s">
        <v>164</v>
      </c>
      <c r="E368" s="65" t="s">
        <v>339</v>
      </c>
      <c r="F368" s="65"/>
      <c r="G368" s="65" t="s">
        <v>76</v>
      </c>
      <c r="H368" s="65" t="s">
        <v>14</v>
      </c>
      <c r="I368" s="66" t="s">
        <v>12</v>
      </c>
      <c r="J368" s="67">
        <v>-1491256.25</v>
      </c>
      <c r="K368" s="68">
        <v>0.995</v>
      </c>
      <c r="L368" s="67">
        <v>1498750</v>
      </c>
      <c r="M368" s="69">
        <v>0</v>
      </c>
      <c r="N368" s="70">
        <v>0</v>
      </c>
      <c r="O368" s="70">
        <v>3018685.38</v>
      </c>
      <c r="P368" s="70">
        <v>12348588.880000001</v>
      </c>
      <c r="Q368" s="70">
        <v>0</v>
      </c>
      <c r="R368" s="71">
        <v>428182553.31999999</v>
      </c>
      <c r="S368" s="70">
        <v>-0.05</v>
      </c>
      <c r="T368" s="70">
        <v>428182553.26999998</v>
      </c>
      <c r="U368" s="72" t="s">
        <v>0</v>
      </c>
    </row>
    <row r="369" spans="1:21" ht="14.45" customHeight="1">
      <c r="A369" s="64">
        <v>45747</v>
      </c>
      <c r="B369" s="64">
        <v>45720</v>
      </c>
      <c r="C369" s="64">
        <v>45710</v>
      </c>
      <c r="D369" s="65" t="s">
        <v>164</v>
      </c>
      <c r="E369" s="65" t="s">
        <v>302</v>
      </c>
      <c r="F369" s="65" t="s">
        <v>303</v>
      </c>
      <c r="G369" s="65" t="s">
        <v>76</v>
      </c>
      <c r="H369" s="65" t="s">
        <v>14</v>
      </c>
      <c r="I369" s="66" t="s">
        <v>12</v>
      </c>
      <c r="J369" s="67">
        <v>1491256.25</v>
      </c>
      <c r="K369" s="68">
        <v>-0.995</v>
      </c>
      <c r="L369" s="67">
        <v>-1498750</v>
      </c>
      <c r="M369" s="69">
        <v>0</v>
      </c>
      <c r="N369" s="70">
        <v>0</v>
      </c>
      <c r="O369" s="70">
        <v>3018685.38</v>
      </c>
      <c r="P369" s="70">
        <v>13839845.130000001</v>
      </c>
      <c r="Q369" s="70">
        <v>0</v>
      </c>
      <c r="R369" s="71">
        <v>426683803.31999999</v>
      </c>
      <c r="S369" s="70">
        <v>-0.05</v>
      </c>
      <c r="T369" s="70">
        <v>426683803.26999998</v>
      </c>
      <c r="U369" s="72" t="s">
        <v>0</v>
      </c>
    </row>
    <row r="370" spans="1:21" ht="14.45" customHeight="1">
      <c r="A370" s="64">
        <v>45747</v>
      </c>
      <c r="B370" s="64">
        <v>45747</v>
      </c>
      <c r="C370" s="64">
        <v>45747</v>
      </c>
      <c r="D370" s="65" t="s">
        <v>126</v>
      </c>
      <c r="E370" s="65" t="s">
        <v>65</v>
      </c>
      <c r="F370" s="65" t="s">
        <v>127</v>
      </c>
      <c r="G370" s="65" t="s">
        <v>66</v>
      </c>
      <c r="H370" s="65" t="s">
        <v>13</v>
      </c>
      <c r="I370" s="66" t="s">
        <v>12</v>
      </c>
      <c r="J370" s="67">
        <v>121754.94</v>
      </c>
      <c r="K370" s="68">
        <v>0</v>
      </c>
      <c r="L370" s="67">
        <v>0</v>
      </c>
      <c r="M370" s="69">
        <v>0</v>
      </c>
      <c r="N370" s="70">
        <v>0</v>
      </c>
      <c r="O370" s="70">
        <v>3140440.32</v>
      </c>
      <c r="P370" s="70">
        <v>13839845.130000001</v>
      </c>
      <c r="Q370" s="70">
        <v>0</v>
      </c>
      <c r="R370" s="71">
        <v>426683803.31999999</v>
      </c>
      <c r="S370" s="70">
        <v>-0.05</v>
      </c>
      <c r="T370" s="70">
        <v>426683803.26999998</v>
      </c>
      <c r="U370" s="72" t="s">
        <v>0</v>
      </c>
    </row>
    <row r="371" spans="1:21" ht="14.45" customHeight="1">
      <c r="A371" s="64">
        <v>45747</v>
      </c>
      <c r="B371" s="64">
        <v>45747</v>
      </c>
      <c r="C371" s="64">
        <v>45747</v>
      </c>
      <c r="D371" s="65" t="s">
        <v>114</v>
      </c>
      <c r="E371" s="65" t="s">
        <v>115</v>
      </c>
      <c r="F371" s="65"/>
      <c r="G371" s="65" t="s">
        <v>71</v>
      </c>
      <c r="H371" s="65" t="s">
        <v>14</v>
      </c>
      <c r="I371" s="66" t="s">
        <v>12</v>
      </c>
      <c r="J371" s="67">
        <v>1176.1099999999999</v>
      </c>
      <c r="K371" s="68">
        <v>1</v>
      </c>
      <c r="L371" s="67">
        <v>-1176.1099999999999</v>
      </c>
      <c r="M371" s="69">
        <v>0</v>
      </c>
      <c r="N371" s="70">
        <v>0</v>
      </c>
      <c r="O371" s="70">
        <v>3140440.32</v>
      </c>
      <c r="P371" s="70">
        <v>13841021.24</v>
      </c>
      <c r="Q371" s="70">
        <v>0</v>
      </c>
      <c r="R371" s="71">
        <v>426682627.20999998</v>
      </c>
      <c r="S371" s="70">
        <v>-0.05</v>
      </c>
      <c r="T371" s="70">
        <v>426682627.16000003</v>
      </c>
      <c r="U371" s="72" t="s">
        <v>0</v>
      </c>
    </row>
    <row r="372" spans="1:21" ht="14.45" customHeight="1">
      <c r="A372" s="64">
        <v>45747</v>
      </c>
      <c r="B372" s="64">
        <v>45747</v>
      </c>
      <c r="C372" s="64">
        <v>45747</v>
      </c>
      <c r="D372" s="65" t="s">
        <v>312</v>
      </c>
      <c r="E372" s="65" t="s">
        <v>86</v>
      </c>
      <c r="F372" s="65" t="s">
        <v>313</v>
      </c>
      <c r="G372" s="65" t="s">
        <v>66</v>
      </c>
      <c r="H372" s="65" t="s">
        <v>13</v>
      </c>
      <c r="I372" s="66" t="s">
        <v>12</v>
      </c>
      <c r="J372" s="67">
        <v>39891</v>
      </c>
      <c r="K372" s="68">
        <v>0</v>
      </c>
      <c r="L372" s="67">
        <v>0</v>
      </c>
      <c r="M372" s="69">
        <v>0</v>
      </c>
      <c r="N372" s="70">
        <v>0</v>
      </c>
      <c r="O372" s="70">
        <v>3180331.32</v>
      </c>
      <c r="P372" s="70">
        <v>13841021.24</v>
      </c>
      <c r="Q372" s="70">
        <v>0</v>
      </c>
      <c r="R372" s="71">
        <v>426682627.20999998</v>
      </c>
      <c r="S372" s="70">
        <v>-0.05</v>
      </c>
      <c r="T372" s="70">
        <v>426682627.16000003</v>
      </c>
      <c r="U372" s="72" t="s">
        <v>0</v>
      </c>
    </row>
    <row r="373" spans="1:21" ht="14.45" customHeight="1">
      <c r="A373" s="64">
        <v>45747</v>
      </c>
      <c r="B373" s="64">
        <v>45747</v>
      </c>
      <c r="C373" s="64">
        <v>45747</v>
      </c>
      <c r="D373" s="65" t="s">
        <v>109</v>
      </c>
      <c r="E373" s="65" t="s">
        <v>86</v>
      </c>
      <c r="F373" s="65" t="s">
        <v>111</v>
      </c>
      <c r="G373" s="65" t="s">
        <v>66</v>
      </c>
      <c r="H373" s="65" t="s">
        <v>13</v>
      </c>
      <c r="I373" s="66" t="s">
        <v>12</v>
      </c>
      <c r="J373" s="67">
        <v>16056.5</v>
      </c>
      <c r="K373" s="68">
        <v>0</v>
      </c>
      <c r="L373" s="67">
        <v>0</v>
      </c>
      <c r="M373" s="69">
        <v>0</v>
      </c>
      <c r="N373" s="70">
        <v>0</v>
      </c>
      <c r="O373" s="70">
        <v>3196387.82</v>
      </c>
      <c r="P373" s="70">
        <v>13841021.24</v>
      </c>
      <c r="Q373" s="70">
        <v>0</v>
      </c>
      <c r="R373" s="71">
        <v>426682627.20999998</v>
      </c>
      <c r="S373" s="70">
        <v>-0.05</v>
      </c>
      <c r="T373" s="70">
        <v>426682627.16000003</v>
      </c>
      <c r="U373" s="72" t="s">
        <v>0</v>
      </c>
    </row>
    <row r="374" spans="1:21" ht="14.45" customHeight="1">
      <c r="A374" s="64">
        <v>45747</v>
      </c>
      <c r="B374" s="64">
        <v>45747</v>
      </c>
      <c r="C374" s="64">
        <v>45747</v>
      </c>
      <c r="D374" s="65" t="s">
        <v>109</v>
      </c>
      <c r="E374" s="65" t="s">
        <v>83</v>
      </c>
      <c r="F374" s="65" t="s">
        <v>110</v>
      </c>
      <c r="G374" s="65" t="s">
        <v>66</v>
      </c>
      <c r="H374" s="65" t="s">
        <v>13</v>
      </c>
      <c r="I374" s="66" t="s">
        <v>12</v>
      </c>
      <c r="J374" s="67">
        <v>34452.14</v>
      </c>
      <c r="K374" s="68">
        <v>0</v>
      </c>
      <c r="L374" s="67">
        <v>0</v>
      </c>
      <c r="M374" s="69">
        <v>0</v>
      </c>
      <c r="N374" s="70">
        <v>0</v>
      </c>
      <c r="O374" s="70">
        <v>3230839.96</v>
      </c>
      <c r="P374" s="70">
        <v>13841021.24</v>
      </c>
      <c r="Q374" s="70">
        <v>0</v>
      </c>
      <c r="R374" s="71">
        <v>426682627.20999998</v>
      </c>
      <c r="S374" s="70">
        <v>-0.05</v>
      </c>
      <c r="T374" s="70">
        <v>426682627.16000003</v>
      </c>
      <c r="U374" s="72" t="s">
        <v>0</v>
      </c>
    </row>
    <row r="375" spans="1:21" ht="14.45" customHeight="1">
      <c r="A375" s="64">
        <v>45747</v>
      </c>
      <c r="B375" s="64">
        <v>45747</v>
      </c>
      <c r="C375" s="64">
        <v>45747</v>
      </c>
      <c r="D375" s="65" t="s">
        <v>109</v>
      </c>
      <c r="E375" s="65" t="s">
        <v>83</v>
      </c>
      <c r="F375" s="65" t="s">
        <v>110</v>
      </c>
      <c r="G375" s="65" t="s">
        <v>71</v>
      </c>
      <c r="H375" s="65" t="s">
        <v>14</v>
      </c>
      <c r="I375" s="66" t="s">
        <v>12</v>
      </c>
      <c r="J375" s="67">
        <v>3558.61</v>
      </c>
      <c r="K375" s="68">
        <v>1</v>
      </c>
      <c r="L375" s="67">
        <v>-3558.61</v>
      </c>
      <c r="M375" s="69">
        <v>0</v>
      </c>
      <c r="N375" s="70">
        <v>0</v>
      </c>
      <c r="O375" s="70">
        <v>3230839.96</v>
      </c>
      <c r="P375" s="70">
        <v>13844579.85</v>
      </c>
      <c r="Q375" s="70">
        <v>0</v>
      </c>
      <c r="R375" s="71">
        <v>426679068.60000002</v>
      </c>
      <c r="S375" s="70">
        <v>-0.05</v>
      </c>
      <c r="T375" s="70">
        <v>426679068.55000001</v>
      </c>
      <c r="U375" s="72" t="s">
        <v>0</v>
      </c>
    </row>
    <row r="376" spans="1:21" ht="14.45" customHeight="1">
      <c r="A376" s="64">
        <v>45747</v>
      </c>
      <c r="B376" s="64">
        <v>45747</v>
      </c>
      <c r="C376" s="64">
        <v>45747</v>
      </c>
      <c r="D376" s="65" t="s">
        <v>312</v>
      </c>
      <c r="E376" s="65" t="s">
        <v>86</v>
      </c>
      <c r="F376" s="65" t="s">
        <v>313</v>
      </c>
      <c r="G376" s="65" t="s">
        <v>71</v>
      </c>
      <c r="H376" s="65" t="s">
        <v>14</v>
      </c>
      <c r="I376" s="66" t="s">
        <v>12</v>
      </c>
      <c r="J376" s="67">
        <v>15000</v>
      </c>
      <c r="K376" s="68">
        <v>1</v>
      </c>
      <c r="L376" s="67">
        <v>-15000</v>
      </c>
      <c r="M376" s="69">
        <v>0</v>
      </c>
      <c r="N376" s="70">
        <v>0</v>
      </c>
      <c r="O376" s="70">
        <v>3230839.96</v>
      </c>
      <c r="P376" s="70">
        <v>13859579.85</v>
      </c>
      <c r="Q376" s="70">
        <v>0</v>
      </c>
      <c r="R376" s="71">
        <v>426664068.60000002</v>
      </c>
      <c r="S376" s="70">
        <v>-0.05</v>
      </c>
      <c r="T376" s="70">
        <v>426664068.55000001</v>
      </c>
      <c r="U376" s="72" t="s">
        <v>0</v>
      </c>
    </row>
    <row r="377" spans="1:21" ht="14.45" customHeight="1">
      <c r="A377" s="64">
        <v>45747</v>
      </c>
      <c r="B377" s="64">
        <v>45747</v>
      </c>
      <c r="C377" s="64">
        <v>45747</v>
      </c>
      <c r="D377" s="65" t="s">
        <v>114</v>
      </c>
      <c r="E377" s="65" t="s">
        <v>251</v>
      </c>
      <c r="F377" s="65"/>
      <c r="G377" s="65" t="s">
        <v>71</v>
      </c>
      <c r="H377" s="65" t="s">
        <v>14</v>
      </c>
      <c r="I377" s="66" t="s">
        <v>12</v>
      </c>
      <c r="J377" s="67">
        <v>8667.89</v>
      </c>
      <c r="K377" s="68">
        <v>1</v>
      </c>
      <c r="L377" s="67">
        <v>-8667.89</v>
      </c>
      <c r="M377" s="69">
        <v>0</v>
      </c>
      <c r="N377" s="70">
        <v>0</v>
      </c>
      <c r="O377" s="70">
        <v>3230839.96</v>
      </c>
      <c r="P377" s="70">
        <v>13868247.74</v>
      </c>
      <c r="Q377" s="70">
        <v>0</v>
      </c>
      <c r="R377" s="71">
        <v>426655400.70999998</v>
      </c>
      <c r="S377" s="70">
        <v>-0.05</v>
      </c>
      <c r="T377" s="70">
        <v>426655400.66000003</v>
      </c>
      <c r="U377" s="72" t="s">
        <v>0</v>
      </c>
    </row>
    <row r="378" spans="1:21" ht="14.45" customHeight="1">
      <c r="A378" s="64">
        <v>45747</v>
      </c>
      <c r="B378" s="64">
        <v>45747</v>
      </c>
      <c r="C378" s="64">
        <v>45747</v>
      </c>
      <c r="D378" s="65" t="s">
        <v>244</v>
      </c>
      <c r="E378" s="65" t="s">
        <v>245</v>
      </c>
      <c r="F378" s="65"/>
      <c r="G378" s="65" t="s">
        <v>71</v>
      </c>
      <c r="H378" s="65" t="s">
        <v>14</v>
      </c>
      <c r="I378" s="66" t="s">
        <v>12</v>
      </c>
      <c r="J378" s="67">
        <v>175656.41</v>
      </c>
      <c r="K378" s="68">
        <v>1</v>
      </c>
      <c r="L378" s="67">
        <v>-175656.41</v>
      </c>
      <c r="M378" s="69">
        <v>0</v>
      </c>
      <c r="N378" s="70">
        <v>0</v>
      </c>
      <c r="O378" s="70">
        <v>3230839.96</v>
      </c>
      <c r="P378" s="70">
        <v>14043904.15</v>
      </c>
      <c r="Q378" s="70">
        <v>0</v>
      </c>
      <c r="R378" s="71">
        <v>426479744.30000001</v>
      </c>
      <c r="S378" s="70">
        <v>-0.05</v>
      </c>
      <c r="T378" s="70">
        <v>426479744.25</v>
      </c>
      <c r="U378" s="72" t="s">
        <v>0</v>
      </c>
    </row>
    <row r="379" spans="1:21" ht="14.45" customHeight="1">
      <c r="A379" s="64">
        <v>45747</v>
      </c>
      <c r="B379" s="64">
        <v>45747</v>
      </c>
      <c r="C379" s="64">
        <v>45747</v>
      </c>
      <c r="D379" s="65" t="s">
        <v>126</v>
      </c>
      <c r="E379" s="65" t="s">
        <v>65</v>
      </c>
      <c r="F379" s="65" t="s">
        <v>127</v>
      </c>
      <c r="G379" s="65" t="s">
        <v>71</v>
      </c>
      <c r="H379" s="65" t="s">
        <v>14</v>
      </c>
      <c r="I379" s="66" t="s">
        <v>12</v>
      </c>
      <c r="J379" s="67">
        <v>12481.2</v>
      </c>
      <c r="K379" s="68">
        <v>1</v>
      </c>
      <c r="L379" s="67">
        <v>-12481.2</v>
      </c>
      <c r="M379" s="69">
        <v>0</v>
      </c>
      <c r="N379" s="70">
        <v>0</v>
      </c>
      <c r="O379" s="70">
        <v>3230839.96</v>
      </c>
      <c r="P379" s="70">
        <v>14056385.35</v>
      </c>
      <c r="Q379" s="70">
        <v>0</v>
      </c>
      <c r="R379" s="71">
        <v>426467263.10000002</v>
      </c>
      <c r="S379" s="70">
        <v>-0.05</v>
      </c>
      <c r="T379" s="70">
        <v>426467263.05000001</v>
      </c>
      <c r="U379" s="72" t="s">
        <v>0</v>
      </c>
    </row>
    <row r="380" spans="1:21" ht="14.45" customHeight="1">
      <c r="A380" s="64">
        <v>45747</v>
      </c>
      <c r="B380" s="64">
        <v>45747</v>
      </c>
      <c r="C380" s="64">
        <v>45747</v>
      </c>
      <c r="D380" s="65" t="s">
        <v>121</v>
      </c>
      <c r="E380" s="65" t="s">
        <v>122</v>
      </c>
      <c r="F380" s="65" t="s">
        <v>123</v>
      </c>
      <c r="G380" s="65" t="s">
        <v>66</v>
      </c>
      <c r="H380" s="65" t="s">
        <v>13</v>
      </c>
      <c r="I380" s="66" t="s">
        <v>12</v>
      </c>
      <c r="J380" s="67">
        <v>101112.34</v>
      </c>
      <c r="K380" s="68">
        <v>0</v>
      </c>
      <c r="L380" s="67">
        <v>0</v>
      </c>
      <c r="M380" s="69">
        <v>0</v>
      </c>
      <c r="N380" s="70">
        <v>0</v>
      </c>
      <c r="O380" s="70">
        <v>3331952.3</v>
      </c>
      <c r="P380" s="70">
        <v>14056385.35</v>
      </c>
      <c r="Q380" s="70">
        <v>0</v>
      </c>
      <c r="R380" s="71">
        <v>426467263.10000002</v>
      </c>
      <c r="S380" s="70">
        <v>-0.05</v>
      </c>
      <c r="T380" s="70">
        <v>426467263.05000001</v>
      </c>
      <c r="U380" s="72" t="s">
        <v>0</v>
      </c>
    </row>
    <row r="381" spans="1:21" ht="14.45" customHeight="1">
      <c r="A381" s="64">
        <v>45747</v>
      </c>
      <c r="B381" s="64">
        <v>45747</v>
      </c>
      <c r="C381" s="64">
        <v>45747</v>
      </c>
      <c r="D381" s="65" t="s">
        <v>121</v>
      </c>
      <c r="E381" s="65" t="s">
        <v>122</v>
      </c>
      <c r="F381" s="65" t="s">
        <v>123</v>
      </c>
      <c r="G381" s="65" t="s">
        <v>71</v>
      </c>
      <c r="H381" s="65" t="s">
        <v>14</v>
      </c>
      <c r="I381" s="66" t="s">
        <v>12</v>
      </c>
      <c r="J381" s="67">
        <v>9588.3799999999992</v>
      </c>
      <c r="K381" s="68">
        <v>1</v>
      </c>
      <c r="L381" s="67">
        <v>-9588.3799999999992</v>
      </c>
      <c r="M381" s="69">
        <v>0</v>
      </c>
      <c r="N381" s="70">
        <v>0</v>
      </c>
      <c r="O381" s="70">
        <v>3331952.3</v>
      </c>
      <c r="P381" s="70">
        <v>14065973.73</v>
      </c>
      <c r="Q381" s="70">
        <v>0</v>
      </c>
      <c r="R381" s="71">
        <v>426457674.72000003</v>
      </c>
      <c r="S381" s="70">
        <v>-0.05</v>
      </c>
      <c r="T381" s="70">
        <v>426457674.67000002</v>
      </c>
      <c r="U381" s="72" t="s">
        <v>0</v>
      </c>
    </row>
    <row r="382" spans="1:21" ht="14.45" customHeight="1">
      <c r="A382" s="64">
        <v>45748</v>
      </c>
      <c r="B382" s="64">
        <v>45747</v>
      </c>
      <c r="C382" s="64">
        <v>45747</v>
      </c>
      <c r="D382" s="65" t="s">
        <v>220</v>
      </c>
      <c r="E382" s="65" t="s">
        <v>221</v>
      </c>
      <c r="F382" s="65" t="s">
        <v>222</v>
      </c>
      <c r="G382" s="65" t="s">
        <v>71</v>
      </c>
      <c r="H382" s="65" t="s">
        <v>14</v>
      </c>
      <c r="I382" s="66" t="s">
        <v>12</v>
      </c>
      <c r="J382" s="67">
        <v>17500</v>
      </c>
      <c r="K382" s="68">
        <v>1</v>
      </c>
      <c r="L382" s="67">
        <v>-17500</v>
      </c>
      <c r="M382" s="69">
        <v>0</v>
      </c>
      <c r="N382" s="70">
        <v>0</v>
      </c>
      <c r="O382" s="70">
        <v>3331952.3</v>
      </c>
      <c r="P382" s="70">
        <v>14083473.73</v>
      </c>
      <c r="Q382" s="70">
        <v>0</v>
      </c>
      <c r="R382" s="71">
        <v>426440174.72000003</v>
      </c>
      <c r="S382" s="70">
        <v>-0.05</v>
      </c>
      <c r="T382" s="70">
        <v>426440174.67000002</v>
      </c>
      <c r="U382" s="72" t="s">
        <v>0</v>
      </c>
    </row>
    <row r="383" spans="1:21" ht="14.45" customHeight="1">
      <c r="A383" s="64">
        <v>45748</v>
      </c>
      <c r="B383" s="64">
        <v>45747</v>
      </c>
      <c r="C383" s="64">
        <v>45747</v>
      </c>
      <c r="D383" s="65" t="s">
        <v>196</v>
      </c>
      <c r="E383" s="65" t="s">
        <v>292</v>
      </c>
      <c r="F383" s="65" t="s">
        <v>200</v>
      </c>
      <c r="G383" s="65" t="s">
        <v>71</v>
      </c>
      <c r="H383" s="65" t="s">
        <v>14</v>
      </c>
      <c r="I383" s="66" t="s">
        <v>12</v>
      </c>
      <c r="J383" s="67">
        <v>3980.38</v>
      </c>
      <c r="K383" s="68">
        <v>1</v>
      </c>
      <c r="L383" s="67">
        <v>-3980.38</v>
      </c>
      <c r="M383" s="69">
        <v>0</v>
      </c>
      <c r="N383" s="70">
        <v>0</v>
      </c>
      <c r="O383" s="70">
        <v>3331952.3</v>
      </c>
      <c r="P383" s="70">
        <v>14087454.109999999</v>
      </c>
      <c r="Q383" s="70">
        <v>0</v>
      </c>
      <c r="R383" s="71">
        <v>426436194.33999997</v>
      </c>
      <c r="S383" s="70">
        <v>-0.05</v>
      </c>
      <c r="T383" s="70">
        <v>426436194.29000002</v>
      </c>
      <c r="U383" s="72" t="s">
        <v>0</v>
      </c>
    </row>
    <row r="384" spans="1:21" ht="14.45" customHeight="1">
      <c r="A384" s="64">
        <v>45748</v>
      </c>
      <c r="B384" s="64">
        <v>45747</v>
      </c>
      <c r="C384" s="64">
        <v>45747</v>
      </c>
      <c r="D384" s="65" t="s">
        <v>196</v>
      </c>
      <c r="E384" s="65" t="s">
        <v>292</v>
      </c>
      <c r="F384" s="65" t="s">
        <v>200</v>
      </c>
      <c r="G384" s="65" t="s">
        <v>66</v>
      </c>
      <c r="H384" s="65" t="s">
        <v>13</v>
      </c>
      <c r="I384" s="66" t="s">
        <v>12</v>
      </c>
      <c r="J384" s="67">
        <v>43.45</v>
      </c>
      <c r="K384" s="68">
        <v>0</v>
      </c>
      <c r="L384" s="67">
        <v>0</v>
      </c>
      <c r="M384" s="69">
        <v>0</v>
      </c>
      <c r="N384" s="70">
        <v>0</v>
      </c>
      <c r="O384" s="70">
        <v>3331995.75</v>
      </c>
      <c r="P384" s="70">
        <v>14087454.109999999</v>
      </c>
      <c r="Q384" s="70">
        <v>0</v>
      </c>
      <c r="R384" s="71">
        <v>426436194.33999997</v>
      </c>
      <c r="S384" s="70">
        <v>-0.05</v>
      </c>
      <c r="T384" s="70">
        <v>426436194.29000002</v>
      </c>
      <c r="U384" s="72" t="s">
        <v>0</v>
      </c>
    </row>
    <row r="385" spans="1:21" ht="14.45" customHeight="1">
      <c r="A385" s="64">
        <v>45748</v>
      </c>
      <c r="B385" s="64">
        <v>45747</v>
      </c>
      <c r="C385" s="64">
        <v>45747</v>
      </c>
      <c r="D385" s="65" t="s">
        <v>196</v>
      </c>
      <c r="E385" s="65" t="s">
        <v>291</v>
      </c>
      <c r="F385" s="65" t="s">
        <v>198</v>
      </c>
      <c r="G385" s="65" t="s">
        <v>71</v>
      </c>
      <c r="H385" s="65" t="s">
        <v>14</v>
      </c>
      <c r="I385" s="66" t="s">
        <v>12</v>
      </c>
      <c r="J385" s="67">
        <v>14459.13</v>
      </c>
      <c r="K385" s="68">
        <v>1</v>
      </c>
      <c r="L385" s="67">
        <v>-14459.13</v>
      </c>
      <c r="M385" s="69">
        <v>0</v>
      </c>
      <c r="N385" s="70">
        <v>0</v>
      </c>
      <c r="O385" s="70">
        <v>3331995.75</v>
      </c>
      <c r="P385" s="70">
        <v>14101913.24</v>
      </c>
      <c r="Q385" s="70">
        <v>0</v>
      </c>
      <c r="R385" s="71">
        <v>426421735.20999998</v>
      </c>
      <c r="S385" s="70">
        <v>-0.05</v>
      </c>
      <c r="T385" s="70">
        <v>426421735.16000003</v>
      </c>
      <c r="U385" s="72" t="s">
        <v>0</v>
      </c>
    </row>
    <row r="386" spans="1:21" ht="14.45" customHeight="1">
      <c r="A386" s="64">
        <v>45748</v>
      </c>
      <c r="B386" s="64">
        <v>45747</v>
      </c>
      <c r="C386" s="64">
        <v>45747</v>
      </c>
      <c r="D386" s="65" t="s">
        <v>196</v>
      </c>
      <c r="E386" s="65" t="s">
        <v>291</v>
      </c>
      <c r="F386" s="65" t="s">
        <v>198</v>
      </c>
      <c r="G386" s="65" t="s">
        <v>66</v>
      </c>
      <c r="H386" s="65" t="s">
        <v>13</v>
      </c>
      <c r="I386" s="66" t="s">
        <v>12</v>
      </c>
      <c r="J386" s="67">
        <v>166.07</v>
      </c>
      <c r="K386" s="68">
        <v>0</v>
      </c>
      <c r="L386" s="67">
        <v>0</v>
      </c>
      <c r="M386" s="69">
        <v>0</v>
      </c>
      <c r="N386" s="70">
        <v>0</v>
      </c>
      <c r="O386" s="70">
        <v>3332161.82</v>
      </c>
      <c r="P386" s="70">
        <v>14101913.24</v>
      </c>
      <c r="Q386" s="70">
        <v>0</v>
      </c>
      <c r="R386" s="71">
        <v>426421735.20999998</v>
      </c>
      <c r="S386" s="70">
        <v>-0.05</v>
      </c>
      <c r="T386" s="70">
        <v>426421735.16000003</v>
      </c>
      <c r="U386" s="72" t="s">
        <v>0</v>
      </c>
    </row>
    <row r="387" spans="1:21" ht="14.45" customHeight="1">
      <c r="A387" s="64">
        <v>45748</v>
      </c>
      <c r="B387" s="64">
        <v>45747</v>
      </c>
      <c r="C387" s="64">
        <v>45747</v>
      </c>
      <c r="D387" s="65" t="s">
        <v>144</v>
      </c>
      <c r="E387" s="65" t="s">
        <v>86</v>
      </c>
      <c r="F387" s="65" t="s">
        <v>145</v>
      </c>
      <c r="G387" s="65" t="s">
        <v>66</v>
      </c>
      <c r="H387" s="65" t="s">
        <v>13</v>
      </c>
      <c r="I387" s="66" t="s">
        <v>12</v>
      </c>
      <c r="J387" s="67">
        <v>71840.850000000006</v>
      </c>
      <c r="K387" s="68">
        <v>0</v>
      </c>
      <c r="L387" s="67">
        <v>0</v>
      </c>
      <c r="M387" s="69">
        <v>0</v>
      </c>
      <c r="N387" s="70">
        <v>0</v>
      </c>
      <c r="O387" s="70">
        <v>3404002.67</v>
      </c>
      <c r="P387" s="70">
        <v>14101913.24</v>
      </c>
      <c r="Q387" s="70">
        <v>0</v>
      </c>
      <c r="R387" s="71">
        <v>426421735.20999998</v>
      </c>
      <c r="S387" s="70">
        <v>-0.05</v>
      </c>
      <c r="T387" s="70">
        <v>426421735.16000003</v>
      </c>
      <c r="U387" s="72" t="s">
        <v>0</v>
      </c>
    </row>
    <row r="388" spans="1:21" ht="14.45" customHeight="1">
      <c r="A388" s="64">
        <v>45748</v>
      </c>
      <c r="B388" s="64">
        <v>45747</v>
      </c>
      <c r="C388" s="64">
        <v>45747</v>
      </c>
      <c r="D388" s="65" t="s">
        <v>144</v>
      </c>
      <c r="E388" s="65" t="s">
        <v>86</v>
      </c>
      <c r="F388" s="65" t="s">
        <v>145</v>
      </c>
      <c r="G388" s="65" t="s">
        <v>71</v>
      </c>
      <c r="H388" s="65" t="s">
        <v>14</v>
      </c>
      <c r="I388" s="66" t="s">
        <v>12</v>
      </c>
      <c r="J388" s="67">
        <v>7500</v>
      </c>
      <c r="K388" s="68">
        <v>1</v>
      </c>
      <c r="L388" s="67">
        <v>-7500</v>
      </c>
      <c r="M388" s="69">
        <v>0</v>
      </c>
      <c r="N388" s="70">
        <v>0</v>
      </c>
      <c r="O388" s="70">
        <v>3404002.67</v>
      </c>
      <c r="P388" s="70">
        <v>14109413.24</v>
      </c>
      <c r="Q388" s="70">
        <v>0</v>
      </c>
      <c r="R388" s="71">
        <v>426414235.20999998</v>
      </c>
      <c r="S388" s="70">
        <v>-0.05</v>
      </c>
      <c r="T388" s="70">
        <v>426414235.16000003</v>
      </c>
      <c r="U388" s="72" t="s">
        <v>0</v>
      </c>
    </row>
    <row r="389" spans="1:21" ht="14.45" customHeight="1">
      <c r="A389" s="64">
        <v>45748</v>
      </c>
      <c r="B389" s="64">
        <v>45747</v>
      </c>
      <c r="C389" s="64">
        <v>45747</v>
      </c>
      <c r="D389" s="65" t="s">
        <v>213</v>
      </c>
      <c r="E389" s="65" t="s">
        <v>179</v>
      </c>
      <c r="F389" s="65"/>
      <c r="G389" s="65" t="s">
        <v>66</v>
      </c>
      <c r="H389" s="65" t="s">
        <v>13</v>
      </c>
      <c r="I389" s="66" t="s">
        <v>12</v>
      </c>
      <c r="J389" s="67">
        <v>13119.49</v>
      </c>
      <c r="K389" s="68">
        <v>0</v>
      </c>
      <c r="L389" s="67">
        <v>0</v>
      </c>
      <c r="M389" s="69">
        <v>0</v>
      </c>
      <c r="N389" s="70">
        <v>0</v>
      </c>
      <c r="O389" s="70">
        <v>3417122.16</v>
      </c>
      <c r="P389" s="70">
        <v>14109413.24</v>
      </c>
      <c r="Q389" s="70">
        <v>0</v>
      </c>
      <c r="R389" s="71">
        <v>426414235.20999998</v>
      </c>
      <c r="S389" s="70">
        <v>-0.05</v>
      </c>
      <c r="T389" s="70">
        <v>426414235.16000003</v>
      </c>
      <c r="U389" s="72" t="s">
        <v>0</v>
      </c>
    </row>
    <row r="390" spans="1:21" ht="14.45" customHeight="1">
      <c r="A390" s="64">
        <v>45748</v>
      </c>
      <c r="B390" s="64">
        <v>45747</v>
      </c>
      <c r="C390" s="64">
        <v>45747</v>
      </c>
      <c r="D390" s="65" t="s">
        <v>213</v>
      </c>
      <c r="E390" s="65" t="s">
        <v>65</v>
      </c>
      <c r="F390" s="65"/>
      <c r="G390" s="65" t="s">
        <v>66</v>
      </c>
      <c r="H390" s="65" t="s">
        <v>13</v>
      </c>
      <c r="I390" s="66" t="s">
        <v>12</v>
      </c>
      <c r="J390" s="67">
        <v>71693.990000000005</v>
      </c>
      <c r="K390" s="68">
        <v>0</v>
      </c>
      <c r="L390" s="67">
        <v>0</v>
      </c>
      <c r="M390" s="69">
        <v>0</v>
      </c>
      <c r="N390" s="70">
        <v>0</v>
      </c>
      <c r="O390" s="70">
        <v>3488816.15</v>
      </c>
      <c r="P390" s="70">
        <v>14109413.24</v>
      </c>
      <c r="Q390" s="70">
        <v>0</v>
      </c>
      <c r="R390" s="71">
        <v>426414235.20999998</v>
      </c>
      <c r="S390" s="70">
        <v>-0.05</v>
      </c>
      <c r="T390" s="70">
        <v>426414235.16000003</v>
      </c>
      <c r="U390" s="72" t="s">
        <v>0</v>
      </c>
    </row>
    <row r="391" spans="1:21" ht="14.45" customHeight="1">
      <c r="A391" s="64">
        <v>45748</v>
      </c>
      <c r="B391" s="64">
        <v>45747</v>
      </c>
      <c r="C391" s="64">
        <v>45747</v>
      </c>
      <c r="D391" s="65" t="s">
        <v>213</v>
      </c>
      <c r="E391" s="65" t="s">
        <v>305</v>
      </c>
      <c r="F391" s="65"/>
      <c r="G391" s="65" t="s">
        <v>71</v>
      </c>
      <c r="H391" s="65" t="s">
        <v>14</v>
      </c>
      <c r="I391" s="66" t="s">
        <v>12</v>
      </c>
      <c r="J391" s="67">
        <v>5000</v>
      </c>
      <c r="K391" s="68">
        <v>1</v>
      </c>
      <c r="L391" s="67">
        <v>-5000</v>
      </c>
      <c r="M391" s="69">
        <v>0</v>
      </c>
      <c r="N391" s="70">
        <v>0</v>
      </c>
      <c r="O391" s="70">
        <v>3488816.15</v>
      </c>
      <c r="P391" s="70">
        <v>14114413.24</v>
      </c>
      <c r="Q391" s="70">
        <v>0</v>
      </c>
      <c r="R391" s="71">
        <v>426409235.20999998</v>
      </c>
      <c r="S391" s="70">
        <v>-0.05</v>
      </c>
      <c r="T391" s="70">
        <v>426409235.16000003</v>
      </c>
      <c r="U391" s="72" t="s">
        <v>0</v>
      </c>
    </row>
    <row r="392" spans="1:21" ht="14.45" customHeight="1">
      <c r="A392" s="64">
        <v>45748</v>
      </c>
      <c r="B392" s="64">
        <v>45747</v>
      </c>
      <c r="C392" s="64">
        <v>45747</v>
      </c>
      <c r="D392" s="65" t="s">
        <v>101</v>
      </c>
      <c r="E392" s="65" t="s">
        <v>65</v>
      </c>
      <c r="F392" s="65" t="s">
        <v>102</v>
      </c>
      <c r="G392" s="65" t="s">
        <v>66</v>
      </c>
      <c r="H392" s="65" t="s">
        <v>13</v>
      </c>
      <c r="I392" s="66" t="s">
        <v>12</v>
      </c>
      <c r="J392" s="67">
        <v>520380.8</v>
      </c>
      <c r="K392" s="68">
        <v>0</v>
      </c>
      <c r="L392" s="67">
        <v>0</v>
      </c>
      <c r="M392" s="69">
        <v>0</v>
      </c>
      <c r="N392" s="70">
        <v>0</v>
      </c>
      <c r="O392" s="70">
        <v>4009196.95</v>
      </c>
      <c r="P392" s="70">
        <v>14114413.24</v>
      </c>
      <c r="Q392" s="70">
        <v>0</v>
      </c>
      <c r="R392" s="71">
        <v>426409235.20999998</v>
      </c>
      <c r="S392" s="70">
        <v>-0.05</v>
      </c>
      <c r="T392" s="70">
        <v>426409235.16000003</v>
      </c>
      <c r="U392" s="72" t="s">
        <v>0</v>
      </c>
    </row>
    <row r="393" spans="1:21" ht="14.45" customHeight="1">
      <c r="A393" s="64">
        <v>45748</v>
      </c>
      <c r="B393" s="64">
        <v>45747</v>
      </c>
      <c r="C393" s="64">
        <v>45747</v>
      </c>
      <c r="D393" s="65" t="s">
        <v>144</v>
      </c>
      <c r="E393" s="65" t="s">
        <v>83</v>
      </c>
      <c r="F393" s="65" t="s">
        <v>219</v>
      </c>
      <c r="G393" s="65" t="s">
        <v>71</v>
      </c>
      <c r="H393" s="65" t="s">
        <v>14</v>
      </c>
      <c r="I393" s="66" t="s">
        <v>12</v>
      </c>
      <c r="J393" s="67">
        <v>3786.41</v>
      </c>
      <c r="K393" s="68">
        <v>1</v>
      </c>
      <c r="L393" s="67">
        <v>-3786.41</v>
      </c>
      <c r="M393" s="69">
        <v>0</v>
      </c>
      <c r="N393" s="70">
        <v>0</v>
      </c>
      <c r="O393" s="70">
        <v>4009196.95</v>
      </c>
      <c r="P393" s="70">
        <v>14118199.65</v>
      </c>
      <c r="Q393" s="70">
        <v>0</v>
      </c>
      <c r="R393" s="71">
        <v>426405448.80000001</v>
      </c>
      <c r="S393" s="70">
        <v>-0.05</v>
      </c>
      <c r="T393" s="70">
        <v>426405448.75</v>
      </c>
      <c r="U393" s="72" t="s">
        <v>0</v>
      </c>
    </row>
    <row r="394" spans="1:21" ht="14.45" customHeight="1">
      <c r="A394" s="64">
        <v>45748</v>
      </c>
      <c r="B394" s="64">
        <v>45747</v>
      </c>
      <c r="C394" s="64">
        <v>45747</v>
      </c>
      <c r="D394" s="65" t="s">
        <v>101</v>
      </c>
      <c r="E394" s="65" t="s">
        <v>65</v>
      </c>
      <c r="F394" s="65" t="s">
        <v>102</v>
      </c>
      <c r="G394" s="65" t="s">
        <v>71</v>
      </c>
      <c r="H394" s="65" t="s">
        <v>14</v>
      </c>
      <c r="I394" s="66" t="s">
        <v>12</v>
      </c>
      <c r="J394" s="67">
        <v>83651.11</v>
      </c>
      <c r="K394" s="68">
        <v>1</v>
      </c>
      <c r="L394" s="67">
        <v>-83651.11</v>
      </c>
      <c r="M394" s="69">
        <v>0</v>
      </c>
      <c r="N394" s="70">
        <v>0</v>
      </c>
      <c r="O394" s="70">
        <v>4009196.95</v>
      </c>
      <c r="P394" s="70">
        <v>14201850.76</v>
      </c>
      <c r="Q394" s="70">
        <v>0</v>
      </c>
      <c r="R394" s="71">
        <v>426321797.69</v>
      </c>
      <c r="S394" s="70">
        <v>-0.05</v>
      </c>
      <c r="T394" s="70">
        <v>426321797.63999999</v>
      </c>
      <c r="U394" s="72" t="s">
        <v>0</v>
      </c>
    </row>
    <row r="395" spans="1:21" ht="14.45" customHeight="1">
      <c r="A395" s="64">
        <v>45748</v>
      </c>
      <c r="B395" s="64">
        <v>45747</v>
      </c>
      <c r="C395" s="64">
        <v>45747</v>
      </c>
      <c r="D395" s="65" t="s">
        <v>69</v>
      </c>
      <c r="E395" s="65" t="s">
        <v>65</v>
      </c>
      <c r="F395" s="65" t="s">
        <v>70</v>
      </c>
      <c r="G395" s="65" t="s">
        <v>66</v>
      </c>
      <c r="H395" s="65" t="s">
        <v>13</v>
      </c>
      <c r="I395" s="66" t="s">
        <v>12</v>
      </c>
      <c r="J395" s="67">
        <v>27917.99</v>
      </c>
      <c r="K395" s="68">
        <v>0</v>
      </c>
      <c r="L395" s="67">
        <v>0</v>
      </c>
      <c r="M395" s="69">
        <v>0</v>
      </c>
      <c r="N395" s="70">
        <v>0</v>
      </c>
      <c r="O395" s="70">
        <v>4037114.94</v>
      </c>
      <c r="P395" s="70">
        <v>14201850.76</v>
      </c>
      <c r="Q395" s="70">
        <v>0</v>
      </c>
      <c r="R395" s="71">
        <v>426321797.69</v>
      </c>
      <c r="S395" s="70">
        <v>-0.05</v>
      </c>
      <c r="T395" s="70">
        <v>426321797.63999999</v>
      </c>
      <c r="U395" s="72" t="s">
        <v>0</v>
      </c>
    </row>
    <row r="396" spans="1:21" ht="14.45" customHeight="1">
      <c r="A396" s="64">
        <v>45748</v>
      </c>
      <c r="B396" s="64">
        <v>45747</v>
      </c>
      <c r="C396" s="64">
        <v>45747</v>
      </c>
      <c r="D396" s="65" t="s">
        <v>262</v>
      </c>
      <c r="E396" s="65" t="s">
        <v>86</v>
      </c>
      <c r="F396" s="65" t="s">
        <v>340</v>
      </c>
      <c r="G396" s="65" t="s">
        <v>66</v>
      </c>
      <c r="H396" s="65" t="s">
        <v>13</v>
      </c>
      <c r="I396" s="66" t="s">
        <v>12</v>
      </c>
      <c r="J396" s="67">
        <v>351305.04</v>
      </c>
      <c r="K396" s="68">
        <v>0</v>
      </c>
      <c r="L396" s="67">
        <v>0</v>
      </c>
      <c r="M396" s="69">
        <v>0</v>
      </c>
      <c r="N396" s="70">
        <v>0</v>
      </c>
      <c r="O396" s="70">
        <v>4388419.9800000004</v>
      </c>
      <c r="P396" s="70">
        <v>14201850.76</v>
      </c>
      <c r="Q396" s="70">
        <v>0</v>
      </c>
      <c r="R396" s="71">
        <v>426321797.69</v>
      </c>
      <c r="S396" s="70">
        <v>-0.05</v>
      </c>
      <c r="T396" s="70">
        <v>426321797.63999999</v>
      </c>
      <c r="U396" s="72" t="s">
        <v>0</v>
      </c>
    </row>
    <row r="397" spans="1:21" ht="14.45" customHeight="1">
      <c r="A397" s="64">
        <v>45748</v>
      </c>
      <c r="B397" s="64">
        <v>45747</v>
      </c>
      <c r="C397" s="64">
        <v>45747</v>
      </c>
      <c r="D397" s="65" t="s">
        <v>69</v>
      </c>
      <c r="E397" s="65" t="s">
        <v>65</v>
      </c>
      <c r="F397" s="65" t="s">
        <v>70</v>
      </c>
      <c r="G397" s="65" t="s">
        <v>71</v>
      </c>
      <c r="H397" s="65" t="s">
        <v>14</v>
      </c>
      <c r="I397" s="66" t="s">
        <v>12</v>
      </c>
      <c r="J397" s="67">
        <v>9199.64</v>
      </c>
      <c r="K397" s="68">
        <v>1</v>
      </c>
      <c r="L397" s="67">
        <v>-9199.6299999999992</v>
      </c>
      <c r="M397" s="69">
        <v>0</v>
      </c>
      <c r="N397" s="70">
        <v>0</v>
      </c>
      <c r="O397" s="70">
        <v>4388419.9800000004</v>
      </c>
      <c r="P397" s="70">
        <v>14211050.4</v>
      </c>
      <c r="Q397" s="70">
        <v>0</v>
      </c>
      <c r="R397" s="71">
        <v>426312598.06</v>
      </c>
      <c r="S397" s="70">
        <v>-0.05</v>
      </c>
      <c r="T397" s="70">
        <v>426312598.00999999</v>
      </c>
      <c r="U397" s="72" t="s">
        <v>0</v>
      </c>
    </row>
    <row r="398" spans="1:21" ht="14.45" customHeight="1">
      <c r="A398" s="64">
        <v>45748</v>
      </c>
      <c r="B398" s="64">
        <v>45747</v>
      </c>
      <c r="C398" s="64">
        <v>45747</v>
      </c>
      <c r="D398" s="65" t="s">
        <v>69</v>
      </c>
      <c r="E398" s="65" t="s">
        <v>65</v>
      </c>
      <c r="F398" s="65" t="s">
        <v>70</v>
      </c>
      <c r="G398" s="65" t="s">
        <v>71</v>
      </c>
      <c r="H398" s="65" t="s">
        <v>14</v>
      </c>
      <c r="I398" s="66" t="s">
        <v>12</v>
      </c>
      <c r="J398" s="67">
        <v>22715.13</v>
      </c>
      <c r="K398" s="68">
        <v>1</v>
      </c>
      <c r="L398" s="67">
        <v>-22715.13</v>
      </c>
      <c r="M398" s="69">
        <v>0</v>
      </c>
      <c r="N398" s="70">
        <v>0</v>
      </c>
      <c r="O398" s="70">
        <v>4388419.9800000004</v>
      </c>
      <c r="P398" s="70">
        <v>14233765.529999999</v>
      </c>
      <c r="Q398" s="70">
        <v>0</v>
      </c>
      <c r="R398" s="71">
        <v>426289882.93000001</v>
      </c>
      <c r="S398" s="70">
        <v>-0.05</v>
      </c>
      <c r="T398" s="70">
        <v>426289882.88</v>
      </c>
      <c r="U398" s="72" t="s">
        <v>0</v>
      </c>
    </row>
    <row r="399" spans="1:21" ht="14.45" customHeight="1">
      <c r="A399" s="64">
        <v>45748</v>
      </c>
      <c r="B399" s="64">
        <v>45747</v>
      </c>
      <c r="C399" s="64">
        <v>45747</v>
      </c>
      <c r="D399" s="65" t="s">
        <v>69</v>
      </c>
      <c r="E399" s="65" t="s">
        <v>65</v>
      </c>
      <c r="F399" s="65" t="s">
        <v>70</v>
      </c>
      <c r="G399" s="65" t="s">
        <v>72</v>
      </c>
      <c r="H399" s="65" t="s">
        <v>14</v>
      </c>
      <c r="I399" s="66" t="s">
        <v>12</v>
      </c>
      <c r="J399" s="67">
        <v>227.15</v>
      </c>
      <c r="K399" s="68">
        <v>0</v>
      </c>
      <c r="L399" s="67">
        <v>0</v>
      </c>
      <c r="M399" s="69">
        <v>0</v>
      </c>
      <c r="N399" s="70">
        <v>0</v>
      </c>
      <c r="O399" s="70">
        <v>4388419.9800000004</v>
      </c>
      <c r="P399" s="70">
        <v>14233992.68</v>
      </c>
      <c r="Q399" s="70">
        <v>0</v>
      </c>
      <c r="R399" s="71">
        <v>426289882.93000001</v>
      </c>
      <c r="S399" s="70">
        <v>-0.05</v>
      </c>
      <c r="T399" s="70">
        <v>426289882.88</v>
      </c>
      <c r="U399" s="72" t="s">
        <v>0</v>
      </c>
    </row>
    <row r="400" spans="1:21" ht="14.45" customHeight="1">
      <c r="A400" s="64">
        <v>45748</v>
      </c>
      <c r="B400" s="64">
        <v>45747</v>
      </c>
      <c r="C400" s="64">
        <v>45747</v>
      </c>
      <c r="D400" s="65" t="s">
        <v>93</v>
      </c>
      <c r="E400" s="65" t="s">
        <v>86</v>
      </c>
      <c r="F400" s="65" t="s">
        <v>94</v>
      </c>
      <c r="G400" s="65" t="s">
        <v>66</v>
      </c>
      <c r="H400" s="65" t="s">
        <v>13</v>
      </c>
      <c r="I400" s="66" t="s">
        <v>12</v>
      </c>
      <c r="J400" s="67">
        <v>99967.45</v>
      </c>
      <c r="K400" s="68">
        <v>0</v>
      </c>
      <c r="L400" s="67">
        <v>0</v>
      </c>
      <c r="M400" s="69">
        <v>0</v>
      </c>
      <c r="N400" s="70">
        <v>0</v>
      </c>
      <c r="O400" s="70">
        <v>4488387.43</v>
      </c>
      <c r="P400" s="70">
        <v>14233992.68</v>
      </c>
      <c r="Q400" s="70">
        <v>0</v>
      </c>
      <c r="R400" s="71">
        <v>426289882.93000001</v>
      </c>
      <c r="S400" s="70">
        <v>-0.05</v>
      </c>
      <c r="T400" s="70">
        <v>426289882.88</v>
      </c>
      <c r="U400" s="72" t="s">
        <v>0</v>
      </c>
    </row>
    <row r="401" spans="1:21" ht="14.45" customHeight="1">
      <c r="A401" s="64">
        <v>45748</v>
      </c>
      <c r="B401" s="64">
        <v>45747</v>
      </c>
      <c r="C401" s="64">
        <v>45747</v>
      </c>
      <c r="D401" s="65" t="s">
        <v>93</v>
      </c>
      <c r="E401" s="65" t="s">
        <v>86</v>
      </c>
      <c r="F401" s="65" t="s">
        <v>94</v>
      </c>
      <c r="G401" s="65" t="s">
        <v>71</v>
      </c>
      <c r="H401" s="65" t="s">
        <v>14</v>
      </c>
      <c r="I401" s="66" t="s">
        <v>12</v>
      </c>
      <c r="J401" s="67">
        <v>7175.77</v>
      </c>
      <c r="K401" s="68">
        <v>1</v>
      </c>
      <c r="L401" s="67">
        <v>-7175.77</v>
      </c>
      <c r="M401" s="69">
        <v>0</v>
      </c>
      <c r="N401" s="70">
        <v>0</v>
      </c>
      <c r="O401" s="70">
        <v>4488387.43</v>
      </c>
      <c r="P401" s="70">
        <v>14241168.449999999</v>
      </c>
      <c r="Q401" s="70">
        <v>0</v>
      </c>
      <c r="R401" s="71">
        <v>426282707.16000003</v>
      </c>
      <c r="S401" s="70">
        <v>-0.05</v>
      </c>
      <c r="T401" s="70">
        <v>426282707.11000001</v>
      </c>
      <c r="U401" s="72" t="s">
        <v>0</v>
      </c>
    </row>
    <row r="402" spans="1:21" ht="14.45" customHeight="1">
      <c r="A402" s="64">
        <v>45748</v>
      </c>
      <c r="B402" s="64">
        <v>45747</v>
      </c>
      <c r="C402" s="64">
        <v>45747</v>
      </c>
      <c r="D402" s="65" t="s">
        <v>156</v>
      </c>
      <c r="E402" s="65" t="s">
        <v>86</v>
      </c>
      <c r="F402" s="65" t="s">
        <v>157</v>
      </c>
      <c r="G402" s="65" t="s">
        <v>71</v>
      </c>
      <c r="H402" s="65" t="s">
        <v>14</v>
      </c>
      <c r="I402" s="66" t="s">
        <v>12</v>
      </c>
      <c r="J402" s="67">
        <v>3750</v>
      </c>
      <c r="K402" s="68">
        <v>1</v>
      </c>
      <c r="L402" s="67">
        <v>-3750</v>
      </c>
      <c r="M402" s="69">
        <v>0</v>
      </c>
      <c r="N402" s="70">
        <v>0</v>
      </c>
      <c r="O402" s="70">
        <v>4488387.43</v>
      </c>
      <c r="P402" s="70">
        <v>14244918.449999999</v>
      </c>
      <c r="Q402" s="70">
        <v>0</v>
      </c>
      <c r="R402" s="71">
        <v>426278957.16000003</v>
      </c>
      <c r="S402" s="70">
        <v>-0.05</v>
      </c>
      <c r="T402" s="70">
        <v>426278957.11000001</v>
      </c>
      <c r="U402" s="72" t="s">
        <v>0</v>
      </c>
    </row>
    <row r="403" spans="1:21" ht="14.45" customHeight="1">
      <c r="A403" s="64">
        <v>45748</v>
      </c>
      <c r="B403" s="64">
        <v>45747</v>
      </c>
      <c r="C403" s="64">
        <v>45747</v>
      </c>
      <c r="D403" s="65" t="s">
        <v>262</v>
      </c>
      <c r="E403" s="65" t="s">
        <v>86</v>
      </c>
      <c r="F403" s="65" t="s">
        <v>340</v>
      </c>
      <c r="G403" s="65" t="s">
        <v>71</v>
      </c>
      <c r="H403" s="65" t="s">
        <v>14</v>
      </c>
      <c r="I403" s="66" t="s">
        <v>12</v>
      </c>
      <c r="J403" s="67">
        <v>43562.5</v>
      </c>
      <c r="K403" s="68">
        <v>1</v>
      </c>
      <c r="L403" s="67">
        <v>-43562.5</v>
      </c>
      <c r="M403" s="69">
        <v>0</v>
      </c>
      <c r="N403" s="70">
        <v>0</v>
      </c>
      <c r="O403" s="70">
        <v>4488387.43</v>
      </c>
      <c r="P403" s="70">
        <v>14288480.949999999</v>
      </c>
      <c r="Q403" s="70">
        <v>0</v>
      </c>
      <c r="R403" s="71">
        <v>426235394.66000003</v>
      </c>
      <c r="S403" s="70">
        <v>-0.05</v>
      </c>
      <c r="T403" s="70">
        <v>426235394.61000001</v>
      </c>
      <c r="U403" s="72" t="s">
        <v>0</v>
      </c>
    </row>
    <row r="404" spans="1:21" ht="14.45" customHeight="1">
      <c r="A404" s="64">
        <v>45748</v>
      </c>
      <c r="B404" s="64">
        <v>45747</v>
      </c>
      <c r="C404" s="64">
        <v>45747</v>
      </c>
      <c r="D404" s="65" t="s">
        <v>67</v>
      </c>
      <c r="E404" s="65" t="s">
        <v>65</v>
      </c>
      <c r="F404" s="65" t="s">
        <v>68</v>
      </c>
      <c r="G404" s="65" t="s">
        <v>66</v>
      </c>
      <c r="H404" s="65" t="s">
        <v>13</v>
      </c>
      <c r="I404" s="66" t="s">
        <v>12</v>
      </c>
      <c r="J404" s="67">
        <v>12079.85</v>
      </c>
      <c r="K404" s="68">
        <v>0</v>
      </c>
      <c r="L404" s="67">
        <v>0</v>
      </c>
      <c r="M404" s="69">
        <v>0</v>
      </c>
      <c r="N404" s="70">
        <v>0</v>
      </c>
      <c r="O404" s="70">
        <v>4500467.28</v>
      </c>
      <c r="P404" s="70">
        <v>14288480.949999999</v>
      </c>
      <c r="Q404" s="70">
        <v>0</v>
      </c>
      <c r="R404" s="71">
        <v>426235394.66000003</v>
      </c>
      <c r="S404" s="70">
        <v>-0.05</v>
      </c>
      <c r="T404" s="70">
        <v>426235394.61000001</v>
      </c>
      <c r="U404" s="72" t="s">
        <v>0</v>
      </c>
    </row>
    <row r="405" spans="1:21" ht="14.45" customHeight="1">
      <c r="A405" s="64">
        <v>45748</v>
      </c>
      <c r="B405" s="64">
        <v>45747</v>
      </c>
      <c r="C405" s="64">
        <v>45747</v>
      </c>
      <c r="D405" s="65" t="s">
        <v>67</v>
      </c>
      <c r="E405" s="65" t="s">
        <v>65</v>
      </c>
      <c r="F405" s="65" t="s">
        <v>68</v>
      </c>
      <c r="G405" s="65" t="s">
        <v>71</v>
      </c>
      <c r="H405" s="65" t="s">
        <v>14</v>
      </c>
      <c r="I405" s="66" t="s">
        <v>12</v>
      </c>
      <c r="J405" s="67">
        <v>3507.65</v>
      </c>
      <c r="K405" s="68">
        <v>1</v>
      </c>
      <c r="L405" s="67">
        <v>-3507.65</v>
      </c>
      <c r="M405" s="69">
        <v>0</v>
      </c>
      <c r="N405" s="70">
        <v>0</v>
      </c>
      <c r="O405" s="70">
        <v>4500467.28</v>
      </c>
      <c r="P405" s="70">
        <v>14291988.6</v>
      </c>
      <c r="Q405" s="70">
        <v>0</v>
      </c>
      <c r="R405" s="71">
        <v>426231887.00999999</v>
      </c>
      <c r="S405" s="70">
        <v>-0.05</v>
      </c>
      <c r="T405" s="70">
        <v>426231886.95999998</v>
      </c>
      <c r="U405" s="72" t="s">
        <v>0</v>
      </c>
    </row>
    <row r="406" spans="1:21" ht="14.45" customHeight="1">
      <c r="A406" s="64">
        <v>45748</v>
      </c>
      <c r="B406" s="64">
        <v>45747</v>
      </c>
      <c r="C406" s="64">
        <v>45747</v>
      </c>
      <c r="D406" s="65" t="s">
        <v>181</v>
      </c>
      <c r="E406" s="65" t="s">
        <v>86</v>
      </c>
      <c r="F406" s="65" t="s">
        <v>182</v>
      </c>
      <c r="G406" s="65" t="s">
        <v>66</v>
      </c>
      <c r="H406" s="65" t="s">
        <v>13</v>
      </c>
      <c r="I406" s="66" t="s">
        <v>12</v>
      </c>
      <c r="J406" s="67">
        <v>184720.73</v>
      </c>
      <c r="K406" s="68">
        <v>0</v>
      </c>
      <c r="L406" s="67">
        <v>0</v>
      </c>
      <c r="M406" s="69">
        <v>0</v>
      </c>
      <c r="N406" s="70">
        <v>0</v>
      </c>
      <c r="O406" s="70">
        <v>4685188.01</v>
      </c>
      <c r="P406" s="70">
        <v>14291988.6</v>
      </c>
      <c r="Q406" s="70">
        <v>0</v>
      </c>
      <c r="R406" s="71">
        <v>426231887.00999999</v>
      </c>
      <c r="S406" s="70">
        <v>-0.05</v>
      </c>
      <c r="T406" s="70">
        <v>426231886.95999998</v>
      </c>
      <c r="U406" s="72" t="s">
        <v>0</v>
      </c>
    </row>
    <row r="407" spans="1:21" ht="14.45" customHeight="1">
      <c r="A407" s="64">
        <v>45748</v>
      </c>
      <c r="B407" s="64">
        <v>45747</v>
      </c>
      <c r="C407" s="64">
        <v>45747</v>
      </c>
      <c r="D407" s="65" t="s">
        <v>156</v>
      </c>
      <c r="E407" s="65" t="s">
        <v>86</v>
      </c>
      <c r="F407" s="65" t="s">
        <v>157</v>
      </c>
      <c r="G407" s="65" t="s">
        <v>66</v>
      </c>
      <c r="H407" s="65" t="s">
        <v>13</v>
      </c>
      <c r="I407" s="66" t="s">
        <v>12</v>
      </c>
      <c r="J407" s="67">
        <v>38636.089999999997</v>
      </c>
      <c r="K407" s="68">
        <v>0</v>
      </c>
      <c r="L407" s="67">
        <v>0</v>
      </c>
      <c r="M407" s="69">
        <v>0</v>
      </c>
      <c r="N407" s="70">
        <v>0</v>
      </c>
      <c r="O407" s="70">
        <v>4723824.0999999996</v>
      </c>
      <c r="P407" s="70">
        <v>14291988.6</v>
      </c>
      <c r="Q407" s="70">
        <v>0</v>
      </c>
      <c r="R407" s="71">
        <v>426231887.00999999</v>
      </c>
      <c r="S407" s="70">
        <v>-0.05</v>
      </c>
      <c r="T407" s="70">
        <v>426231886.95999998</v>
      </c>
      <c r="U407" s="72" t="s">
        <v>0</v>
      </c>
    </row>
    <row r="408" spans="1:21" ht="14.45" customHeight="1">
      <c r="A408" s="64">
        <v>45748</v>
      </c>
      <c r="B408" s="64">
        <v>45747</v>
      </c>
      <c r="C408" s="64">
        <v>45747</v>
      </c>
      <c r="D408" s="65" t="s">
        <v>268</v>
      </c>
      <c r="E408" s="65" t="s">
        <v>83</v>
      </c>
      <c r="F408" s="65"/>
      <c r="G408" s="65" t="s">
        <v>66</v>
      </c>
      <c r="H408" s="65" t="s">
        <v>13</v>
      </c>
      <c r="I408" s="66" t="s">
        <v>12</v>
      </c>
      <c r="J408" s="67">
        <v>17697.240000000002</v>
      </c>
      <c r="K408" s="68">
        <v>0</v>
      </c>
      <c r="L408" s="67">
        <v>0</v>
      </c>
      <c r="M408" s="69">
        <v>0</v>
      </c>
      <c r="N408" s="70">
        <v>0</v>
      </c>
      <c r="O408" s="70">
        <v>4741521.34</v>
      </c>
      <c r="P408" s="70">
        <v>14291988.6</v>
      </c>
      <c r="Q408" s="70">
        <v>0</v>
      </c>
      <c r="R408" s="71">
        <v>426231887.00999999</v>
      </c>
      <c r="S408" s="70">
        <v>-0.05</v>
      </c>
      <c r="T408" s="70">
        <v>426231886.95999998</v>
      </c>
      <c r="U408" s="72" t="s">
        <v>0</v>
      </c>
    </row>
    <row r="409" spans="1:21" ht="14.45" customHeight="1">
      <c r="A409" s="64">
        <v>45748</v>
      </c>
      <c r="B409" s="64">
        <v>45747</v>
      </c>
      <c r="C409" s="64">
        <v>45747</v>
      </c>
      <c r="D409" s="65" t="s">
        <v>268</v>
      </c>
      <c r="E409" s="65" t="s">
        <v>86</v>
      </c>
      <c r="F409" s="65"/>
      <c r="G409" s="65" t="s">
        <v>71</v>
      </c>
      <c r="H409" s="65" t="s">
        <v>14</v>
      </c>
      <c r="I409" s="66" t="s">
        <v>12</v>
      </c>
      <c r="J409" s="67">
        <v>25000</v>
      </c>
      <c r="K409" s="68">
        <v>1</v>
      </c>
      <c r="L409" s="67">
        <v>-25000</v>
      </c>
      <c r="M409" s="69">
        <v>0</v>
      </c>
      <c r="N409" s="70">
        <v>0</v>
      </c>
      <c r="O409" s="70">
        <v>4741521.34</v>
      </c>
      <c r="P409" s="70">
        <v>14316988.6</v>
      </c>
      <c r="Q409" s="70">
        <v>0</v>
      </c>
      <c r="R409" s="71">
        <v>426206887.00999999</v>
      </c>
      <c r="S409" s="70">
        <v>-0.05</v>
      </c>
      <c r="T409" s="70">
        <v>426206886.95999998</v>
      </c>
      <c r="U409" s="72" t="s">
        <v>0</v>
      </c>
    </row>
    <row r="410" spans="1:21" ht="14.45" customHeight="1">
      <c r="A410" s="64">
        <v>45748</v>
      </c>
      <c r="B410" s="64">
        <v>45747</v>
      </c>
      <c r="C410" s="64">
        <v>45747</v>
      </c>
      <c r="D410" s="65" t="s">
        <v>97</v>
      </c>
      <c r="E410" s="65" t="s">
        <v>65</v>
      </c>
      <c r="F410" s="65" t="s">
        <v>98</v>
      </c>
      <c r="G410" s="65" t="s">
        <v>66</v>
      </c>
      <c r="H410" s="65" t="s">
        <v>13</v>
      </c>
      <c r="I410" s="66" t="s">
        <v>12</v>
      </c>
      <c r="J410" s="67">
        <v>106665.53</v>
      </c>
      <c r="K410" s="68">
        <v>0</v>
      </c>
      <c r="L410" s="67">
        <v>0</v>
      </c>
      <c r="M410" s="69">
        <v>0</v>
      </c>
      <c r="N410" s="70">
        <v>0</v>
      </c>
      <c r="O410" s="70">
        <v>4848186.87</v>
      </c>
      <c r="P410" s="70">
        <v>14316988.6</v>
      </c>
      <c r="Q410" s="70">
        <v>0</v>
      </c>
      <c r="R410" s="71">
        <v>426206887.00999999</v>
      </c>
      <c r="S410" s="70">
        <v>-0.05</v>
      </c>
      <c r="T410" s="70">
        <v>426206886.95999998</v>
      </c>
      <c r="U410" s="72" t="s">
        <v>0</v>
      </c>
    </row>
    <row r="411" spans="1:21" ht="14.45" customHeight="1">
      <c r="A411" s="64">
        <v>45748</v>
      </c>
      <c r="B411" s="64">
        <v>45747</v>
      </c>
      <c r="C411" s="64">
        <v>45747</v>
      </c>
      <c r="D411" s="65" t="s">
        <v>97</v>
      </c>
      <c r="E411" s="65" t="s">
        <v>65</v>
      </c>
      <c r="F411" s="65" t="s">
        <v>98</v>
      </c>
      <c r="G411" s="65" t="s">
        <v>71</v>
      </c>
      <c r="H411" s="65" t="s">
        <v>14</v>
      </c>
      <c r="I411" s="66" t="s">
        <v>12</v>
      </c>
      <c r="J411" s="67">
        <v>9924.6200000000008</v>
      </c>
      <c r="K411" s="68">
        <v>1</v>
      </c>
      <c r="L411" s="67">
        <v>-9924.6200000000008</v>
      </c>
      <c r="M411" s="69">
        <v>0</v>
      </c>
      <c r="N411" s="70">
        <v>0</v>
      </c>
      <c r="O411" s="70">
        <v>4848186.87</v>
      </c>
      <c r="P411" s="70">
        <v>14326913.220000001</v>
      </c>
      <c r="Q411" s="70">
        <v>0</v>
      </c>
      <c r="R411" s="71">
        <v>426196962.38999999</v>
      </c>
      <c r="S411" s="70">
        <v>-0.05</v>
      </c>
      <c r="T411" s="70">
        <v>426196962.33999997</v>
      </c>
      <c r="U411" s="72" t="s">
        <v>0</v>
      </c>
    </row>
    <row r="412" spans="1:21" ht="14.45" customHeight="1">
      <c r="A412" s="64">
        <v>45748</v>
      </c>
      <c r="B412" s="64">
        <v>45747</v>
      </c>
      <c r="C412" s="64">
        <v>45747</v>
      </c>
      <c r="D412" s="65" t="s">
        <v>316</v>
      </c>
      <c r="E412" s="65" t="s">
        <v>86</v>
      </c>
      <c r="F412" s="65"/>
      <c r="G412" s="65" t="s">
        <v>66</v>
      </c>
      <c r="H412" s="65" t="s">
        <v>13</v>
      </c>
      <c r="I412" s="66" t="s">
        <v>12</v>
      </c>
      <c r="J412" s="67">
        <v>106698.33</v>
      </c>
      <c r="K412" s="68">
        <v>0</v>
      </c>
      <c r="L412" s="67">
        <v>0</v>
      </c>
      <c r="M412" s="69">
        <v>0</v>
      </c>
      <c r="N412" s="70">
        <v>0</v>
      </c>
      <c r="O412" s="70">
        <v>4954885.2</v>
      </c>
      <c r="P412" s="70">
        <v>14326913.220000001</v>
      </c>
      <c r="Q412" s="70">
        <v>0</v>
      </c>
      <c r="R412" s="71">
        <v>426196962.38999999</v>
      </c>
      <c r="S412" s="70">
        <v>-0.05</v>
      </c>
      <c r="T412" s="70">
        <v>426196962.33999997</v>
      </c>
      <c r="U412" s="72" t="s">
        <v>0</v>
      </c>
    </row>
    <row r="413" spans="1:21" ht="14.45" customHeight="1">
      <c r="A413" s="64">
        <v>45748</v>
      </c>
      <c r="B413" s="64">
        <v>45747</v>
      </c>
      <c r="C413" s="64">
        <v>45747</v>
      </c>
      <c r="D413" s="65" t="s">
        <v>268</v>
      </c>
      <c r="E413" s="65" t="s">
        <v>86</v>
      </c>
      <c r="F413" s="65"/>
      <c r="G413" s="65" t="s">
        <v>66</v>
      </c>
      <c r="H413" s="65" t="s">
        <v>13</v>
      </c>
      <c r="I413" s="66" t="s">
        <v>12</v>
      </c>
      <c r="J413" s="67">
        <v>136489.71</v>
      </c>
      <c r="K413" s="68">
        <v>0</v>
      </c>
      <c r="L413" s="67">
        <v>0</v>
      </c>
      <c r="M413" s="69">
        <v>0</v>
      </c>
      <c r="N413" s="70">
        <v>0</v>
      </c>
      <c r="O413" s="70">
        <v>5091374.91</v>
      </c>
      <c r="P413" s="70">
        <v>14326913.220000001</v>
      </c>
      <c r="Q413" s="70">
        <v>0</v>
      </c>
      <c r="R413" s="71">
        <v>426196962.38999999</v>
      </c>
      <c r="S413" s="70">
        <v>-0.05</v>
      </c>
      <c r="T413" s="70">
        <v>426196962.33999997</v>
      </c>
      <c r="U413" s="72" t="s">
        <v>0</v>
      </c>
    </row>
    <row r="414" spans="1:21" ht="14.45" customHeight="1">
      <c r="A414" s="64">
        <v>45748</v>
      </c>
      <c r="B414" s="64">
        <v>45747</v>
      </c>
      <c r="C414" s="64">
        <v>45747</v>
      </c>
      <c r="D414" s="65" t="s">
        <v>67</v>
      </c>
      <c r="E414" s="65" t="s">
        <v>65</v>
      </c>
      <c r="F414" s="65" t="s">
        <v>68</v>
      </c>
      <c r="G414" s="65" t="s">
        <v>72</v>
      </c>
      <c r="H414" s="65" t="s">
        <v>14</v>
      </c>
      <c r="I414" s="66" t="s">
        <v>12</v>
      </c>
      <c r="J414" s="67">
        <v>533.59</v>
      </c>
      <c r="K414" s="68">
        <v>0</v>
      </c>
      <c r="L414" s="67">
        <v>0</v>
      </c>
      <c r="M414" s="69">
        <v>0</v>
      </c>
      <c r="N414" s="70">
        <v>0</v>
      </c>
      <c r="O414" s="70">
        <v>5091374.91</v>
      </c>
      <c r="P414" s="70">
        <v>14327446.810000001</v>
      </c>
      <c r="Q414" s="70">
        <v>0</v>
      </c>
      <c r="R414" s="71">
        <v>426196962.38999999</v>
      </c>
      <c r="S414" s="70">
        <v>-0.05</v>
      </c>
      <c r="T414" s="70">
        <v>426196962.33999997</v>
      </c>
      <c r="U414" s="72" t="s">
        <v>0</v>
      </c>
    </row>
    <row r="415" spans="1:21" ht="14.45" customHeight="1">
      <c r="A415" s="64">
        <v>45748</v>
      </c>
      <c r="B415" s="64">
        <v>45747</v>
      </c>
      <c r="C415" s="64">
        <v>45747</v>
      </c>
      <c r="D415" s="65" t="s">
        <v>268</v>
      </c>
      <c r="E415" s="65" t="s">
        <v>83</v>
      </c>
      <c r="F415" s="65"/>
      <c r="G415" s="65" t="s">
        <v>71</v>
      </c>
      <c r="H415" s="65" t="s">
        <v>14</v>
      </c>
      <c r="I415" s="66" t="s">
        <v>12</v>
      </c>
      <c r="J415" s="67">
        <v>5259.53</v>
      </c>
      <c r="K415" s="68">
        <v>1</v>
      </c>
      <c r="L415" s="67">
        <v>-5259.53</v>
      </c>
      <c r="M415" s="69">
        <v>0</v>
      </c>
      <c r="N415" s="70">
        <v>0</v>
      </c>
      <c r="O415" s="70">
        <v>5091374.91</v>
      </c>
      <c r="P415" s="70">
        <v>14332706.34</v>
      </c>
      <c r="Q415" s="70">
        <v>0</v>
      </c>
      <c r="R415" s="71">
        <v>426191702.86000001</v>
      </c>
      <c r="S415" s="70">
        <v>-0.05</v>
      </c>
      <c r="T415" s="70">
        <v>426191702.81</v>
      </c>
      <c r="U415" s="72" t="s">
        <v>0</v>
      </c>
    </row>
    <row r="416" spans="1:21" ht="14.45" customHeight="1">
      <c r="A416" s="64">
        <v>45748</v>
      </c>
      <c r="B416" s="64">
        <v>45747</v>
      </c>
      <c r="C416" s="64">
        <v>45747</v>
      </c>
      <c r="D416" s="65" t="s">
        <v>144</v>
      </c>
      <c r="E416" s="65" t="s">
        <v>83</v>
      </c>
      <c r="F416" s="65" t="s">
        <v>219</v>
      </c>
      <c r="G416" s="65" t="s">
        <v>66</v>
      </c>
      <c r="H416" s="65" t="s">
        <v>13</v>
      </c>
      <c r="I416" s="66" t="s">
        <v>12</v>
      </c>
      <c r="J416" s="67">
        <v>36521.67</v>
      </c>
      <c r="K416" s="68">
        <v>0</v>
      </c>
      <c r="L416" s="67">
        <v>0</v>
      </c>
      <c r="M416" s="69">
        <v>0</v>
      </c>
      <c r="N416" s="70">
        <v>0</v>
      </c>
      <c r="O416" s="70">
        <v>5127896.58</v>
      </c>
      <c r="P416" s="70">
        <v>14332706.34</v>
      </c>
      <c r="Q416" s="70">
        <v>0</v>
      </c>
      <c r="R416" s="71">
        <v>426191702.86000001</v>
      </c>
      <c r="S416" s="70">
        <v>-0.05</v>
      </c>
      <c r="T416" s="70">
        <v>426191702.81</v>
      </c>
      <c r="U416" s="72" t="s">
        <v>0</v>
      </c>
    </row>
    <row r="417" spans="1:21" ht="14.45" customHeight="1">
      <c r="A417" s="64">
        <v>45748</v>
      </c>
      <c r="B417" s="64">
        <v>45747</v>
      </c>
      <c r="C417" s="64">
        <v>45747</v>
      </c>
      <c r="D417" s="65" t="s">
        <v>144</v>
      </c>
      <c r="E417" s="65" t="s">
        <v>83</v>
      </c>
      <c r="F417" s="65" t="s">
        <v>219</v>
      </c>
      <c r="G417" s="65" t="s">
        <v>282</v>
      </c>
      <c r="H417" s="65" t="s">
        <v>13</v>
      </c>
      <c r="I417" s="66" t="s">
        <v>12</v>
      </c>
      <c r="J417" s="67">
        <v>2028.98</v>
      </c>
      <c r="K417" s="68">
        <v>0</v>
      </c>
      <c r="L417" s="67">
        <v>0</v>
      </c>
      <c r="M417" s="69">
        <v>0</v>
      </c>
      <c r="N417" s="70">
        <v>0</v>
      </c>
      <c r="O417" s="70">
        <v>5129925.5599999996</v>
      </c>
      <c r="P417" s="70">
        <v>14332706.34</v>
      </c>
      <c r="Q417" s="70">
        <v>0</v>
      </c>
      <c r="R417" s="71">
        <v>426191702.86000001</v>
      </c>
      <c r="S417" s="70">
        <v>-0.05</v>
      </c>
      <c r="T417" s="70">
        <v>426191702.81</v>
      </c>
      <c r="U417" s="72" t="s">
        <v>0</v>
      </c>
    </row>
    <row r="418" spans="1:21" ht="14.45" customHeight="1">
      <c r="A418" s="64">
        <v>45748</v>
      </c>
      <c r="B418" s="64">
        <v>45747</v>
      </c>
      <c r="C418" s="64">
        <v>45747</v>
      </c>
      <c r="D418" s="65" t="s">
        <v>67</v>
      </c>
      <c r="E418" s="65" t="s">
        <v>65</v>
      </c>
      <c r="F418" s="65" t="s">
        <v>68</v>
      </c>
      <c r="G418" s="65" t="s">
        <v>71</v>
      </c>
      <c r="H418" s="65" t="s">
        <v>14</v>
      </c>
      <c r="I418" s="66" t="s">
        <v>12</v>
      </c>
      <c r="J418" s="67">
        <v>26679.25</v>
      </c>
      <c r="K418" s="68">
        <v>1</v>
      </c>
      <c r="L418" s="67">
        <v>-26679.25</v>
      </c>
      <c r="M418" s="69">
        <v>0</v>
      </c>
      <c r="N418" s="70">
        <v>0</v>
      </c>
      <c r="O418" s="70">
        <v>5129925.5599999996</v>
      </c>
      <c r="P418" s="70">
        <v>14359385.59</v>
      </c>
      <c r="Q418" s="70">
        <v>0</v>
      </c>
      <c r="R418" s="71">
        <v>426165023.61000001</v>
      </c>
      <c r="S418" s="70">
        <v>-0.05</v>
      </c>
      <c r="T418" s="70">
        <v>426165023.56</v>
      </c>
      <c r="U418" s="72" t="s">
        <v>0</v>
      </c>
    </row>
    <row r="419" spans="1:21" ht="14.45" customHeight="1">
      <c r="A419" s="64">
        <v>45748</v>
      </c>
      <c r="B419" s="64">
        <v>45747</v>
      </c>
      <c r="C419" s="64">
        <v>45747</v>
      </c>
      <c r="D419" s="65" t="s">
        <v>148</v>
      </c>
      <c r="E419" s="65" t="s">
        <v>176</v>
      </c>
      <c r="F419" s="65" t="s">
        <v>216</v>
      </c>
      <c r="G419" s="65" t="s">
        <v>71</v>
      </c>
      <c r="H419" s="65" t="s">
        <v>14</v>
      </c>
      <c r="I419" s="66" t="s">
        <v>12</v>
      </c>
      <c r="J419" s="67">
        <v>4658.59</v>
      </c>
      <c r="K419" s="68">
        <v>1</v>
      </c>
      <c r="L419" s="67">
        <v>-4658.59</v>
      </c>
      <c r="M419" s="69">
        <v>0</v>
      </c>
      <c r="N419" s="70">
        <v>0</v>
      </c>
      <c r="O419" s="70">
        <v>5129925.5599999996</v>
      </c>
      <c r="P419" s="70">
        <v>14364044.18</v>
      </c>
      <c r="Q419" s="70">
        <v>0</v>
      </c>
      <c r="R419" s="71">
        <v>426160365.01999998</v>
      </c>
      <c r="S419" s="70">
        <v>-0.05</v>
      </c>
      <c r="T419" s="70">
        <v>426160364.97000003</v>
      </c>
      <c r="U419" s="72" t="s">
        <v>0</v>
      </c>
    </row>
    <row r="420" spans="1:21" ht="14.45" customHeight="1">
      <c r="A420" s="64">
        <v>45748</v>
      </c>
      <c r="B420" s="64">
        <v>45747</v>
      </c>
      <c r="C420" s="64">
        <v>45747</v>
      </c>
      <c r="D420" s="65" t="s">
        <v>148</v>
      </c>
      <c r="E420" s="65" t="s">
        <v>176</v>
      </c>
      <c r="F420" s="65" t="s">
        <v>216</v>
      </c>
      <c r="G420" s="65" t="s">
        <v>71</v>
      </c>
      <c r="H420" s="65" t="s">
        <v>14</v>
      </c>
      <c r="I420" s="66" t="s">
        <v>12</v>
      </c>
      <c r="J420" s="67">
        <v>8651.66</v>
      </c>
      <c r="K420" s="68">
        <v>1</v>
      </c>
      <c r="L420" s="67">
        <v>-8651.66</v>
      </c>
      <c r="M420" s="69">
        <v>0</v>
      </c>
      <c r="N420" s="70">
        <v>0</v>
      </c>
      <c r="O420" s="70">
        <v>5129925.5599999996</v>
      </c>
      <c r="P420" s="70">
        <v>14372695.84</v>
      </c>
      <c r="Q420" s="70">
        <v>0</v>
      </c>
      <c r="R420" s="71">
        <v>426151713.36000001</v>
      </c>
      <c r="S420" s="70">
        <v>-0.05</v>
      </c>
      <c r="T420" s="70">
        <v>426151713.31</v>
      </c>
      <c r="U420" s="72" t="s">
        <v>0</v>
      </c>
    </row>
    <row r="421" spans="1:21" ht="14.45" customHeight="1">
      <c r="A421" s="64">
        <v>45748</v>
      </c>
      <c r="B421" s="64">
        <v>45747</v>
      </c>
      <c r="C421" s="64">
        <v>45747</v>
      </c>
      <c r="D421" s="65" t="s">
        <v>148</v>
      </c>
      <c r="E421" s="65" t="s">
        <v>176</v>
      </c>
      <c r="F421" s="65" t="s">
        <v>216</v>
      </c>
      <c r="G421" s="65" t="s">
        <v>66</v>
      </c>
      <c r="H421" s="65" t="s">
        <v>13</v>
      </c>
      <c r="I421" s="66" t="s">
        <v>12</v>
      </c>
      <c r="J421" s="67">
        <v>17146.740000000002</v>
      </c>
      <c r="K421" s="68">
        <v>0</v>
      </c>
      <c r="L421" s="67">
        <v>0</v>
      </c>
      <c r="M421" s="69">
        <v>0</v>
      </c>
      <c r="N421" s="70">
        <v>0</v>
      </c>
      <c r="O421" s="70">
        <v>5147072.3</v>
      </c>
      <c r="P421" s="70">
        <v>14372695.84</v>
      </c>
      <c r="Q421" s="70">
        <v>0</v>
      </c>
      <c r="R421" s="71">
        <v>426151713.36000001</v>
      </c>
      <c r="S421" s="70">
        <v>-0.05</v>
      </c>
      <c r="T421" s="70">
        <v>426151713.31</v>
      </c>
      <c r="U421" s="72" t="s">
        <v>0</v>
      </c>
    </row>
    <row r="422" spans="1:21" ht="14.45" customHeight="1">
      <c r="A422" s="64">
        <v>45748</v>
      </c>
      <c r="B422" s="64">
        <v>45747</v>
      </c>
      <c r="C422" s="64">
        <v>45747</v>
      </c>
      <c r="D422" s="65" t="s">
        <v>148</v>
      </c>
      <c r="E422" s="65" t="s">
        <v>176</v>
      </c>
      <c r="F422" s="65" t="s">
        <v>216</v>
      </c>
      <c r="G422" s="65" t="s">
        <v>66</v>
      </c>
      <c r="H422" s="65" t="s">
        <v>13</v>
      </c>
      <c r="I422" s="66" t="s">
        <v>12</v>
      </c>
      <c r="J422" s="67">
        <v>86980.21</v>
      </c>
      <c r="K422" s="68">
        <v>0</v>
      </c>
      <c r="L422" s="67">
        <v>0</v>
      </c>
      <c r="M422" s="69">
        <v>0</v>
      </c>
      <c r="N422" s="70">
        <v>0</v>
      </c>
      <c r="O422" s="70">
        <v>5234052.51</v>
      </c>
      <c r="P422" s="70">
        <v>14372695.84</v>
      </c>
      <c r="Q422" s="70">
        <v>0</v>
      </c>
      <c r="R422" s="71">
        <v>426151713.36000001</v>
      </c>
      <c r="S422" s="70">
        <v>-0.05</v>
      </c>
      <c r="T422" s="70">
        <v>426151713.31</v>
      </c>
      <c r="U422" s="72" t="s">
        <v>0</v>
      </c>
    </row>
    <row r="423" spans="1:21" ht="14.45" customHeight="1">
      <c r="A423" s="64">
        <v>45748</v>
      </c>
      <c r="B423" s="64">
        <v>45747</v>
      </c>
      <c r="C423" s="64">
        <v>45747</v>
      </c>
      <c r="D423" s="65" t="s">
        <v>148</v>
      </c>
      <c r="E423" s="65" t="s">
        <v>115</v>
      </c>
      <c r="F423" s="65"/>
      <c r="G423" s="65" t="s">
        <v>71</v>
      </c>
      <c r="H423" s="65" t="s">
        <v>14</v>
      </c>
      <c r="I423" s="66" t="s">
        <v>12</v>
      </c>
      <c r="J423" s="67">
        <v>4263.25</v>
      </c>
      <c r="K423" s="68">
        <v>1</v>
      </c>
      <c r="L423" s="67">
        <v>-4263.25</v>
      </c>
      <c r="M423" s="69">
        <v>0</v>
      </c>
      <c r="N423" s="70">
        <v>0</v>
      </c>
      <c r="O423" s="70">
        <v>5234052.51</v>
      </c>
      <c r="P423" s="70">
        <v>14376959.09</v>
      </c>
      <c r="Q423" s="70">
        <v>0</v>
      </c>
      <c r="R423" s="71">
        <v>426147450.11000001</v>
      </c>
      <c r="S423" s="70">
        <v>-0.05</v>
      </c>
      <c r="T423" s="70">
        <v>426147450.06</v>
      </c>
      <c r="U423" s="72" t="s">
        <v>0</v>
      </c>
    </row>
    <row r="424" spans="1:21" ht="14.45" customHeight="1">
      <c r="A424" s="64">
        <v>45748</v>
      </c>
      <c r="B424" s="64">
        <v>45747</v>
      </c>
      <c r="C424" s="64">
        <v>45747</v>
      </c>
      <c r="D424" s="65" t="s">
        <v>148</v>
      </c>
      <c r="E424" s="65" t="s">
        <v>115</v>
      </c>
      <c r="F424" s="65"/>
      <c r="G424" s="65" t="s">
        <v>66</v>
      </c>
      <c r="H424" s="65" t="s">
        <v>13</v>
      </c>
      <c r="I424" s="66" t="s">
        <v>12</v>
      </c>
      <c r="J424" s="67">
        <v>15691.62</v>
      </c>
      <c r="K424" s="68">
        <v>0</v>
      </c>
      <c r="L424" s="67">
        <v>0</v>
      </c>
      <c r="M424" s="69">
        <v>0</v>
      </c>
      <c r="N424" s="70">
        <v>0</v>
      </c>
      <c r="O424" s="70">
        <v>5249744.13</v>
      </c>
      <c r="P424" s="70">
        <v>14376959.09</v>
      </c>
      <c r="Q424" s="70">
        <v>0</v>
      </c>
      <c r="R424" s="71">
        <v>426147450.11000001</v>
      </c>
      <c r="S424" s="70">
        <v>-0.05</v>
      </c>
      <c r="T424" s="70">
        <v>426147450.06</v>
      </c>
      <c r="U424" s="72" t="s">
        <v>0</v>
      </c>
    </row>
    <row r="425" spans="1:21" ht="14.45" customHeight="1">
      <c r="A425" s="64">
        <v>45748</v>
      </c>
      <c r="B425" s="64">
        <v>45747</v>
      </c>
      <c r="C425" s="64">
        <v>45747</v>
      </c>
      <c r="D425" s="65" t="s">
        <v>148</v>
      </c>
      <c r="E425" s="65" t="s">
        <v>86</v>
      </c>
      <c r="F425" s="65" t="s">
        <v>149</v>
      </c>
      <c r="G425" s="65" t="s">
        <v>71</v>
      </c>
      <c r="H425" s="65" t="s">
        <v>14</v>
      </c>
      <c r="I425" s="66" t="s">
        <v>12</v>
      </c>
      <c r="J425" s="67">
        <v>4557.0200000000004</v>
      </c>
      <c r="K425" s="68">
        <v>1</v>
      </c>
      <c r="L425" s="67">
        <v>-4557.0200000000004</v>
      </c>
      <c r="M425" s="69">
        <v>0</v>
      </c>
      <c r="N425" s="70">
        <v>0</v>
      </c>
      <c r="O425" s="70">
        <v>5249744.13</v>
      </c>
      <c r="P425" s="70">
        <v>14381516.109999999</v>
      </c>
      <c r="Q425" s="70">
        <v>0</v>
      </c>
      <c r="R425" s="71">
        <v>426142893.08999997</v>
      </c>
      <c r="S425" s="70">
        <v>-0.05</v>
      </c>
      <c r="T425" s="70">
        <v>426142893.04000002</v>
      </c>
      <c r="U425" s="72" t="s">
        <v>0</v>
      </c>
    </row>
    <row r="426" spans="1:21" ht="14.45" customHeight="1">
      <c r="A426" s="64">
        <v>45748</v>
      </c>
      <c r="B426" s="64">
        <v>45747</v>
      </c>
      <c r="C426" s="64">
        <v>45747</v>
      </c>
      <c r="D426" s="65" t="s">
        <v>148</v>
      </c>
      <c r="E426" s="65" t="s">
        <v>86</v>
      </c>
      <c r="F426" s="65" t="s">
        <v>149</v>
      </c>
      <c r="G426" s="65" t="s">
        <v>66</v>
      </c>
      <c r="H426" s="65" t="s">
        <v>13</v>
      </c>
      <c r="I426" s="66" t="s">
        <v>12</v>
      </c>
      <c r="J426" s="67">
        <v>56103.11</v>
      </c>
      <c r="K426" s="68">
        <v>0</v>
      </c>
      <c r="L426" s="67">
        <v>0</v>
      </c>
      <c r="M426" s="69">
        <v>0</v>
      </c>
      <c r="N426" s="70">
        <v>0</v>
      </c>
      <c r="O426" s="70">
        <v>5305847.24</v>
      </c>
      <c r="P426" s="70">
        <v>14381516.109999999</v>
      </c>
      <c r="Q426" s="70">
        <v>0</v>
      </c>
      <c r="R426" s="71">
        <v>426142893.08999997</v>
      </c>
      <c r="S426" s="70">
        <v>-0.05</v>
      </c>
      <c r="T426" s="70">
        <v>426142893.04000002</v>
      </c>
      <c r="U426" s="72" t="s">
        <v>0</v>
      </c>
    </row>
    <row r="427" spans="1:21" ht="14.45" customHeight="1">
      <c r="A427" s="64">
        <v>45748</v>
      </c>
      <c r="B427" s="64">
        <v>45748</v>
      </c>
      <c r="C427" s="64">
        <v>45748</v>
      </c>
      <c r="D427" s="65" t="s">
        <v>114</v>
      </c>
      <c r="E427" s="65" t="s">
        <v>115</v>
      </c>
      <c r="F427" s="65"/>
      <c r="G427" s="65" t="s">
        <v>66</v>
      </c>
      <c r="H427" s="65" t="s">
        <v>13</v>
      </c>
      <c r="I427" s="66" t="s">
        <v>12</v>
      </c>
      <c r="J427" s="67">
        <v>3736.96</v>
      </c>
      <c r="K427" s="68">
        <v>0</v>
      </c>
      <c r="L427" s="67">
        <v>0</v>
      </c>
      <c r="M427" s="69">
        <v>0</v>
      </c>
      <c r="N427" s="70">
        <v>0</v>
      </c>
      <c r="O427" s="70">
        <v>5309584.2</v>
      </c>
      <c r="P427" s="70">
        <v>14381516.109999999</v>
      </c>
      <c r="Q427" s="70">
        <v>0</v>
      </c>
      <c r="R427" s="71">
        <v>426142893.08999997</v>
      </c>
      <c r="S427" s="70">
        <v>-0.05</v>
      </c>
      <c r="T427" s="70">
        <v>426142893.04000002</v>
      </c>
      <c r="U427" s="72" t="s">
        <v>0</v>
      </c>
    </row>
    <row r="428" spans="1:21" ht="14.45" customHeight="1">
      <c r="A428" s="64">
        <v>45748</v>
      </c>
      <c r="B428" s="64">
        <v>45748</v>
      </c>
      <c r="C428" s="64">
        <v>45748</v>
      </c>
      <c r="D428" s="65" t="s">
        <v>114</v>
      </c>
      <c r="E428" s="65" t="s">
        <v>251</v>
      </c>
      <c r="F428" s="65"/>
      <c r="G428" s="65" t="s">
        <v>66</v>
      </c>
      <c r="H428" s="65" t="s">
        <v>13</v>
      </c>
      <c r="I428" s="66" t="s">
        <v>12</v>
      </c>
      <c r="J428" s="67">
        <v>27728.32</v>
      </c>
      <c r="K428" s="68">
        <v>0</v>
      </c>
      <c r="L428" s="67">
        <v>0</v>
      </c>
      <c r="M428" s="69">
        <v>0</v>
      </c>
      <c r="N428" s="70">
        <v>0</v>
      </c>
      <c r="O428" s="70">
        <v>5337312.5199999996</v>
      </c>
      <c r="P428" s="70">
        <v>14381516.109999999</v>
      </c>
      <c r="Q428" s="70">
        <v>0</v>
      </c>
      <c r="R428" s="71">
        <v>426142893.08999997</v>
      </c>
      <c r="S428" s="70">
        <v>-0.05</v>
      </c>
      <c r="T428" s="70">
        <v>426142893.04000002</v>
      </c>
      <c r="U428" s="72" t="s">
        <v>0</v>
      </c>
    </row>
    <row r="429" spans="1:21" ht="14.45" customHeight="1">
      <c r="A429" s="64">
        <v>45748</v>
      </c>
      <c r="B429" s="64">
        <v>45679</v>
      </c>
      <c r="C429" s="64">
        <v>45679</v>
      </c>
      <c r="D429" s="65" t="s">
        <v>341</v>
      </c>
      <c r="E429" s="65" t="s">
        <v>0</v>
      </c>
      <c r="F429" s="65"/>
      <c r="G429" s="65" t="s">
        <v>48</v>
      </c>
      <c r="H429" s="65" t="s">
        <v>14</v>
      </c>
      <c r="I429" s="66" t="s">
        <v>12</v>
      </c>
      <c r="J429" s="67">
        <v>438768.24</v>
      </c>
      <c r="K429" s="68">
        <v>0</v>
      </c>
      <c r="L429" s="67">
        <v>0</v>
      </c>
      <c r="M429" s="69">
        <v>0</v>
      </c>
      <c r="N429" s="70">
        <v>0</v>
      </c>
      <c r="O429" s="70">
        <v>5337312.5199999996</v>
      </c>
      <c r="P429" s="70">
        <v>14820284.35</v>
      </c>
      <c r="Q429" s="70">
        <v>0</v>
      </c>
      <c r="R429" s="71">
        <v>426142893.08999997</v>
      </c>
      <c r="S429" s="70">
        <v>-0.05</v>
      </c>
      <c r="T429" s="70">
        <v>426142893.04000002</v>
      </c>
      <c r="U429" s="72" t="s">
        <v>0</v>
      </c>
    </row>
    <row r="430" spans="1:21" ht="14.45" customHeight="1">
      <c r="A430" s="64">
        <v>45748</v>
      </c>
      <c r="B430" s="64">
        <v>45679</v>
      </c>
      <c r="C430" s="64">
        <v>45679</v>
      </c>
      <c r="D430" s="65" t="s">
        <v>95</v>
      </c>
      <c r="E430" s="65" t="s">
        <v>65</v>
      </c>
      <c r="F430" s="65" t="s">
        <v>96</v>
      </c>
      <c r="G430" s="65" t="s">
        <v>76</v>
      </c>
      <c r="H430" s="65" t="s">
        <v>14</v>
      </c>
      <c r="I430" s="66" t="s">
        <v>12</v>
      </c>
      <c r="J430" s="67">
        <v>-438768.24</v>
      </c>
      <c r="K430" s="68">
        <v>0.99750000000000005</v>
      </c>
      <c r="L430" s="67">
        <v>439867.91</v>
      </c>
      <c r="M430" s="69">
        <v>0</v>
      </c>
      <c r="N430" s="70">
        <v>0</v>
      </c>
      <c r="O430" s="70">
        <v>5337312.5199999996</v>
      </c>
      <c r="P430" s="70">
        <v>14381516.109999999</v>
      </c>
      <c r="Q430" s="70">
        <v>0</v>
      </c>
      <c r="R430" s="71">
        <v>426582761</v>
      </c>
      <c r="S430" s="70">
        <v>-0.05</v>
      </c>
      <c r="T430" s="70">
        <v>426582760.94999999</v>
      </c>
      <c r="U430" s="72" t="s">
        <v>0</v>
      </c>
    </row>
    <row r="431" spans="1:21" ht="14.45" customHeight="1">
      <c r="A431" s="64">
        <v>45748</v>
      </c>
      <c r="B431" s="64">
        <v>45688</v>
      </c>
      <c r="C431" s="64">
        <v>45687</v>
      </c>
      <c r="D431" s="65" t="s">
        <v>335</v>
      </c>
      <c r="E431" s="65" t="s">
        <v>336</v>
      </c>
      <c r="F431" s="65" t="s">
        <v>337</v>
      </c>
      <c r="G431" s="65" t="s">
        <v>76</v>
      </c>
      <c r="H431" s="65" t="s">
        <v>14</v>
      </c>
      <c r="I431" s="66" t="s">
        <v>12</v>
      </c>
      <c r="J431" s="67">
        <v>-115026.68</v>
      </c>
      <c r="K431" s="68">
        <v>0.91</v>
      </c>
      <c r="L431" s="67">
        <v>126402.94</v>
      </c>
      <c r="M431" s="69">
        <v>0</v>
      </c>
      <c r="N431" s="70">
        <v>0</v>
      </c>
      <c r="O431" s="70">
        <v>5337312.5199999996</v>
      </c>
      <c r="P431" s="70">
        <v>14266489.43</v>
      </c>
      <c r="Q431" s="70">
        <v>0</v>
      </c>
      <c r="R431" s="71">
        <v>426709163.94</v>
      </c>
      <c r="S431" s="70">
        <v>-0.05</v>
      </c>
      <c r="T431" s="70">
        <v>426709163.88999999</v>
      </c>
      <c r="U431" s="72" t="s">
        <v>0</v>
      </c>
    </row>
    <row r="432" spans="1:21" ht="14.45" customHeight="1">
      <c r="A432" s="64">
        <v>45748</v>
      </c>
      <c r="B432" s="64">
        <v>45688</v>
      </c>
      <c r="C432" s="64">
        <v>45688</v>
      </c>
      <c r="D432" s="65" t="s">
        <v>342</v>
      </c>
      <c r="E432" s="65" t="s">
        <v>0</v>
      </c>
      <c r="F432" s="65"/>
      <c r="G432" s="65" t="s">
        <v>48</v>
      </c>
      <c r="H432" s="65" t="s">
        <v>14</v>
      </c>
      <c r="I432" s="66" t="s">
        <v>12</v>
      </c>
      <c r="J432" s="67">
        <v>115026.68</v>
      </c>
      <c r="K432" s="68">
        <v>0</v>
      </c>
      <c r="L432" s="67">
        <v>0</v>
      </c>
      <c r="M432" s="69">
        <v>0</v>
      </c>
      <c r="N432" s="70">
        <v>0</v>
      </c>
      <c r="O432" s="70">
        <v>5337312.5199999996</v>
      </c>
      <c r="P432" s="70">
        <v>14381516.109999999</v>
      </c>
      <c r="Q432" s="70">
        <v>0</v>
      </c>
      <c r="R432" s="71">
        <v>426709163.94</v>
      </c>
      <c r="S432" s="70">
        <v>-0.05</v>
      </c>
      <c r="T432" s="70">
        <v>426709163.88999999</v>
      </c>
      <c r="U432" s="72" t="s">
        <v>0</v>
      </c>
    </row>
    <row r="433" spans="1:21" ht="14.45" customHeight="1">
      <c r="A433" s="64">
        <v>45748</v>
      </c>
      <c r="B433" s="64">
        <v>45747</v>
      </c>
      <c r="C433" s="64">
        <v>45747</v>
      </c>
      <c r="D433" s="65" t="s">
        <v>95</v>
      </c>
      <c r="E433" s="65" t="s">
        <v>65</v>
      </c>
      <c r="F433" s="65" t="s">
        <v>96</v>
      </c>
      <c r="G433" s="65" t="s">
        <v>71</v>
      </c>
      <c r="H433" s="65" t="s">
        <v>14</v>
      </c>
      <c r="I433" s="66" t="s">
        <v>12</v>
      </c>
      <c r="J433" s="67">
        <v>4324.76</v>
      </c>
      <c r="K433" s="68">
        <v>1</v>
      </c>
      <c r="L433" s="67">
        <v>-4324.76</v>
      </c>
      <c r="M433" s="69">
        <v>0</v>
      </c>
      <c r="N433" s="70">
        <v>0</v>
      </c>
      <c r="O433" s="70">
        <v>5337312.5199999996</v>
      </c>
      <c r="P433" s="70">
        <v>14385840.869999999</v>
      </c>
      <c r="Q433" s="70">
        <v>0</v>
      </c>
      <c r="R433" s="71">
        <v>426704839.18000001</v>
      </c>
      <c r="S433" s="70">
        <v>-0.05</v>
      </c>
      <c r="T433" s="70">
        <v>426704839.13</v>
      </c>
      <c r="U433" s="72" t="s">
        <v>0</v>
      </c>
    </row>
    <row r="434" spans="1:21" ht="14.45" customHeight="1">
      <c r="A434" s="64">
        <v>45748</v>
      </c>
      <c r="B434" s="64">
        <v>45747</v>
      </c>
      <c r="C434" s="64">
        <v>45747</v>
      </c>
      <c r="D434" s="65" t="s">
        <v>95</v>
      </c>
      <c r="E434" s="65" t="s">
        <v>65</v>
      </c>
      <c r="F434" s="65" t="s">
        <v>96</v>
      </c>
      <c r="G434" s="65" t="s">
        <v>66</v>
      </c>
      <c r="H434" s="65" t="s">
        <v>13</v>
      </c>
      <c r="I434" s="66" t="s">
        <v>12</v>
      </c>
      <c r="J434" s="67">
        <v>34482.32</v>
      </c>
      <c r="K434" s="68">
        <v>0</v>
      </c>
      <c r="L434" s="67">
        <v>0</v>
      </c>
      <c r="M434" s="69">
        <v>0</v>
      </c>
      <c r="N434" s="70">
        <v>0</v>
      </c>
      <c r="O434" s="70">
        <v>5371794.8399999999</v>
      </c>
      <c r="P434" s="70">
        <v>14385840.869999999</v>
      </c>
      <c r="Q434" s="70">
        <v>0</v>
      </c>
      <c r="R434" s="71">
        <v>426704839.18000001</v>
      </c>
      <c r="S434" s="70">
        <v>-0.05</v>
      </c>
      <c r="T434" s="70">
        <v>426704839.13</v>
      </c>
      <c r="U434" s="72" t="s">
        <v>0</v>
      </c>
    </row>
    <row r="435" spans="1:21" ht="14.45" customHeight="1">
      <c r="A435" s="64">
        <v>45748</v>
      </c>
      <c r="B435" s="64">
        <v>45747</v>
      </c>
      <c r="C435" s="64">
        <v>45747</v>
      </c>
      <c r="D435" s="65" t="s">
        <v>99</v>
      </c>
      <c r="E435" s="65" t="s">
        <v>343</v>
      </c>
      <c r="F435" s="65" t="s">
        <v>344</v>
      </c>
      <c r="G435" s="65" t="s">
        <v>71</v>
      </c>
      <c r="H435" s="65" t="s">
        <v>14</v>
      </c>
      <c r="I435" s="66" t="s">
        <v>12</v>
      </c>
      <c r="J435" s="67">
        <v>2798.84</v>
      </c>
      <c r="K435" s="68">
        <v>1</v>
      </c>
      <c r="L435" s="67">
        <v>-2798.84</v>
      </c>
      <c r="M435" s="69">
        <v>0</v>
      </c>
      <c r="N435" s="70">
        <v>0</v>
      </c>
      <c r="O435" s="70">
        <v>5371794.8399999999</v>
      </c>
      <c r="P435" s="70">
        <v>14388639.710000001</v>
      </c>
      <c r="Q435" s="70">
        <v>0</v>
      </c>
      <c r="R435" s="71">
        <v>426702040.33999997</v>
      </c>
      <c r="S435" s="70">
        <v>-0.05</v>
      </c>
      <c r="T435" s="70">
        <v>426702040.29000002</v>
      </c>
      <c r="U435" s="72" t="s">
        <v>0</v>
      </c>
    </row>
    <row r="436" spans="1:21" ht="14.45" customHeight="1">
      <c r="A436" s="64">
        <v>45748</v>
      </c>
      <c r="B436" s="64">
        <v>45747</v>
      </c>
      <c r="C436" s="64">
        <v>45747</v>
      </c>
      <c r="D436" s="65" t="s">
        <v>99</v>
      </c>
      <c r="E436" s="65" t="s">
        <v>343</v>
      </c>
      <c r="F436" s="65" t="s">
        <v>344</v>
      </c>
      <c r="G436" s="65" t="s">
        <v>66</v>
      </c>
      <c r="H436" s="65" t="s">
        <v>13</v>
      </c>
      <c r="I436" s="66" t="s">
        <v>12</v>
      </c>
      <c r="J436" s="67">
        <v>53936.62</v>
      </c>
      <c r="K436" s="68">
        <v>0</v>
      </c>
      <c r="L436" s="67">
        <v>0</v>
      </c>
      <c r="M436" s="69">
        <v>0</v>
      </c>
      <c r="N436" s="70">
        <v>0</v>
      </c>
      <c r="O436" s="70">
        <v>5425731.46</v>
      </c>
      <c r="P436" s="70">
        <v>14388639.710000001</v>
      </c>
      <c r="Q436" s="70">
        <v>0</v>
      </c>
      <c r="R436" s="71">
        <v>426702040.33999997</v>
      </c>
      <c r="S436" s="70">
        <v>-0.05</v>
      </c>
      <c r="T436" s="70">
        <v>426702040.29000002</v>
      </c>
      <c r="U436" s="72" t="s">
        <v>0</v>
      </c>
    </row>
    <row r="437" spans="1:21" ht="14.45" customHeight="1">
      <c r="A437" s="64">
        <v>45748</v>
      </c>
      <c r="B437" s="64">
        <v>45747</v>
      </c>
      <c r="C437" s="64">
        <v>45747</v>
      </c>
      <c r="D437" s="65" t="s">
        <v>175</v>
      </c>
      <c r="E437" s="65" t="s">
        <v>176</v>
      </c>
      <c r="F437" s="65" t="s">
        <v>177</v>
      </c>
      <c r="G437" s="65" t="s">
        <v>71</v>
      </c>
      <c r="H437" s="65" t="s">
        <v>14</v>
      </c>
      <c r="I437" s="66" t="s">
        <v>12</v>
      </c>
      <c r="J437" s="67">
        <v>20123.64</v>
      </c>
      <c r="K437" s="68">
        <v>1</v>
      </c>
      <c r="L437" s="67">
        <v>-20123.64</v>
      </c>
      <c r="M437" s="69">
        <v>0</v>
      </c>
      <c r="N437" s="70">
        <v>0</v>
      </c>
      <c r="O437" s="70">
        <v>5425731.46</v>
      </c>
      <c r="P437" s="70">
        <v>14408763.35</v>
      </c>
      <c r="Q437" s="70">
        <v>0</v>
      </c>
      <c r="R437" s="71">
        <v>426681916.69999999</v>
      </c>
      <c r="S437" s="70">
        <v>-0.05</v>
      </c>
      <c r="T437" s="70">
        <v>426681916.64999998</v>
      </c>
      <c r="U437" s="72" t="s">
        <v>0</v>
      </c>
    </row>
    <row r="438" spans="1:21" ht="14.45" customHeight="1">
      <c r="A438" s="64">
        <v>45748</v>
      </c>
      <c r="B438" s="64">
        <v>45747</v>
      </c>
      <c r="C438" s="64">
        <v>45747</v>
      </c>
      <c r="D438" s="65" t="s">
        <v>175</v>
      </c>
      <c r="E438" s="65" t="s">
        <v>176</v>
      </c>
      <c r="F438" s="65" t="s">
        <v>177</v>
      </c>
      <c r="G438" s="65" t="s">
        <v>66</v>
      </c>
      <c r="H438" s="65" t="s">
        <v>13</v>
      </c>
      <c r="I438" s="66" t="s">
        <v>12</v>
      </c>
      <c r="J438" s="67">
        <v>64533.17</v>
      </c>
      <c r="K438" s="68">
        <v>0</v>
      </c>
      <c r="L438" s="67">
        <v>0</v>
      </c>
      <c r="M438" s="69">
        <v>0</v>
      </c>
      <c r="N438" s="70">
        <v>0</v>
      </c>
      <c r="O438" s="70">
        <v>5490264.6299999999</v>
      </c>
      <c r="P438" s="70">
        <v>14408763.35</v>
      </c>
      <c r="Q438" s="70">
        <v>0</v>
      </c>
      <c r="R438" s="71">
        <v>426681916.69999999</v>
      </c>
      <c r="S438" s="70">
        <v>-0.05</v>
      </c>
      <c r="T438" s="70">
        <v>426681916.64999998</v>
      </c>
      <c r="U438" s="72" t="s">
        <v>0</v>
      </c>
    </row>
    <row r="439" spans="1:21" ht="14.45" customHeight="1">
      <c r="A439" s="64">
        <v>45748</v>
      </c>
      <c r="B439" s="64">
        <v>45747</v>
      </c>
      <c r="C439" s="64">
        <v>45747</v>
      </c>
      <c r="D439" s="65" t="s">
        <v>175</v>
      </c>
      <c r="E439" s="65" t="s">
        <v>115</v>
      </c>
      <c r="F439" s="65"/>
      <c r="G439" s="65" t="s">
        <v>282</v>
      </c>
      <c r="H439" s="65" t="s">
        <v>13</v>
      </c>
      <c r="I439" s="66" t="s">
        <v>12</v>
      </c>
      <c r="J439" s="67">
        <v>-368.08</v>
      </c>
      <c r="K439" s="68">
        <v>0</v>
      </c>
      <c r="L439" s="67">
        <v>0</v>
      </c>
      <c r="M439" s="69">
        <v>0</v>
      </c>
      <c r="N439" s="70">
        <v>0</v>
      </c>
      <c r="O439" s="70">
        <v>5489896.5499999998</v>
      </c>
      <c r="P439" s="70">
        <v>14408763.35</v>
      </c>
      <c r="Q439" s="70">
        <v>0</v>
      </c>
      <c r="R439" s="71">
        <v>426681916.69999999</v>
      </c>
      <c r="S439" s="70">
        <v>-0.05</v>
      </c>
      <c r="T439" s="70">
        <v>426681916.64999998</v>
      </c>
      <c r="U439" s="72" t="s">
        <v>0</v>
      </c>
    </row>
    <row r="440" spans="1:21" ht="14.45" customHeight="1">
      <c r="A440" s="64">
        <v>45748</v>
      </c>
      <c r="B440" s="64">
        <v>45747</v>
      </c>
      <c r="C440" s="64">
        <v>45747</v>
      </c>
      <c r="D440" s="65" t="s">
        <v>175</v>
      </c>
      <c r="E440" s="65" t="s">
        <v>115</v>
      </c>
      <c r="F440" s="65"/>
      <c r="G440" s="65" t="s">
        <v>71</v>
      </c>
      <c r="H440" s="65" t="s">
        <v>14</v>
      </c>
      <c r="I440" s="66" t="s">
        <v>12</v>
      </c>
      <c r="J440" s="67">
        <v>1776.45</v>
      </c>
      <c r="K440" s="68">
        <v>1</v>
      </c>
      <c r="L440" s="67">
        <v>-1776.45</v>
      </c>
      <c r="M440" s="69">
        <v>0</v>
      </c>
      <c r="N440" s="70">
        <v>0</v>
      </c>
      <c r="O440" s="70">
        <v>5489896.5499999998</v>
      </c>
      <c r="P440" s="70">
        <v>14410539.800000001</v>
      </c>
      <c r="Q440" s="70">
        <v>0</v>
      </c>
      <c r="R440" s="71">
        <v>426680140.25</v>
      </c>
      <c r="S440" s="70">
        <v>-0.05</v>
      </c>
      <c r="T440" s="70">
        <v>426680140.19999999</v>
      </c>
      <c r="U440" s="72" t="s">
        <v>0</v>
      </c>
    </row>
    <row r="441" spans="1:21" ht="14.45" customHeight="1">
      <c r="A441" s="64">
        <v>45748</v>
      </c>
      <c r="B441" s="64">
        <v>45747</v>
      </c>
      <c r="C441" s="64">
        <v>45747</v>
      </c>
      <c r="D441" s="65" t="s">
        <v>175</v>
      </c>
      <c r="E441" s="65" t="s">
        <v>115</v>
      </c>
      <c r="F441" s="65"/>
      <c r="G441" s="65" t="s">
        <v>66</v>
      </c>
      <c r="H441" s="65" t="s">
        <v>13</v>
      </c>
      <c r="I441" s="66" t="s">
        <v>12</v>
      </c>
      <c r="J441" s="67">
        <v>6073.22</v>
      </c>
      <c r="K441" s="68">
        <v>0</v>
      </c>
      <c r="L441" s="67">
        <v>0</v>
      </c>
      <c r="M441" s="69">
        <v>0</v>
      </c>
      <c r="N441" s="70">
        <v>0</v>
      </c>
      <c r="O441" s="70">
        <v>5495969.7699999996</v>
      </c>
      <c r="P441" s="70">
        <v>14410539.800000001</v>
      </c>
      <c r="Q441" s="70">
        <v>0</v>
      </c>
      <c r="R441" s="71">
        <v>426680140.25</v>
      </c>
      <c r="S441" s="70">
        <v>-0.05</v>
      </c>
      <c r="T441" s="70">
        <v>426680140.19999999</v>
      </c>
      <c r="U441" s="72" t="s">
        <v>0</v>
      </c>
    </row>
    <row r="442" spans="1:21" ht="14.45" customHeight="1">
      <c r="A442" s="64">
        <v>45748</v>
      </c>
      <c r="B442" s="64">
        <v>45748</v>
      </c>
      <c r="C442" s="64">
        <v>45748</v>
      </c>
      <c r="D442" s="65" t="s">
        <v>244</v>
      </c>
      <c r="E442" s="65" t="s">
        <v>299</v>
      </c>
      <c r="F442" s="65"/>
      <c r="G442" s="65" t="s">
        <v>66</v>
      </c>
      <c r="H442" s="65" t="s">
        <v>13</v>
      </c>
      <c r="I442" s="66" t="s">
        <v>12</v>
      </c>
      <c r="J442" s="67">
        <v>130358.89</v>
      </c>
      <c r="K442" s="68">
        <v>0</v>
      </c>
      <c r="L442" s="67">
        <v>0</v>
      </c>
      <c r="M442" s="69">
        <v>0</v>
      </c>
      <c r="N442" s="70">
        <v>0</v>
      </c>
      <c r="O442" s="70">
        <v>5626328.6600000001</v>
      </c>
      <c r="P442" s="70">
        <v>14410539.800000001</v>
      </c>
      <c r="Q442" s="70">
        <v>0</v>
      </c>
      <c r="R442" s="71">
        <v>426680140.25</v>
      </c>
      <c r="S442" s="70">
        <v>-0.05</v>
      </c>
      <c r="T442" s="70">
        <v>426680140.19999999</v>
      </c>
      <c r="U442" s="72" t="s">
        <v>0</v>
      </c>
    </row>
    <row r="443" spans="1:21" ht="14.45" customHeight="1">
      <c r="A443" s="64">
        <v>45748</v>
      </c>
      <c r="B443" s="64">
        <v>45747</v>
      </c>
      <c r="C443" s="64">
        <v>45747</v>
      </c>
      <c r="D443" s="65" t="s">
        <v>124</v>
      </c>
      <c r="E443" s="65" t="s">
        <v>65</v>
      </c>
      <c r="F443" s="65" t="s">
        <v>125</v>
      </c>
      <c r="G443" s="65" t="s">
        <v>71</v>
      </c>
      <c r="H443" s="65" t="s">
        <v>14</v>
      </c>
      <c r="I443" s="66" t="s">
        <v>12</v>
      </c>
      <c r="J443" s="67">
        <v>10739.16</v>
      </c>
      <c r="K443" s="68">
        <v>1</v>
      </c>
      <c r="L443" s="67">
        <v>-10739.16</v>
      </c>
      <c r="M443" s="69">
        <v>0</v>
      </c>
      <c r="N443" s="70">
        <v>0</v>
      </c>
      <c r="O443" s="70">
        <v>5626328.6600000001</v>
      </c>
      <c r="P443" s="70">
        <v>14421278.960000001</v>
      </c>
      <c r="Q443" s="70">
        <v>0</v>
      </c>
      <c r="R443" s="71">
        <v>426669401.08999997</v>
      </c>
      <c r="S443" s="70">
        <v>-0.05</v>
      </c>
      <c r="T443" s="70">
        <v>426669401.04000002</v>
      </c>
      <c r="U443" s="72" t="s">
        <v>0</v>
      </c>
    </row>
    <row r="444" spans="1:21" ht="14.45" customHeight="1">
      <c r="A444" s="64">
        <v>45748</v>
      </c>
      <c r="B444" s="64">
        <v>45747</v>
      </c>
      <c r="C444" s="64">
        <v>45747</v>
      </c>
      <c r="D444" s="65" t="s">
        <v>124</v>
      </c>
      <c r="E444" s="65" t="s">
        <v>65</v>
      </c>
      <c r="F444" s="65" t="s">
        <v>125</v>
      </c>
      <c r="G444" s="65" t="s">
        <v>66</v>
      </c>
      <c r="H444" s="65" t="s">
        <v>13</v>
      </c>
      <c r="I444" s="66" t="s">
        <v>12</v>
      </c>
      <c r="J444" s="67">
        <v>102096.54</v>
      </c>
      <c r="K444" s="68">
        <v>0</v>
      </c>
      <c r="L444" s="67">
        <v>0</v>
      </c>
      <c r="M444" s="69">
        <v>0</v>
      </c>
      <c r="N444" s="70">
        <v>0</v>
      </c>
      <c r="O444" s="70">
        <v>5728425.2000000002</v>
      </c>
      <c r="P444" s="70">
        <v>14421278.960000001</v>
      </c>
      <c r="Q444" s="70">
        <v>0</v>
      </c>
      <c r="R444" s="71">
        <v>426669401.08999997</v>
      </c>
      <c r="S444" s="70">
        <v>-0.05</v>
      </c>
      <c r="T444" s="70">
        <v>426669401.04000002</v>
      </c>
      <c r="U444" s="72" t="s">
        <v>0</v>
      </c>
    </row>
    <row r="445" spans="1:21" ht="14.45" customHeight="1">
      <c r="A445" s="64">
        <v>45749</v>
      </c>
      <c r="B445" s="64">
        <v>45657</v>
      </c>
      <c r="C445" s="64">
        <v>45657</v>
      </c>
      <c r="D445" s="65" t="s">
        <v>201</v>
      </c>
      <c r="E445" s="65" t="s">
        <v>345</v>
      </c>
      <c r="F445" s="65"/>
      <c r="G445" s="65" t="s">
        <v>346</v>
      </c>
      <c r="H445" s="65"/>
      <c r="I445" s="66" t="s">
        <v>12</v>
      </c>
      <c r="J445" s="67">
        <v>0</v>
      </c>
      <c r="K445" s="68">
        <v>0</v>
      </c>
      <c r="L445" s="67">
        <v>4755.72</v>
      </c>
      <c r="M445" s="69">
        <v>0</v>
      </c>
      <c r="N445" s="70">
        <v>0</v>
      </c>
      <c r="O445" s="70">
        <v>5728425.2000000002</v>
      </c>
      <c r="P445" s="70">
        <v>14421278.960000001</v>
      </c>
      <c r="Q445" s="70">
        <v>0</v>
      </c>
      <c r="R445" s="71">
        <v>426674156.81</v>
      </c>
      <c r="S445" s="70">
        <v>-0.05</v>
      </c>
      <c r="T445" s="70">
        <v>426674156.75999999</v>
      </c>
      <c r="U445" s="72" t="s">
        <v>0</v>
      </c>
    </row>
    <row r="446" spans="1:21" ht="14.45" customHeight="1">
      <c r="A446" s="64">
        <v>45749</v>
      </c>
      <c r="B446" s="64">
        <v>45747</v>
      </c>
      <c r="C446" s="64">
        <v>45747</v>
      </c>
      <c r="D446" s="65" t="s">
        <v>201</v>
      </c>
      <c r="E446" s="65" t="s">
        <v>345</v>
      </c>
      <c r="F446" s="65"/>
      <c r="G446" s="65" t="s">
        <v>57</v>
      </c>
      <c r="H446" s="65"/>
      <c r="I446" s="66" t="s">
        <v>12</v>
      </c>
      <c r="J446" s="67">
        <v>0</v>
      </c>
      <c r="K446" s="68">
        <v>0</v>
      </c>
      <c r="L446" s="67">
        <v>2.97</v>
      </c>
      <c r="M446" s="69">
        <v>0</v>
      </c>
      <c r="N446" s="70">
        <v>0</v>
      </c>
      <c r="O446" s="70">
        <v>5728425.2000000002</v>
      </c>
      <c r="P446" s="70">
        <v>14421278.960000001</v>
      </c>
      <c r="Q446" s="70">
        <v>0</v>
      </c>
      <c r="R446" s="71">
        <v>426674159.77999997</v>
      </c>
      <c r="S446" s="70">
        <v>-0.05</v>
      </c>
      <c r="T446" s="70">
        <v>426674159.73000002</v>
      </c>
      <c r="U446" s="72" t="s">
        <v>0</v>
      </c>
    </row>
    <row r="447" spans="1:21" ht="14.45" customHeight="1">
      <c r="A447" s="64">
        <v>45749</v>
      </c>
      <c r="B447" s="64">
        <v>45747</v>
      </c>
      <c r="C447" s="64">
        <v>45747</v>
      </c>
      <c r="D447" s="65" t="s">
        <v>201</v>
      </c>
      <c r="E447" s="65" t="s">
        <v>345</v>
      </c>
      <c r="F447" s="65"/>
      <c r="G447" s="65" t="s">
        <v>347</v>
      </c>
      <c r="H447" s="65"/>
      <c r="I447" s="66" t="s">
        <v>12</v>
      </c>
      <c r="J447" s="67">
        <v>0</v>
      </c>
      <c r="K447" s="68">
        <v>0</v>
      </c>
      <c r="L447" s="67">
        <v>4293.5200000000004</v>
      </c>
      <c r="M447" s="69">
        <v>0</v>
      </c>
      <c r="N447" s="70">
        <v>0</v>
      </c>
      <c r="O447" s="70">
        <v>5728425.2000000002</v>
      </c>
      <c r="P447" s="70">
        <v>14421278.960000001</v>
      </c>
      <c r="Q447" s="70">
        <v>0</v>
      </c>
      <c r="R447" s="71">
        <v>426678453.30000001</v>
      </c>
      <c r="S447" s="70">
        <v>-0.05</v>
      </c>
      <c r="T447" s="70">
        <v>426678453.25</v>
      </c>
      <c r="U447" s="72" t="s">
        <v>0</v>
      </c>
    </row>
    <row r="448" spans="1:21" ht="14.45" customHeight="1">
      <c r="A448" s="64">
        <v>45749</v>
      </c>
      <c r="B448" s="64">
        <v>45747</v>
      </c>
      <c r="C448" s="64">
        <v>45747</v>
      </c>
      <c r="D448" s="65" t="s">
        <v>308</v>
      </c>
      <c r="E448" s="65" t="s">
        <v>86</v>
      </c>
      <c r="F448" s="65"/>
      <c r="G448" s="65" t="s">
        <v>66</v>
      </c>
      <c r="H448" s="65" t="s">
        <v>13</v>
      </c>
      <c r="I448" s="66" t="s">
        <v>12</v>
      </c>
      <c r="J448" s="67">
        <v>33778.550000000003</v>
      </c>
      <c r="K448" s="68">
        <v>0</v>
      </c>
      <c r="L448" s="67">
        <v>0</v>
      </c>
      <c r="M448" s="69">
        <v>0</v>
      </c>
      <c r="N448" s="70">
        <v>0</v>
      </c>
      <c r="O448" s="70">
        <v>5762203.75</v>
      </c>
      <c r="P448" s="70">
        <v>14421278.960000001</v>
      </c>
      <c r="Q448" s="70">
        <v>0</v>
      </c>
      <c r="R448" s="71">
        <v>426678453.30000001</v>
      </c>
      <c r="S448" s="70">
        <v>-0.05</v>
      </c>
      <c r="T448" s="70">
        <v>426678453.25</v>
      </c>
      <c r="U448" s="72" t="s">
        <v>0</v>
      </c>
    </row>
    <row r="449" spans="1:21" ht="14.45" customHeight="1">
      <c r="A449" s="64">
        <v>45749</v>
      </c>
      <c r="B449" s="64">
        <v>45747</v>
      </c>
      <c r="C449" s="64">
        <v>45747</v>
      </c>
      <c r="D449" s="65" t="s">
        <v>308</v>
      </c>
      <c r="E449" s="65" t="s">
        <v>86</v>
      </c>
      <c r="F449" s="65"/>
      <c r="G449" s="65" t="s">
        <v>71</v>
      </c>
      <c r="H449" s="65" t="s">
        <v>14</v>
      </c>
      <c r="I449" s="66" t="s">
        <v>12</v>
      </c>
      <c r="J449" s="67">
        <v>12500</v>
      </c>
      <c r="K449" s="68">
        <v>1</v>
      </c>
      <c r="L449" s="67">
        <v>-12500</v>
      </c>
      <c r="M449" s="69">
        <v>0</v>
      </c>
      <c r="N449" s="70">
        <v>0</v>
      </c>
      <c r="O449" s="70">
        <v>5762203.75</v>
      </c>
      <c r="P449" s="70">
        <v>14433778.960000001</v>
      </c>
      <c r="Q449" s="70">
        <v>0</v>
      </c>
      <c r="R449" s="71">
        <v>426665953.30000001</v>
      </c>
      <c r="S449" s="70">
        <v>-0.05</v>
      </c>
      <c r="T449" s="70">
        <v>426665953.25</v>
      </c>
      <c r="U449" s="72" t="s">
        <v>0</v>
      </c>
    </row>
    <row r="450" spans="1:21" ht="14.45" customHeight="1">
      <c r="A450" s="64">
        <v>45749</v>
      </c>
      <c r="B450" s="64">
        <v>45748</v>
      </c>
      <c r="C450" s="64">
        <v>45748</v>
      </c>
      <c r="D450" s="65" t="s">
        <v>335</v>
      </c>
      <c r="E450" s="65" t="s">
        <v>348</v>
      </c>
      <c r="F450" s="65"/>
      <c r="G450" s="65" t="s">
        <v>76</v>
      </c>
      <c r="H450" s="65" t="s">
        <v>14</v>
      </c>
      <c r="I450" s="66" t="s">
        <v>12</v>
      </c>
      <c r="J450" s="67">
        <v>-156811.88</v>
      </c>
      <c r="K450" s="68">
        <v>0.91</v>
      </c>
      <c r="L450" s="67">
        <v>172320.75</v>
      </c>
      <c r="M450" s="69">
        <v>0</v>
      </c>
      <c r="N450" s="70">
        <v>0</v>
      </c>
      <c r="O450" s="70">
        <v>5762203.75</v>
      </c>
      <c r="P450" s="70">
        <v>14276967.08</v>
      </c>
      <c r="Q450" s="70">
        <v>0</v>
      </c>
      <c r="R450" s="71">
        <v>426838274.05000001</v>
      </c>
      <c r="S450" s="70">
        <v>-0.05</v>
      </c>
      <c r="T450" s="70">
        <v>426838274</v>
      </c>
      <c r="U450" s="72" t="s">
        <v>0</v>
      </c>
    </row>
    <row r="451" spans="1:21" ht="14.45" customHeight="1">
      <c r="A451" s="64">
        <v>45749</v>
      </c>
      <c r="B451" s="64">
        <v>45747</v>
      </c>
      <c r="C451" s="64">
        <v>45747</v>
      </c>
      <c r="D451" s="65" t="s">
        <v>154</v>
      </c>
      <c r="E451" s="65" t="s">
        <v>234</v>
      </c>
      <c r="F451" s="65" t="s">
        <v>297</v>
      </c>
      <c r="G451" s="65" t="s">
        <v>66</v>
      </c>
      <c r="H451" s="65" t="s">
        <v>13</v>
      </c>
      <c r="I451" s="66" t="s">
        <v>12</v>
      </c>
      <c r="J451" s="67">
        <v>15588.84</v>
      </c>
      <c r="K451" s="68">
        <v>0</v>
      </c>
      <c r="L451" s="67">
        <v>0</v>
      </c>
      <c r="M451" s="69">
        <v>0</v>
      </c>
      <c r="N451" s="70">
        <v>0</v>
      </c>
      <c r="O451" s="70">
        <v>5777792.5899999999</v>
      </c>
      <c r="P451" s="70">
        <v>14276967.08</v>
      </c>
      <c r="Q451" s="70">
        <v>0</v>
      </c>
      <c r="R451" s="71">
        <v>426838274.05000001</v>
      </c>
      <c r="S451" s="70">
        <v>-0.05</v>
      </c>
      <c r="T451" s="70">
        <v>426838274</v>
      </c>
      <c r="U451" s="72" t="s">
        <v>0</v>
      </c>
    </row>
    <row r="452" spans="1:21" ht="14.45" customHeight="1">
      <c r="A452" s="64">
        <v>45749</v>
      </c>
      <c r="B452" s="64">
        <v>45747</v>
      </c>
      <c r="C452" s="64">
        <v>45747</v>
      </c>
      <c r="D452" s="65" t="s">
        <v>154</v>
      </c>
      <c r="E452" s="65" t="s">
        <v>234</v>
      </c>
      <c r="F452" s="65" t="s">
        <v>297</v>
      </c>
      <c r="G452" s="65" t="s">
        <v>66</v>
      </c>
      <c r="H452" s="65" t="s">
        <v>13</v>
      </c>
      <c r="I452" s="66" t="s">
        <v>12</v>
      </c>
      <c r="J452" s="67">
        <v>5182.7299999999996</v>
      </c>
      <c r="K452" s="68">
        <v>0</v>
      </c>
      <c r="L452" s="67">
        <v>0</v>
      </c>
      <c r="M452" s="69">
        <v>0</v>
      </c>
      <c r="N452" s="70">
        <v>0</v>
      </c>
      <c r="O452" s="70">
        <v>5782975.3200000003</v>
      </c>
      <c r="P452" s="70">
        <v>14276967.08</v>
      </c>
      <c r="Q452" s="70">
        <v>0</v>
      </c>
      <c r="R452" s="71">
        <v>426838274.05000001</v>
      </c>
      <c r="S452" s="70">
        <v>-0.05</v>
      </c>
      <c r="T452" s="70">
        <v>426838274</v>
      </c>
      <c r="U452" s="72" t="s">
        <v>0</v>
      </c>
    </row>
    <row r="453" spans="1:21" ht="14.45" customHeight="1">
      <c r="A453" s="64">
        <v>45749</v>
      </c>
      <c r="B453" s="64">
        <v>45747</v>
      </c>
      <c r="C453" s="64">
        <v>45747</v>
      </c>
      <c r="D453" s="65" t="s">
        <v>154</v>
      </c>
      <c r="E453" s="65" t="s">
        <v>234</v>
      </c>
      <c r="F453" s="65" t="s">
        <v>297</v>
      </c>
      <c r="G453" s="65" t="s">
        <v>66</v>
      </c>
      <c r="H453" s="65" t="s">
        <v>13</v>
      </c>
      <c r="I453" s="66" t="s">
        <v>12</v>
      </c>
      <c r="J453" s="67">
        <v>12861.73</v>
      </c>
      <c r="K453" s="68">
        <v>0</v>
      </c>
      <c r="L453" s="67">
        <v>0</v>
      </c>
      <c r="M453" s="69">
        <v>0</v>
      </c>
      <c r="N453" s="70">
        <v>0</v>
      </c>
      <c r="O453" s="70">
        <v>5795837.0499999998</v>
      </c>
      <c r="P453" s="70">
        <v>14276967.08</v>
      </c>
      <c r="Q453" s="70">
        <v>0</v>
      </c>
      <c r="R453" s="71">
        <v>426838274.05000001</v>
      </c>
      <c r="S453" s="70">
        <v>-0.05</v>
      </c>
      <c r="T453" s="70">
        <v>426838274</v>
      </c>
      <c r="U453" s="72" t="s">
        <v>0</v>
      </c>
    </row>
    <row r="454" spans="1:21" ht="14.45" customHeight="1">
      <c r="A454" s="64">
        <v>45749</v>
      </c>
      <c r="B454" s="64">
        <v>45747</v>
      </c>
      <c r="C454" s="64">
        <v>45747</v>
      </c>
      <c r="D454" s="65" t="s">
        <v>154</v>
      </c>
      <c r="E454" s="65" t="s">
        <v>179</v>
      </c>
      <c r="F454" s="65" t="s">
        <v>155</v>
      </c>
      <c r="G454" s="65" t="s">
        <v>66</v>
      </c>
      <c r="H454" s="65" t="s">
        <v>13</v>
      </c>
      <c r="I454" s="66" t="s">
        <v>12</v>
      </c>
      <c r="J454" s="67">
        <v>57292.98</v>
      </c>
      <c r="K454" s="68">
        <v>0</v>
      </c>
      <c r="L454" s="67">
        <v>0</v>
      </c>
      <c r="M454" s="69">
        <v>0</v>
      </c>
      <c r="N454" s="70">
        <v>0</v>
      </c>
      <c r="O454" s="70">
        <v>5853130.0300000003</v>
      </c>
      <c r="P454" s="70">
        <v>14276967.08</v>
      </c>
      <c r="Q454" s="70">
        <v>0</v>
      </c>
      <c r="R454" s="71">
        <v>426838274.05000001</v>
      </c>
      <c r="S454" s="70">
        <v>-0.05</v>
      </c>
      <c r="T454" s="70">
        <v>426838274</v>
      </c>
      <c r="U454" s="72" t="s">
        <v>0</v>
      </c>
    </row>
    <row r="455" spans="1:21" ht="14.45" customHeight="1">
      <c r="A455" s="64">
        <v>45749</v>
      </c>
      <c r="B455" s="64">
        <v>45747</v>
      </c>
      <c r="C455" s="64">
        <v>45747</v>
      </c>
      <c r="D455" s="65" t="s">
        <v>154</v>
      </c>
      <c r="E455" s="65" t="s">
        <v>192</v>
      </c>
      <c r="F455" s="65" t="s">
        <v>225</v>
      </c>
      <c r="G455" s="65" t="s">
        <v>66</v>
      </c>
      <c r="H455" s="65" t="s">
        <v>13</v>
      </c>
      <c r="I455" s="66" t="s">
        <v>12</v>
      </c>
      <c r="J455" s="67">
        <v>98775.71</v>
      </c>
      <c r="K455" s="68">
        <v>0</v>
      </c>
      <c r="L455" s="67">
        <v>0</v>
      </c>
      <c r="M455" s="69">
        <v>0</v>
      </c>
      <c r="N455" s="70">
        <v>0</v>
      </c>
      <c r="O455" s="70">
        <v>5951905.7400000002</v>
      </c>
      <c r="P455" s="70">
        <v>14276967.08</v>
      </c>
      <c r="Q455" s="70">
        <v>0</v>
      </c>
      <c r="R455" s="71">
        <v>426838274.05000001</v>
      </c>
      <c r="S455" s="70">
        <v>-0.05</v>
      </c>
      <c r="T455" s="70">
        <v>426838274</v>
      </c>
      <c r="U455" s="72" t="s">
        <v>0</v>
      </c>
    </row>
    <row r="456" spans="1:21" ht="14.45" customHeight="1">
      <c r="A456" s="64">
        <v>45749</v>
      </c>
      <c r="B456" s="64">
        <v>45747</v>
      </c>
      <c r="C456" s="64">
        <v>45747</v>
      </c>
      <c r="D456" s="65" t="s">
        <v>154</v>
      </c>
      <c r="E456" s="65" t="s">
        <v>192</v>
      </c>
      <c r="F456" s="65" t="s">
        <v>225</v>
      </c>
      <c r="G456" s="65" t="s">
        <v>66</v>
      </c>
      <c r="H456" s="65" t="s">
        <v>13</v>
      </c>
      <c r="I456" s="66" t="s">
        <v>12</v>
      </c>
      <c r="J456" s="67">
        <v>19041.09</v>
      </c>
      <c r="K456" s="68">
        <v>0</v>
      </c>
      <c r="L456" s="67">
        <v>0</v>
      </c>
      <c r="M456" s="69">
        <v>0</v>
      </c>
      <c r="N456" s="70">
        <v>0</v>
      </c>
      <c r="O456" s="70">
        <v>5970946.8300000001</v>
      </c>
      <c r="P456" s="70">
        <v>14276967.08</v>
      </c>
      <c r="Q456" s="70">
        <v>0</v>
      </c>
      <c r="R456" s="71">
        <v>426838274.05000001</v>
      </c>
      <c r="S456" s="70">
        <v>-0.05</v>
      </c>
      <c r="T456" s="70">
        <v>426838274</v>
      </c>
      <c r="U456" s="72" t="s">
        <v>0</v>
      </c>
    </row>
    <row r="457" spans="1:21" ht="14.45" customHeight="1">
      <c r="A457" s="64">
        <v>45749</v>
      </c>
      <c r="B457" s="64">
        <v>45747</v>
      </c>
      <c r="C457" s="64">
        <v>45747</v>
      </c>
      <c r="D457" s="65" t="s">
        <v>154</v>
      </c>
      <c r="E457" s="65" t="s">
        <v>86</v>
      </c>
      <c r="F457" s="65" t="s">
        <v>155</v>
      </c>
      <c r="G457" s="65" t="s">
        <v>71</v>
      </c>
      <c r="H457" s="65" t="s">
        <v>14</v>
      </c>
      <c r="I457" s="66" t="s">
        <v>12</v>
      </c>
      <c r="J457" s="67">
        <v>5858.4</v>
      </c>
      <c r="K457" s="68">
        <v>1</v>
      </c>
      <c r="L457" s="67">
        <v>-5858.4</v>
      </c>
      <c r="M457" s="69">
        <v>0</v>
      </c>
      <c r="N457" s="70">
        <v>0</v>
      </c>
      <c r="O457" s="70">
        <v>5970946.8300000001</v>
      </c>
      <c r="P457" s="70">
        <v>14282825.48</v>
      </c>
      <c r="Q457" s="70">
        <v>0</v>
      </c>
      <c r="R457" s="71">
        <v>426832415.64999998</v>
      </c>
      <c r="S457" s="70">
        <v>-0.05</v>
      </c>
      <c r="T457" s="70">
        <v>426832415.60000002</v>
      </c>
      <c r="U457" s="72" t="s">
        <v>0</v>
      </c>
    </row>
    <row r="458" spans="1:21" ht="14.45" customHeight="1">
      <c r="A458" s="64">
        <v>45749</v>
      </c>
      <c r="B458" s="64">
        <v>45747</v>
      </c>
      <c r="C458" s="64">
        <v>45747</v>
      </c>
      <c r="D458" s="65" t="s">
        <v>154</v>
      </c>
      <c r="E458" s="65" t="s">
        <v>234</v>
      </c>
      <c r="F458" s="65" t="s">
        <v>297</v>
      </c>
      <c r="G458" s="65" t="s">
        <v>71</v>
      </c>
      <c r="H458" s="65" t="s">
        <v>14</v>
      </c>
      <c r="I458" s="66" t="s">
        <v>12</v>
      </c>
      <c r="J458" s="67">
        <v>3559.69</v>
      </c>
      <c r="K458" s="68">
        <v>1</v>
      </c>
      <c r="L458" s="67">
        <v>-3559.69</v>
      </c>
      <c r="M458" s="69">
        <v>0</v>
      </c>
      <c r="N458" s="70">
        <v>0</v>
      </c>
      <c r="O458" s="70">
        <v>5970946.8300000001</v>
      </c>
      <c r="P458" s="70">
        <v>14286385.17</v>
      </c>
      <c r="Q458" s="70">
        <v>0</v>
      </c>
      <c r="R458" s="71">
        <v>426828855.95999998</v>
      </c>
      <c r="S458" s="70">
        <v>-0.05</v>
      </c>
      <c r="T458" s="70">
        <v>426828855.91000003</v>
      </c>
      <c r="U458" s="72" t="s">
        <v>0</v>
      </c>
    </row>
    <row r="459" spans="1:21" ht="14.45" customHeight="1">
      <c r="A459" s="64">
        <v>45749</v>
      </c>
      <c r="B459" s="64">
        <v>45747</v>
      </c>
      <c r="C459" s="64">
        <v>45747</v>
      </c>
      <c r="D459" s="65" t="s">
        <v>154</v>
      </c>
      <c r="E459" s="65" t="s">
        <v>192</v>
      </c>
      <c r="F459" s="65" t="s">
        <v>225</v>
      </c>
      <c r="G459" s="65" t="s">
        <v>71</v>
      </c>
      <c r="H459" s="65" t="s">
        <v>14</v>
      </c>
      <c r="I459" s="66" t="s">
        <v>12</v>
      </c>
      <c r="J459" s="67">
        <v>10074.83</v>
      </c>
      <c r="K459" s="68">
        <v>1</v>
      </c>
      <c r="L459" s="67">
        <v>-10074.83</v>
      </c>
      <c r="M459" s="69">
        <v>0</v>
      </c>
      <c r="N459" s="70">
        <v>0</v>
      </c>
      <c r="O459" s="70">
        <v>5970946.8300000001</v>
      </c>
      <c r="P459" s="70">
        <v>14296460</v>
      </c>
      <c r="Q459" s="70">
        <v>0</v>
      </c>
      <c r="R459" s="71">
        <v>426818781.13</v>
      </c>
      <c r="S459" s="70">
        <v>-0.05</v>
      </c>
      <c r="T459" s="70">
        <v>426818781.07999998</v>
      </c>
      <c r="U459" s="72" t="s">
        <v>0</v>
      </c>
    </row>
    <row r="460" spans="1:21" ht="14.45" customHeight="1">
      <c r="A460" s="64">
        <v>45749</v>
      </c>
      <c r="B460" s="64">
        <v>45747</v>
      </c>
      <c r="C460" s="64">
        <v>45747</v>
      </c>
      <c r="D460" s="65" t="s">
        <v>154</v>
      </c>
      <c r="E460" s="65" t="s">
        <v>192</v>
      </c>
      <c r="F460" s="65" t="s">
        <v>225</v>
      </c>
      <c r="G460" s="65" t="s">
        <v>71</v>
      </c>
      <c r="H460" s="65" t="s">
        <v>14</v>
      </c>
      <c r="I460" s="66" t="s">
        <v>12</v>
      </c>
      <c r="J460" s="67">
        <v>5283.14</v>
      </c>
      <c r="K460" s="68">
        <v>1</v>
      </c>
      <c r="L460" s="67">
        <v>-5283.14</v>
      </c>
      <c r="M460" s="69">
        <v>0</v>
      </c>
      <c r="N460" s="70">
        <v>0</v>
      </c>
      <c r="O460" s="70">
        <v>5970946.8300000001</v>
      </c>
      <c r="P460" s="70">
        <v>14301743.140000001</v>
      </c>
      <c r="Q460" s="70">
        <v>0</v>
      </c>
      <c r="R460" s="71">
        <v>426813497.99000001</v>
      </c>
      <c r="S460" s="70">
        <v>-0.05</v>
      </c>
      <c r="T460" s="70">
        <v>426813497.94</v>
      </c>
      <c r="U460" s="72" t="s">
        <v>0</v>
      </c>
    </row>
    <row r="461" spans="1:21" ht="14.45" customHeight="1">
      <c r="A461" s="64">
        <v>45750</v>
      </c>
      <c r="B461" s="64">
        <v>45750</v>
      </c>
      <c r="C461" s="64">
        <v>45750</v>
      </c>
      <c r="D461" s="65" t="s">
        <v>54</v>
      </c>
      <c r="E461" s="65" t="s">
        <v>55</v>
      </c>
      <c r="F461" s="65" t="s">
        <v>56</v>
      </c>
      <c r="G461" s="65" t="s">
        <v>57</v>
      </c>
      <c r="H461" s="65"/>
      <c r="I461" s="66" t="s">
        <v>12</v>
      </c>
      <c r="J461" s="67">
        <v>0</v>
      </c>
      <c r="K461" s="68">
        <v>0</v>
      </c>
      <c r="L461" s="67">
        <v>8760.5300000000007</v>
      </c>
      <c r="M461" s="69">
        <v>0</v>
      </c>
      <c r="N461" s="70">
        <v>0</v>
      </c>
      <c r="O461" s="70">
        <v>5970946.8300000001</v>
      </c>
      <c r="P461" s="70">
        <v>14301743.140000001</v>
      </c>
      <c r="Q461" s="70">
        <v>0</v>
      </c>
      <c r="R461" s="71">
        <v>426822258.51999998</v>
      </c>
      <c r="S461" s="70">
        <v>-0.05</v>
      </c>
      <c r="T461" s="70">
        <v>426822258.47000003</v>
      </c>
      <c r="U461" s="72" t="s">
        <v>0</v>
      </c>
    </row>
    <row r="462" spans="1:21" ht="14.45" customHeight="1">
      <c r="A462" s="64">
        <v>45750</v>
      </c>
      <c r="B462" s="64">
        <v>45748</v>
      </c>
      <c r="C462" s="64">
        <v>45748</v>
      </c>
      <c r="D462" s="65" t="s">
        <v>61</v>
      </c>
      <c r="E462" s="65" t="s">
        <v>62</v>
      </c>
      <c r="F462" s="65" t="s">
        <v>63</v>
      </c>
      <c r="G462" s="65" t="s">
        <v>57</v>
      </c>
      <c r="H462" s="65"/>
      <c r="I462" s="66" t="s">
        <v>12</v>
      </c>
      <c r="J462" s="67">
        <v>0</v>
      </c>
      <c r="K462" s="68">
        <v>0</v>
      </c>
      <c r="L462" s="67">
        <v>25103.119999999999</v>
      </c>
      <c r="M462" s="69">
        <v>0</v>
      </c>
      <c r="N462" s="70">
        <v>0</v>
      </c>
      <c r="O462" s="70">
        <v>5970946.8300000001</v>
      </c>
      <c r="P462" s="70">
        <v>14301743.140000001</v>
      </c>
      <c r="Q462" s="70">
        <v>0</v>
      </c>
      <c r="R462" s="71">
        <v>426847361.63999999</v>
      </c>
      <c r="S462" s="70">
        <v>-0.05</v>
      </c>
      <c r="T462" s="70">
        <v>426847361.58999997</v>
      </c>
      <c r="U462" s="72" t="s">
        <v>0</v>
      </c>
    </row>
    <row r="463" spans="1:21" ht="14.45" customHeight="1">
      <c r="A463" s="64">
        <v>45750</v>
      </c>
      <c r="B463" s="64">
        <v>45657</v>
      </c>
      <c r="C463" s="64">
        <v>45657</v>
      </c>
      <c r="D463" s="65" t="s">
        <v>106</v>
      </c>
      <c r="E463" s="65" t="s">
        <v>107</v>
      </c>
      <c r="F463" s="65" t="s">
        <v>108</v>
      </c>
      <c r="G463" s="65" t="s">
        <v>76</v>
      </c>
      <c r="H463" s="65" t="s">
        <v>14</v>
      </c>
      <c r="I463" s="66" t="s">
        <v>12</v>
      </c>
      <c r="J463" s="67">
        <v>2338198.4700000002</v>
      </c>
      <c r="K463" s="68">
        <v>-1</v>
      </c>
      <c r="L463" s="67">
        <v>-2338198.4700000002</v>
      </c>
      <c r="M463" s="69">
        <v>0</v>
      </c>
      <c r="N463" s="70">
        <v>0</v>
      </c>
      <c r="O463" s="70">
        <v>5970946.8300000001</v>
      </c>
      <c r="P463" s="70">
        <v>16639941.609999999</v>
      </c>
      <c r="Q463" s="70">
        <v>0</v>
      </c>
      <c r="R463" s="71">
        <v>424509163.17000002</v>
      </c>
      <c r="S463" s="70">
        <v>-0.05</v>
      </c>
      <c r="T463" s="70">
        <v>424509163.12</v>
      </c>
      <c r="U463" s="72" t="s">
        <v>0</v>
      </c>
    </row>
    <row r="464" spans="1:21" ht="14.45" customHeight="1">
      <c r="A464" s="64">
        <v>45750</v>
      </c>
      <c r="B464" s="64">
        <v>45742</v>
      </c>
      <c r="C464" s="64">
        <v>45742</v>
      </c>
      <c r="D464" s="65" t="s">
        <v>349</v>
      </c>
      <c r="E464" s="65" t="s">
        <v>0</v>
      </c>
      <c r="F464" s="65"/>
      <c r="G464" s="65" t="s">
        <v>48</v>
      </c>
      <c r="H464" s="65" t="s">
        <v>13</v>
      </c>
      <c r="I464" s="66" t="s">
        <v>12</v>
      </c>
      <c r="J464" s="67">
        <v>7101.34</v>
      </c>
      <c r="K464" s="68">
        <v>0</v>
      </c>
      <c r="L464" s="67">
        <v>0</v>
      </c>
      <c r="M464" s="69">
        <v>0</v>
      </c>
      <c r="N464" s="70">
        <v>0</v>
      </c>
      <c r="O464" s="70">
        <v>5978048.1699999999</v>
      </c>
      <c r="P464" s="70">
        <v>16639941.609999999</v>
      </c>
      <c r="Q464" s="70">
        <v>0</v>
      </c>
      <c r="R464" s="71">
        <v>424509163.17000002</v>
      </c>
      <c r="S464" s="70">
        <v>-0.05</v>
      </c>
      <c r="T464" s="70">
        <v>424509163.12</v>
      </c>
      <c r="U464" s="72" t="s">
        <v>0</v>
      </c>
    </row>
    <row r="465" spans="1:21" ht="14.45" customHeight="1">
      <c r="A465" s="64">
        <v>45750</v>
      </c>
      <c r="B465" s="64">
        <v>45747</v>
      </c>
      <c r="C465" s="64">
        <v>45747</v>
      </c>
      <c r="D465" s="65" t="s">
        <v>106</v>
      </c>
      <c r="E465" s="65" t="s">
        <v>188</v>
      </c>
      <c r="F465" s="65" t="s">
        <v>189</v>
      </c>
      <c r="G465" s="65" t="s">
        <v>66</v>
      </c>
      <c r="H465" s="65" t="s">
        <v>13</v>
      </c>
      <c r="I465" s="66" t="s">
        <v>12</v>
      </c>
      <c r="J465" s="67">
        <v>67886.81</v>
      </c>
      <c r="K465" s="68">
        <v>0</v>
      </c>
      <c r="L465" s="67">
        <v>0</v>
      </c>
      <c r="M465" s="69">
        <v>0</v>
      </c>
      <c r="N465" s="70">
        <v>0</v>
      </c>
      <c r="O465" s="70">
        <v>6045934.9800000004</v>
      </c>
      <c r="P465" s="70">
        <v>16639941.609999999</v>
      </c>
      <c r="Q465" s="70">
        <v>0</v>
      </c>
      <c r="R465" s="71">
        <v>424509163.17000002</v>
      </c>
      <c r="S465" s="70">
        <v>-0.05</v>
      </c>
      <c r="T465" s="70">
        <v>424509163.12</v>
      </c>
      <c r="U465" s="72" t="s">
        <v>0</v>
      </c>
    </row>
    <row r="466" spans="1:21" ht="14.45" customHeight="1">
      <c r="A466" s="64">
        <v>45750</v>
      </c>
      <c r="B466" s="64">
        <v>45742</v>
      </c>
      <c r="C466" s="64">
        <v>45742</v>
      </c>
      <c r="D466" s="65" t="s">
        <v>106</v>
      </c>
      <c r="E466" s="65" t="s">
        <v>107</v>
      </c>
      <c r="F466" s="65" t="s">
        <v>108</v>
      </c>
      <c r="G466" s="65" t="s">
        <v>66</v>
      </c>
      <c r="H466" s="65" t="s">
        <v>13</v>
      </c>
      <c r="I466" s="66" t="s">
        <v>12</v>
      </c>
      <c r="J466" s="67">
        <v>123463.3</v>
      </c>
      <c r="K466" s="68">
        <v>0</v>
      </c>
      <c r="L466" s="67">
        <v>0</v>
      </c>
      <c r="M466" s="69">
        <v>0</v>
      </c>
      <c r="N466" s="70">
        <v>0</v>
      </c>
      <c r="O466" s="70">
        <v>6169398.2800000003</v>
      </c>
      <c r="P466" s="70">
        <v>16639941.609999999</v>
      </c>
      <c r="Q466" s="70">
        <v>0</v>
      </c>
      <c r="R466" s="71">
        <v>424509163.17000002</v>
      </c>
      <c r="S466" s="70">
        <v>-0.05</v>
      </c>
      <c r="T466" s="70">
        <v>424509163.12</v>
      </c>
      <c r="U466" s="72" t="s">
        <v>0</v>
      </c>
    </row>
    <row r="467" spans="1:21" ht="14.45" customHeight="1">
      <c r="A467" s="64">
        <v>45750</v>
      </c>
      <c r="B467" s="64">
        <v>45750</v>
      </c>
      <c r="C467" s="64">
        <v>45750</v>
      </c>
      <c r="D467" s="65" t="s">
        <v>54</v>
      </c>
      <c r="E467" s="65" t="s">
        <v>55</v>
      </c>
      <c r="F467" s="65" t="s">
        <v>56</v>
      </c>
      <c r="G467" s="65" t="s">
        <v>66</v>
      </c>
      <c r="H467" s="65" t="s">
        <v>13</v>
      </c>
      <c r="I467" s="66" t="s">
        <v>12</v>
      </c>
      <c r="J467" s="67">
        <v>6552.49</v>
      </c>
      <c r="K467" s="68">
        <v>0</v>
      </c>
      <c r="L467" s="67">
        <v>0</v>
      </c>
      <c r="M467" s="69">
        <v>0</v>
      </c>
      <c r="N467" s="70">
        <v>0</v>
      </c>
      <c r="O467" s="70">
        <v>6175950.7699999996</v>
      </c>
      <c r="P467" s="70">
        <v>16639941.609999999</v>
      </c>
      <c r="Q467" s="70">
        <v>0</v>
      </c>
      <c r="R467" s="71">
        <v>424509163.17000002</v>
      </c>
      <c r="S467" s="70">
        <v>-0.05</v>
      </c>
      <c r="T467" s="70">
        <v>424509163.12</v>
      </c>
      <c r="U467" s="72" t="s">
        <v>0</v>
      </c>
    </row>
    <row r="468" spans="1:21" ht="14.45" customHeight="1">
      <c r="A468" s="64">
        <v>45750</v>
      </c>
      <c r="B468" s="64">
        <v>45748</v>
      </c>
      <c r="C468" s="64">
        <v>45748</v>
      </c>
      <c r="D468" s="65" t="s">
        <v>116</v>
      </c>
      <c r="E468" s="65" t="s">
        <v>65</v>
      </c>
      <c r="F468" s="65" t="s">
        <v>117</v>
      </c>
      <c r="G468" s="65" t="s">
        <v>71</v>
      </c>
      <c r="H468" s="65" t="s">
        <v>14</v>
      </c>
      <c r="I468" s="66" t="s">
        <v>12</v>
      </c>
      <c r="J468" s="67">
        <v>36556.629999999997</v>
      </c>
      <c r="K468" s="68">
        <v>1</v>
      </c>
      <c r="L468" s="67">
        <v>-36556.629999999997</v>
      </c>
      <c r="M468" s="69">
        <v>0</v>
      </c>
      <c r="N468" s="70">
        <v>0</v>
      </c>
      <c r="O468" s="70">
        <v>6175950.7699999996</v>
      </c>
      <c r="P468" s="70">
        <v>16676498.24</v>
      </c>
      <c r="Q468" s="70">
        <v>0</v>
      </c>
      <c r="R468" s="71">
        <v>424472606.54000002</v>
      </c>
      <c r="S468" s="70">
        <v>-0.05</v>
      </c>
      <c r="T468" s="70">
        <v>424472606.49000001</v>
      </c>
      <c r="U468" s="72" t="s">
        <v>0</v>
      </c>
    </row>
    <row r="469" spans="1:21" ht="14.45" customHeight="1">
      <c r="A469" s="64">
        <v>45750</v>
      </c>
      <c r="B469" s="64">
        <v>45748</v>
      </c>
      <c r="C469" s="64">
        <v>45748</v>
      </c>
      <c r="D469" s="65" t="s">
        <v>116</v>
      </c>
      <c r="E469" s="65" t="s">
        <v>209</v>
      </c>
      <c r="F469" s="65"/>
      <c r="G469" s="65" t="s">
        <v>66</v>
      </c>
      <c r="H469" s="65" t="s">
        <v>13</v>
      </c>
      <c r="I469" s="66" t="s">
        <v>12</v>
      </c>
      <c r="J469" s="67">
        <v>11039.59</v>
      </c>
      <c r="K469" s="68">
        <v>0</v>
      </c>
      <c r="L469" s="67">
        <v>0</v>
      </c>
      <c r="M469" s="69">
        <v>0</v>
      </c>
      <c r="N469" s="70">
        <v>0</v>
      </c>
      <c r="O469" s="70">
        <v>6186990.3600000003</v>
      </c>
      <c r="P469" s="70">
        <v>16676498.24</v>
      </c>
      <c r="Q469" s="70">
        <v>0</v>
      </c>
      <c r="R469" s="71">
        <v>424472606.54000002</v>
      </c>
      <c r="S469" s="70">
        <v>-0.05</v>
      </c>
      <c r="T469" s="70">
        <v>424472606.49000001</v>
      </c>
      <c r="U469" s="72" t="s">
        <v>0</v>
      </c>
    </row>
    <row r="470" spans="1:21" ht="14.45" customHeight="1">
      <c r="A470" s="64">
        <v>45750</v>
      </c>
      <c r="B470" s="64">
        <v>45748</v>
      </c>
      <c r="C470" s="64">
        <v>45748</v>
      </c>
      <c r="D470" s="65" t="s">
        <v>116</v>
      </c>
      <c r="E470" s="65" t="s">
        <v>130</v>
      </c>
      <c r="F470" s="65"/>
      <c r="G470" s="65" t="s">
        <v>66</v>
      </c>
      <c r="H470" s="65" t="s">
        <v>13</v>
      </c>
      <c r="I470" s="66" t="s">
        <v>12</v>
      </c>
      <c r="J470" s="67">
        <v>120585.46</v>
      </c>
      <c r="K470" s="68">
        <v>0</v>
      </c>
      <c r="L470" s="67">
        <v>0</v>
      </c>
      <c r="M470" s="69">
        <v>0</v>
      </c>
      <c r="N470" s="70">
        <v>0</v>
      </c>
      <c r="O470" s="70">
        <v>6307575.8200000003</v>
      </c>
      <c r="P470" s="70">
        <v>16676498.24</v>
      </c>
      <c r="Q470" s="70">
        <v>0</v>
      </c>
      <c r="R470" s="71">
        <v>424472606.54000002</v>
      </c>
      <c r="S470" s="70">
        <v>-0.05</v>
      </c>
      <c r="T470" s="70">
        <v>424472606.49000001</v>
      </c>
      <c r="U470" s="72" t="s">
        <v>0</v>
      </c>
    </row>
    <row r="471" spans="1:21" ht="14.45" customHeight="1">
      <c r="A471" s="64">
        <v>45750</v>
      </c>
      <c r="B471" s="64">
        <v>45748</v>
      </c>
      <c r="C471" s="64">
        <v>45748</v>
      </c>
      <c r="D471" s="65" t="s">
        <v>116</v>
      </c>
      <c r="E471" s="65" t="s">
        <v>209</v>
      </c>
      <c r="F471" s="65"/>
      <c r="G471" s="65" t="s">
        <v>66</v>
      </c>
      <c r="H471" s="65" t="s">
        <v>13</v>
      </c>
      <c r="I471" s="66" t="s">
        <v>12</v>
      </c>
      <c r="J471" s="67">
        <v>16743.46</v>
      </c>
      <c r="K471" s="68">
        <v>0</v>
      </c>
      <c r="L471" s="67">
        <v>0</v>
      </c>
      <c r="M471" s="69">
        <v>0</v>
      </c>
      <c r="N471" s="70">
        <v>0</v>
      </c>
      <c r="O471" s="70">
        <v>6324319.2800000003</v>
      </c>
      <c r="P471" s="70">
        <v>16676498.24</v>
      </c>
      <c r="Q471" s="70">
        <v>0</v>
      </c>
      <c r="R471" s="71">
        <v>424472606.54000002</v>
      </c>
      <c r="S471" s="70">
        <v>-0.05</v>
      </c>
      <c r="T471" s="70">
        <v>424472606.49000001</v>
      </c>
      <c r="U471" s="72" t="s">
        <v>0</v>
      </c>
    </row>
    <row r="472" spans="1:21" ht="14.45" customHeight="1">
      <c r="A472" s="64">
        <v>45750</v>
      </c>
      <c r="B472" s="64">
        <v>45748</v>
      </c>
      <c r="C472" s="64">
        <v>45748</v>
      </c>
      <c r="D472" s="65" t="s">
        <v>116</v>
      </c>
      <c r="E472" s="65" t="s">
        <v>130</v>
      </c>
      <c r="F472" s="65"/>
      <c r="G472" s="65" t="s">
        <v>71</v>
      </c>
      <c r="H472" s="65" t="s">
        <v>14</v>
      </c>
      <c r="I472" s="66" t="s">
        <v>12</v>
      </c>
      <c r="J472" s="67">
        <v>13633.45</v>
      </c>
      <c r="K472" s="68">
        <v>1</v>
      </c>
      <c r="L472" s="67">
        <v>-13633.45</v>
      </c>
      <c r="M472" s="69">
        <v>0</v>
      </c>
      <c r="N472" s="70">
        <v>0</v>
      </c>
      <c r="O472" s="70">
        <v>6324319.2800000003</v>
      </c>
      <c r="P472" s="70">
        <v>16690131.689999999</v>
      </c>
      <c r="Q472" s="70">
        <v>0</v>
      </c>
      <c r="R472" s="71">
        <v>424458973.08999997</v>
      </c>
      <c r="S472" s="70">
        <v>-0.05</v>
      </c>
      <c r="T472" s="70">
        <v>424458973.04000002</v>
      </c>
      <c r="U472" s="72" t="s">
        <v>0</v>
      </c>
    </row>
    <row r="473" spans="1:21" ht="14.45" customHeight="1">
      <c r="A473" s="64">
        <v>45750</v>
      </c>
      <c r="B473" s="64">
        <v>45748</v>
      </c>
      <c r="C473" s="64">
        <v>45748</v>
      </c>
      <c r="D473" s="65" t="s">
        <v>116</v>
      </c>
      <c r="E473" s="65" t="s">
        <v>65</v>
      </c>
      <c r="F473" s="65" t="s">
        <v>117</v>
      </c>
      <c r="G473" s="65" t="s">
        <v>66</v>
      </c>
      <c r="H473" s="65" t="s">
        <v>13</v>
      </c>
      <c r="I473" s="66" t="s">
        <v>12</v>
      </c>
      <c r="J473" s="67">
        <v>227255.08</v>
      </c>
      <c r="K473" s="68">
        <v>0</v>
      </c>
      <c r="L473" s="67">
        <v>0</v>
      </c>
      <c r="M473" s="69">
        <v>0</v>
      </c>
      <c r="N473" s="70">
        <v>0</v>
      </c>
      <c r="O473" s="70">
        <v>6551574.3600000003</v>
      </c>
      <c r="P473" s="70">
        <v>16690131.689999999</v>
      </c>
      <c r="Q473" s="70">
        <v>0</v>
      </c>
      <c r="R473" s="71">
        <v>424458973.08999997</v>
      </c>
      <c r="S473" s="70">
        <v>-0.05</v>
      </c>
      <c r="T473" s="70">
        <v>424458973.04000002</v>
      </c>
      <c r="U473" s="72" t="s">
        <v>0</v>
      </c>
    </row>
    <row r="474" spans="1:21" ht="14.45" customHeight="1">
      <c r="A474" s="64">
        <v>45750</v>
      </c>
      <c r="B474" s="64">
        <v>45748</v>
      </c>
      <c r="C474" s="64">
        <v>45748</v>
      </c>
      <c r="D474" s="65" t="s">
        <v>116</v>
      </c>
      <c r="E474" s="65" t="s">
        <v>209</v>
      </c>
      <c r="F474" s="65"/>
      <c r="G474" s="65" t="s">
        <v>71</v>
      </c>
      <c r="H474" s="65" t="s">
        <v>14</v>
      </c>
      <c r="I474" s="66" t="s">
        <v>12</v>
      </c>
      <c r="J474" s="67">
        <v>3061.97</v>
      </c>
      <c r="K474" s="68">
        <v>1</v>
      </c>
      <c r="L474" s="67">
        <v>-3061.97</v>
      </c>
      <c r="M474" s="69">
        <v>0</v>
      </c>
      <c r="N474" s="70">
        <v>0</v>
      </c>
      <c r="O474" s="70">
        <v>6551574.3600000003</v>
      </c>
      <c r="P474" s="70">
        <v>16693193.66</v>
      </c>
      <c r="Q474" s="70">
        <v>0</v>
      </c>
      <c r="R474" s="71">
        <v>424455911.12</v>
      </c>
      <c r="S474" s="70">
        <v>-0.05</v>
      </c>
      <c r="T474" s="70">
        <v>424455911.06999999</v>
      </c>
      <c r="U474" s="72" t="s">
        <v>0</v>
      </c>
    </row>
    <row r="475" spans="1:21" ht="14.45" customHeight="1">
      <c r="A475" s="64">
        <v>45750</v>
      </c>
      <c r="B475" s="64">
        <v>45748</v>
      </c>
      <c r="C475" s="64">
        <v>45748</v>
      </c>
      <c r="D475" s="65" t="s">
        <v>116</v>
      </c>
      <c r="E475" s="65" t="s">
        <v>209</v>
      </c>
      <c r="F475" s="65"/>
      <c r="G475" s="65" t="s">
        <v>71</v>
      </c>
      <c r="H475" s="65" t="s">
        <v>14</v>
      </c>
      <c r="I475" s="66" t="s">
        <v>12</v>
      </c>
      <c r="J475" s="67">
        <v>2612</v>
      </c>
      <c r="K475" s="68">
        <v>1</v>
      </c>
      <c r="L475" s="67">
        <v>-2612</v>
      </c>
      <c r="M475" s="69">
        <v>0</v>
      </c>
      <c r="N475" s="70">
        <v>0</v>
      </c>
      <c r="O475" s="70">
        <v>6551574.3600000003</v>
      </c>
      <c r="P475" s="70">
        <v>16695805.66</v>
      </c>
      <c r="Q475" s="70">
        <v>0</v>
      </c>
      <c r="R475" s="71">
        <v>424453299.12</v>
      </c>
      <c r="S475" s="70">
        <v>-0.05</v>
      </c>
      <c r="T475" s="70">
        <v>424453299.06999999</v>
      </c>
      <c r="U475" s="72" t="s">
        <v>0</v>
      </c>
    </row>
    <row r="476" spans="1:21" ht="14.45" customHeight="1">
      <c r="A476" s="64">
        <v>45750</v>
      </c>
      <c r="B476" s="64">
        <v>45657</v>
      </c>
      <c r="C476" s="64">
        <v>45657</v>
      </c>
      <c r="D476" s="65" t="s">
        <v>350</v>
      </c>
      <c r="E476" s="65" t="s">
        <v>0</v>
      </c>
      <c r="F476" s="65"/>
      <c r="G476" s="65" t="s">
        <v>48</v>
      </c>
      <c r="H476" s="65" t="s">
        <v>14</v>
      </c>
      <c r="I476" s="66" t="s">
        <v>12</v>
      </c>
      <c r="J476" s="67">
        <v>2661801.5299999998</v>
      </c>
      <c r="K476" s="68">
        <v>0</v>
      </c>
      <c r="L476" s="67">
        <v>0</v>
      </c>
      <c r="M476" s="69">
        <v>0</v>
      </c>
      <c r="N476" s="70">
        <v>0</v>
      </c>
      <c r="O476" s="70">
        <v>6551574.3600000003</v>
      </c>
      <c r="P476" s="70">
        <v>19357607.190000001</v>
      </c>
      <c r="Q476" s="70">
        <v>0</v>
      </c>
      <c r="R476" s="71">
        <v>424453299.12</v>
      </c>
      <c r="S476" s="70">
        <v>-0.05</v>
      </c>
      <c r="T476" s="70">
        <v>424453299.06999999</v>
      </c>
      <c r="U476" s="72" t="s">
        <v>0</v>
      </c>
    </row>
    <row r="477" spans="1:21" ht="14.45" customHeight="1">
      <c r="A477" s="64">
        <v>45750</v>
      </c>
      <c r="B477" s="64">
        <v>45747</v>
      </c>
      <c r="C477" s="64">
        <v>45747</v>
      </c>
      <c r="D477" s="65" t="s">
        <v>134</v>
      </c>
      <c r="E477" s="65" t="s">
        <v>65</v>
      </c>
      <c r="F477" s="65" t="s">
        <v>135</v>
      </c>
      <c r="G477" s="65" t="s">
        <v>71</v>
      </c>
      <c r="H477" s="65" t="s">
        <v>14</v>
      </c>
      <c r="I477" s="66" t="s">
        <v>12</v>
      </c>
      <c r="J477" s="67">
        <v>32456.14</v>
      </c>
      <c r="K477" s="68">
        <v>1</v>
      </c>
      <c r="L477" s="67">
        <v>-32456.14</v>
      </c>
      <c r="M477" s="69">
        <v>0</v>
      </c>
      <c r="N477" s="70">
        <v>0</v>
      </c>
      <c r="O477" s="70">
        <v>6551574.3600000003</v>
      </c>
      <c r="P477" s="70">
        <v>19390063.329999998</v>
      </c>
      <c r="Q477" s="70">
        <v>0</v>
      </c>
      <c r="R477" s="71">
        <v>424420842.98000002</v>
      </c>
      <c r="S477" s="70">
        <v>-0.05</v>
      </c>
      <c r="T477" s="70">
        <v>424420842.93000001</v>
      </c>
      <c r="U477" s="72" t="s">
        <v>0</v>
      </c>
    </row>
    <row r="478" spans="1:21" ht="14.45" customHeight="1">
      <c r="A478" s="64">
        <v>45750</v>
      </c>
      <c r="B478" s="64">
        <v>45657</v>
      </c>
      <c r="C478" s="64">
        <v>45657</v>
      </c>
      <c r="D478" s="65" t="s">
        <v>106</v>
      </c>
      <c r="E478" s="65" t="s">
        <v>107</v>
      </c>
      <c r="F478" s="65" t="s">
        <v>108</v>
      </c>
      <c r="G478" s="65" t="s">
        <v>76</v>
      </c>
      <c r="H478" s="65" t="s">
        <v>14</v>
      </c>
      <c r="I478" s="66" t="s">
        <v>12</v>
      </c>
      <c r="J478" s="67">
        <v>-5000000</v>
      </c>
      <c r="K478" s="68">
        <v>1</v>
      </c>
      <c r="L478" s="67">
        <v>5000000</v>
      </c>
      <c r="M478" s="69">
        <v>0</v>
      </c>
      <c r="N478" s="70">
        <v>0</v>
      </c>
      <c r="O478" s="70">
        <v>6551574.3600000003</v>
      </c>
      <c r="P478" s="70">
        <v>14390063.33</v>
      </c>
      <c r="Q478" s="70">
        <v>0</v>
      </c>
      <c r="R478" s="71">
        <v>429420842.98000002</v>
      </c>
      <c r="S478" s="70">
        <v>-0.05</v>
      </c>
      <c r="T478" s="70">
        <v>429420842.93000001</v>
      </c>
      <c r="U478" s="72" t="s">
        <v>0</v>
      </c>
    </row>
    <row r="479" spans="1:21" ht="14.45" customHeight="1">
      <c r="A479" s="64">
        <v>45750</v>
      </c>
      <c r="B479" s="64">
        <v>45747</v>
      </c>
      <c r="C479" s="64">
        <v>45747</v>
      </c>
      <c r="D479" s="65" t="s">
        <v>134</v>
      </c>
      <c r="E479" s="65" t="s">
        <v>179</v>
      </c>
      <c r="F479" s="65" t="s">
        <v>135</v>
      </c>
      <c r="G479" s="65" t="s">
        <v>66</v>
      </c>
      <c r="H479" s="65" t="s">
        <v>13</v>
      </c>
      <c r="I479" s="66" t="s">
        <v>12</v>
      </c>
      <c r="J479" s="67">
        <v>325482.71000000002</v>
      </c>
      <c r="K479" s="68">
        <v>0</v>
      </c>
      <c r="L479" s="67">
        <v>0</v>
      </c>
      <c r="M479" s="69">
        <v>0</v>
      </c>
      <c r="N479" s="70">
        <v>0</v>
      </c>
      <c r="O479" s="70">
        <v>6877057.0700000003</v>
      </c>
      <c r="P479" s="70">
        <v>14390063.33</v>
      </c>
      <c r="Q479" s="70">
        <v>0</v>
      </c>
      <c r="R479" s="71">
        <v>429420842.98000002</v>
      </c>
      <c r="S479" s="70">
        <v>-0.05</v>
      </c>
      <c r="T479" s="70">
        <v>429420842.93000001</v>
      </c>
      <c r="U479" s="72" t="s">
        <v>0</v>
      </c>
    </row>
    <row r="480" spans="1:21" ht="14.45" customHeight="1">
      <c r="A480" s="64">
        <v>45751</v>
      </c>
      <c r="B480" s="64">
        <v>45747</v>
      </c>
      <c r="C480" s="64">
        <v>45747</v>
      </c>
      <c r="D480" s="65" t="s">
        <v>87</v>
      </c>
      <c r="E480" s="65" t="s">
        <v>65</v>
      </c>
      <c r="F480" s="65" t="s">
        <v>88</v>
      </c>
      <c r="G480" s="65" t="s">
        <v>71</v>
      </c>
      <c r="H480" s="65" t="s">
        <v>14</v>
      </c>
      <c r="I480" s="66" t="s">
        <v>12</v>
      </c>
      <c r="J480" s="67">
        <v>5731.33</v>
      </c>
      <c r="K480" s="68">
        <v>1</v>
      </c>
      <c r="L480" s="67">
        <v>-5731.33</v>
      </c>
      <c r="M480" s="69">
        <v>0</v>
      </c>
      <c r="N480" s="70">
        <v>0</v>
      </c>
      <c r="O480" s="70">
        <v>6877057.0700000003</v>
      </c>
      <c r="P480" s="70">
        <v>14395794.66</v>
      </c>
      <c r="Q480" s="70">
        <v>0</v>
      </c>
      <c r="R480" s="71">
        <v>429415111.64999998</v>
      </c>
      <c r="S480" s="70">
        <v>-0.05</v>
      </c>
      <c r="T480" s="70">
        <v>429415111.60000002</v>
      </c>
      <c r="U480" s="72" t="s">
        <v>0</v>
      </c>
    </row>
    <row r="481" spans="1:21" ht="14.45" customHeight="1">
      <c r="A481" s="64">
        <v>45751</v>
      </c>
      <c r="B481" s="64">
        <v>45747</v>
      </c>
      <c r="C481" s="64">
        <v>45747</v>
      </c>
      <c r="D481" s="65" t="s">
        <v>87</v>
      </c>
      <c r="E481" s="65" t="s">
        <v>65</v>
      </c>
      <c r="F481" s="65" t="s">
        <v>88</v>
      </c>
      <c r="G481" s="65" t="s">
        <v>66</v>
      </c>
      <c r="H481" s="65" t="s">
        <v>13</v>
      </c>
      <c r="I481" s="66" t="s">
        <v>12</v>
      </c>
      <c r="J481" s="67">
        <v>58753.64</v>
      </c>
      <c r="K481" s="68">
        <v>0</v>
      </c>
      <c r="L481" s="67">
        <v>0</v>
      </c>
      <c r="M481" s="69">
        <v>0</v>
      </c>
      <c r="N481" s="70">
        <v>0</v>
      </c>
      <c r="O481" s="70">
        <v>6935810.71</v>
      </c>
      <c r="P481" s="70">
        <v>14395794.66</v>
      </c>
      <c r="Q481" s="70">
        <v>0</v>
      </c>
      <c r="R481" s="71">
        <v>429415111.64999998</v>
      </c>
      <c r="S481" s="70">
        <v>-0.05</v>
      </c>
      <c r="T481" s="70">
        <v>429415111.60000002</v>
      </c>
      <c r="U481" s="72" t="s">
        <v>0</v>
      </c>
    </row>
    <row r="482" spans="1:21" ht="14.45" customHeight="1">
      <c r="A482" s="64">
        <v>45751</v>
      </c>
      <c r="B482" s="64">
        <v>45747</v>
      </c>
      <c r="C482" s="64">
        <v>45747</v>
      </c>
      <c r="D482" s="65" t="s">
        <v>87</v>
      </c>
      <c r="E482" s="65" t="s">
        <v>223</v>
      </c>
      <c r="F482" s="65" t="s">
        <v>224</v>
      </c>
      <c r="G482" s="65" t="s">
        <v>66</v>
      </c>
      <c r="H482" s="65" t="s">
        <v>13</v>
      </c>
      <c r="I482" s="66" t="s">
        <v>12</v>
      </c>
      <c r="J482" s="67">
        <v>53819.4</v>
      </c>
      <c r="K482" s="68">
        <v>0</v>
      </c>
      <c r="L482" s="67">
        <v>0</v>
      </c>
      <c r="M482" s="69">
        <v>0</v>
      </c>
      <c r="N482" s="70">
        <v>0</v>
      </c>
      <c r="O482" s="70">
        <v>6989630.1100000003</v>
      </c>
      <c r="P482" s="70">
        <v>14395794.66</v>
      </c>
      <c r="Q482" s="70">
        <v>0</v>
      </c>
      <c r="R482" s="71">
        <v>429415111.64999998</v>
      </c>
      <c r="S482" s="70">
        <v>-0.05</v>
      </c>
      <c r="T482" s="70">
        <v>429415111.60000002</v>
      </c>
      <c r="U482" s="72" t="s">
        <v>0</v>
      </c>
    </row>
    <row r="483" spans="1:21" ht="14.45" customHeight="1">
      <c r="A483" s="64">
        <v>45751</v>
      </c>
      <c r="B483" s="64">
        <v>45747</v>
      </c>
      <c r="C483" s="64">
        <v>45747</v>
      </c>
      <c r="D483" s="65" t="s">
        <v>87</v>
      </c>
      <c r="E483" s="65" t="s">
        <v>223</v>
      </c>
      <c r="F483" s="65" t="s">
        <v>224</v>
      </c>
      <c r="G483" s="65" t="s">
        <v>66</v>
      </c>
      <c r="H483" s="65" t="s">
        <v>13</v>
      </c>
      <c r="I483" s="66" t="s">
        <v>12</v>
      </c>
      <c r="J483" s="67">
        <v>19842.09</v>
      </c>
      <c r="K483" s="68">
        <v>0</v>
      </c>
      <c r="L483" s="67">
        <v>0</v>
      </c>
      <c r="M483" s="69">
        <v>0</v>
      </c>
      <c r="N483" s="70">
        <v>0</v>
      </c>
      <c r="O483" s="70">
        <v>7009472.2000000002</v>
      </c>
      <c r="P483" s="70">
        <v>14395794.66</v>
      </c>
      <c r="Q483" s="70">
        <v>0</v>
      </c>
      <c r="R483" s="71">
        <v>429415111.64999998</v>
      </c>
      <c r="S483" s="70">
        <v>-0.05</v>
      </c>
      <c r="T483" s="70">
        <v>429415111.60000002</v>
      </c>
      <c r="U483" s="72" t="s">
        <v>0</v>
      </c>
    </row>
    <row r="484" spans="1:21" ht="14.45" customHeight="1">
      <c r="A484" s="64">
        <v>45751</v>
      </c>
      <c r="B484" s="64">
        <v>45747</v>
      </c>
      <c r="C484" s="64">
        <v>45747</v>
      </c>
      <c r="D484" s="65" t="s">
        <v>87</v>
      </c>
      <c r="E484" s="65" t="s">
        <v>223</v>
      </c>
      <c r="F484" s="65" t="s">
        <v>224</v>
      </c>
      <c r="G484" s="65" t="s">
        <v>71</v>
      </c>
      <c r="H484" s="65" t="s">
        <v>14</v>
      </c>
      <c r="I484" s="66" t="s">
        <v>12</v>
      </c>
      <c r="J484" s="67">
        <v>10500</v>
      </c>
      <c r="K484" s="68">
        <v>1</v>
      </c>
      <c r="L484" s="67">
        <v>-10500</v>
      </c>
      <c r="M484" s="69">
        <v>0</v>
      </c>
      <c r="N484" s="70">
        <v>0</v>
      </c>
      <c r="O484" s="70">
        <v>7009472.2000000002</v>
      </c>
      <c r="P484" s="70">
        <v>14406294.66</v>
      </c>
      <c r="Q484" s="70">
        <v>0</v>
      </c>
      <c r="R484" s="71">
        <v>429404611.64999998</v>
      </c>
      <c r="S484" s="70">
        <v>-0.05</v>
      </c>
      <c r="T484" s="70">
        <v>429404611.60000002</v>
      </c>
      <c r="U484" s="72" t="s">
        <v>0</v>
      </c>
    </row>
    <row r="485" spans="1:21" ht="14.45" customHeight="1">
      <c r="A485" s="64">
        <v>45754</v>
      </c>
      <c r="B485" s="64">
        <v>45754</v>
      </c>
      <c r="C485" s="64">
        <v>45754</v>
      </c>
      <c r="D485" s="65" t="s">
        <v>220</v>
      </c>
      <c r="E485" s="65" t="s">
        <v>221</v>
      </c>
      <c r="F485" s="65" t="s">
        <v>222</v>
      </c>
      <c r="G485" s="65" t="s">
        <v>66</v>
      </c>
      <c r="H485" s="65" t="s">
        <v>13</v>
      </c>
      <c r="I485" s="66" t="s">
        <v>12</v>
      </c>
      <c r="J485" s="67">
        <v>57922.46</v>
      </c>
      <c r="K485" s="68">
        <v>0</v>
      </c>
      <c r="L485" s="67">
        <v>0</v>
      </c>
      <c r="M485" s="69">
        <v>0</v>
      </c>
      <c r="N485" s="70">
        <v>0</v>
      </c>
      <c r="O485" s="70">
        <v>7067394.6600000001</v>
      </c>
      <c r="P485" s="70">
        <v>14406294.66</v>
      </c>
      <c r="Q485" s="70">
        <v>0</v>
      </c>
      <c r="R485" s="71">
        <v>429404611.64999998</v>
      </c>
      <c r="S485" s="70">
        <v>-0.05</v>
      </c>
      <c r="T485" s="70">
        <v>429404611.60000002</v>
      </c>
      <c r="U485" s="72" t="s">
        <v>0</v>
      </c>
    </row>
    <row r="486" spans="1:21" ht="14.45" customHeight="1">
      <c r="A486" s="64">
        <v>45754</v>
      </c>
      <c r="B486" s="64">
        <v>45747</v>
      </c>
      <c r="C486" s="64">
        <v>45747</v>
      </c>
      <c r="D486" s="65" t="s">
        <v>160</v>
      </c>
      <c r="E486" s="65" t="s">
        <v>65</v>
      </c>
      <c r="F486" s="65" t="s">
        <v>161</v>
      </c>
      <c r="G486" s="65" t="s">
        <v>66</v>
      </c>
      <c r="H486" s="65" t="s">
        <v>13</v>
      </c>
      <c r="I486" s="66" t="s">
        <v>12</v>
      </c>
      <c r="J486" s="67">
        <v>69790.94</v>
      </c>
      <c r="K486" s="68">
        <v>0</v>
      </c>
      <c r="L486" s="67">
        <v>0</v>
      </c>
      <c r="M486" s="69">
        <v>0</v>
      </c>
      <c r="N486" s="70">
        <v>0</v>
      </c>
      <c r="O486" s="70">
        <v>7137185.5999999996</v>
      </c>
      <c r="P486" s="70">
        <v>14406294.66</v>
      </c>
      <c r="Q486" s="70">
        <v>0</v>
      </c>
      <c r="R486" s="71">
        <v>429404611.64999998</v>
      </c>
      <c r="S486" s="70">
        <v>-0.05</v>
      </c>
      <c r="T486" s="70">
        <v>429404611.60000002</v>
      </c>
      <c r="U486" s="72" t="s">
        <v>0</v>
      </c>
    </row>
    <row r="487" spans="1:21" ht="14.45" customHeight="1">
      <c r="A487" s="64">
        <v>45754</v>
      </c>
      <c r="B487" s="64">
        <v>45747</v>
      </c>
      <c r="C487" s="64">
        <v>45747</v>
      </c>
      <c r="D487" s="65" t="s">
        <v>160</v>
      </c>
      <c r="E487" s="65" t="s">
        <v>65</v>
      </c>
      <c r="F487" s="65" t="s">
        <v>161</v>
      </c>
      <c r="G487" s="65" t="s">
        <v>71</v>
      </c>
      <c r="H487" s="65" t="s">
        <v>14</v>
      </c>
      <c r="I487" s="66" t="s">
        <v>12</v>
      </c>
      <c r="J487" s="67">
        <v>7500</v>
      </c>
      <c r="K487" s="68">
        <v>1</v>
      </c>
      <c r="L487" s="67">
        <v>-7500</v>
      </c>
      <c r="M487" s="69">
        <v>0</v>
      </c>
      <c r="N487" s="70">
        <v>0</v>
      </c>
      <c r="O487" s="70">
        <v>7137185.5999999996</v>
      </c>
      <c r="P487" s="70">
        <v>14413794.66</v>
      </c>
      <c r="Q487" s="70">
        <v>0</v>
      </c>
      <c r="R487" s="71">
        <v>429397111.64999998</v>
      </c>
      <c r="S487" s="70">
        <v>-0.05</v>
      </c>
      <c r="T487" s="70">
        <v>429397111.60000002</v>
      </c>
      <c r="U487" s="72" t="s">
        <v>0</v>
      </c>
    </row>
    <row r="488" spans="1:21" ht="14.45" customHeight="1">
      <c r="A488" s="64">
        <v>45754</v>
      </c>
      <c r="B488" s="64">
        <v>45747</v>
      </c>
      <c r="C488" s="64">
        <v>45747</v>
      </c>
      <c r="D488" s="65" t="s">
        <v>160</v>
      </c>
      <c r="E488" s="65" t="s">
        <v>298</v>
      </c>
      <c r="F488" s="65"/>
      <c r="G488" s="65" t="s">
        <v>71</v>
      </c>
      <c r="H488" s="65" t="s">
        <v>14</v>
      </c>
      <c r="I488" s="66" t="s">
        <v>12</v>
      </c>
      <c r="J488" s="67">
        <v>3813.33</v>
      </c>
      <c r="K488" s="68">
        <v>1</v>
      </c>
      <c r="L488" s="67">
        <v>-3813.33</v>
      </c>
      <c r="M488" s="69">
        <v>0</v>
      </c>
      <c r="N488" s="70">
        <v>0</v>
      </c>
      <c r="O488" s="70">
        <v>7137185.5999999996</v>
      </c>
      <c r="P488" s="70">
        <v>14417607.99</v>
      </c>
      <c r="Q488" s="70">
        <v>0</v>
      </c>
      <c r="R488" s="71">
        <v>429393298.31999999</v>
      </c>
      <c r="S488" s="70">
        <v>-0.05</v>
      </c>
      <c r="T488" s="70">
        <v>429393298.26999998</v>
      </c>
      <c r="U488" s="72" t="s">
        <v>0</v>
      </c>
    </row>
    <row r="489" spans="1:21" ht="14.45" customHeight="1">
      <c r="A489" s="64">
        <v>45754</v>
      </c>
      <c r="B489" s="64">
        <v>45747</v>
      </c>
      <c r="C489" s="64">
        <v>45747</v>
      </c>
      <c r="D489" s="65" t="s">
        <v>160</v>
      </c>
      <c r="E489" s="65" t="s">
        <v>298</v>
      </c>
      <c r="F489" s="65"/>
      <c r="G489" s="65" t="s">
        <v>66</v>
      </c>
      <c r="H489" s="65" t="s">
        <v>13</v>
      </c>
      <c r="I489" s="66" t="s">
        <v>12</v>
      </c>
      <c r="J489" s="67">
        <v>13011.07</v>
      </c>
      <c r="K489" s="68">
        <v>0</v>
      </c>
      <c r="L489" s="67">
        <v>0</v>
      </c>
      <c r="M489" s="69">
        <v>0</v>
      </c>
      <c r="N489" s="70">
        <v>0</v>
      </c>
      <c r="O489" s="70">
        <v>7150196.6699999999</v>
      </c>
      <c r="P489" s="70">
        <v>14417607.99</v>
      </c>
      <c r="Q489" s="70">
        <v>0</v>
      </c>
      <c r="R489" s="71">
        <v>429393298.31999999</v>
      </c>
      <c r="S489" s="70">
        <v>-0.05</v>
      </c>
      <c r="T489" s="70">
        <v>429393298.26999998</v>
      </c>
      <c r="U489" s="72" t="s">
        <v>0</v>
      </c>
    </row>
    <row r="490" spans="1:21" ht="14.45" customHeight="1">
      <c r="A490" s="64">
        <v>45754</v>
      </c>
      <c r="B490" s="64">
        <v>45747</v>
      </c>
      <c r="C490" s="64">
        <v>45747</v>
      </c>
      <c r="D490" s="65" t="s">
        <v>160</v>
      </c>
      <c r="E490" s="65" t="s">
        <v>298</v>
      </c>
      <c r="F490" s="65"/>
      <c r="G490" s="65" t="s">
        <v>71</v>
      </c>
      <c r="H490" s="65" t="s">
        <v>14</v>
      </c>
      <c r="I490" s="66" t="s">
        <v>12</v>
      </c>
      <c r="J490" s="67">
        <v>1906.66</v>
      </c>
      <c r="K490" s="68">
        <v>1</v>
      </c>
      <c r="L490" s="67">
        <v>-1906.66</v>
      </c>
      <c r="M490" s="69">
        <v>0</v>
      </c>
      <c r="N490" s="70">
        <v>0</v>
      </c>
      <c r="O490" s="70">
        <v>7150196.6699999999</v>
      </c>
      <c r="P490" s="70">
        <v>14419514.65</v>
      </c>
      <c r="Q490" s="70">
        <v>0</v>
      </c>
      <c r="R490" s="71">
        <v>429391391.66000003</v>
      </c>
      <c r="S490" s="70">
        <v>-0.05</v>
      </c>
      <c r="T490" s="70">
        <v>429391391.61000001</v>
      </c>
      <c r="U490" s="72" t="s">
        <v>0</v>
      </c>
    </row>
    <row r="491" spans="1:21" ht="14.45" customHeight="1">
      <c r="A491" s="64">
        <v>45754</v>
      </c>
      <c r="B491" s="64">
        <v>45747</v>
      </c>
      <c r="C491" s="64">
        <v>45747</v>
      </c>
      <c r="D491" s="65" t="s">
        <v>160</v>
      </c>
      <c r="E491" s="65" t="s">
        <v>298</v>
      </c>
      <c r="F491" s="65"/>
      <c r="G491" s="65" t="s">
        <v>66</v>
      </c>
      <c r="H491" s="65" t="s">
        <v>13</v>
      </c>
      <c r="I491" s="66" t="s">
        <v>12</v>
      </c>
      <c r="J491" s="67">
        <v>11479.25</v>
      </c>
      <c r="K491" s="68">
        <v>0</v>
      </c>
      <c r="L491" s="67">
        <v>0</v>
      </c>
      <c r="M491" s="69">
        <v>0</v>
      </c>
      <c r="N491" s="70">
        <v>0</v>
      </c>
      <c r="O491" s="70">
        <v>7161675.9199999999</v>
      </c>
      <c r="P491" s="70">
        <v>14419514.65</v>
      </c>
      <c r="Q491" s="70">
        <v>0</v>
      </c>
      <c r="R491" s="71">
        <v>429391391.66000003</v>
      </c>
      <c r="S491" s="70">
        <v>-0.05</v>
      </c>
      <c r="T491" s="70">
        <v>429391391.61000001</v>
      </c>
      <c r="U491" s="72" t="s">
        <v>0</v>
      </c>
    </row>
    <row r="492" spans="1:21" ht="14.45" customHeight="1">
      <c r="A492" s="64">
        <v>45754</v>
      </c>
      <c r="B492" s="64">
        <v>45747</v>
      </c>
      <c r="C492" s="64">
        <v>45747</v>
      </c>
      <c r="D492" s="65" t="s">
        <v>259</v>
      </c>
      <c r="E492" s="65" t="s">
        <v>179</v>
      </c>
      <c r="F492" s="65" t="s">
        <v>261</v>
      </c>
      <c r="G492" s="65" t="s">
        <v>66</v>
      </c>
      <c r="H492" s="65" t="s">
        <v>13</v>
      </c>
      <c r="I492" s="66" t="s">
        <v>12</v>
      </c>
      <c r="J492" s="67">
        <v>336350.66</v>
      </c>
      <c r="K492" s="68">
        <v>0</v>
      </c>
      <c r="L492" s="67">
        <v>0</v>
      </c>
      <c r="M492" s="69">
        <v>0</v>
      </c>
      <c r="N492" s="70">
        <v>0</v>
      </c>
      <c r="O492" s="70">
        <v>7498026.5800000001</v>
      </c>
      <c r="P492" s="70">
        <v>14419514.65</v>
      </c>
      <c r="Q492" s="70">
        <v>0</v>
      </c>
      <c r="R492" s="71">
        <v>429391391.66000003</v>
      </c>
      <c r="S492" s="70">
        <v>-0.05</v>
      </c>
      <c r="T492" s="70">
        <v>429391391.61000001</v>
      </c>
      <c r="U492" s="72" t="s">
        <v>0</v>
      </c>
    </row>
    <row r="493" spans="1:21" ht="14.45" customHeight="1">
      <c r="A493" s="64">
        <v>45754</v>
      </c>
      <c r="B493" s="64">
        <v>45747</v>
      </c>
      <c r="C493" s="64">
        <v>45747</v>
      </c>
      <c r="D493" s="65" t="s">
        <v>160</v>
      </c>
      <c r="E493" s="65" t="s">
        <v>298</v>
      </c>
      <c r="F493" s="65"/>
      <c r="G493" s="65" t="s">
        <v>71</v>
      </c>
      <c r="H493" s="65" t="s">
        <v>14</v>
      </c>
      <c r="I493" s="66" t="s">
        <v>12</v>
      </c>
      <c r="J493" s="67">
        <v>3303.96</v>
      </c>
      <c r="K493" s="68">
        <v>1</v>
      </c>
      <c r="L493" s="67">
        <v>-3303.96</v>
      </c>
      <c r="M493" s="69">
        <v>0</v>
      </c>
      <c r="N493" s="70">
        <v>0</v>
      </c>
      <c r="O493" s="70">
        <v>7498026.5800000001</v>
      </c>
      <c r="P493" s="70">
        <v>14422818.609999999</v>
      </c>
      <c r="Q493" s="70">
        <v>0</v>
      </c>
      <c r="R493" s="71">
        <v>429388087.69999999</v>
      </c>
      <c r="S493" s="70">
        <v>-0.05</v>
      </c>
      <c r="T493" s="70">
        <v>429388087.64999998</v>
      </c>
      <c r="U493" s="72" t="s">
        <v>0</v>
      </c>
    </row>
    <row r="494" spans="1:21" ht="14.45" customHeight="1">
      <c r="A494" s="64">
        <v>45754</v>
      </c>
      <c r="B494" s="64">
        <v>45747</v>
      </c>
      <c r="C494" s="64">
        <v>45747</v>
      </c>
      <c r="D494" s="65" t="s">
        <v>259</v>
      </c>
      <c r="E494" s="65" t="s">
        <v>260</v>
      </c>
      <c r="F494" s="65" t="s">
        <v>261</v>
      </c>
      <c r="G494" s="65" t="s">
        <v>71</v>
      </c>
      <c r="H494" s="65" t="s">
        <v>14</v>
      </c>
      <c r="I494" s="66" t="s">
        <v>12</v>
      </c>
      <c r="J494" s="67">
        <v>47794</v>
      </c>
      <c r="K494" s="68">
        <v>1</v>
      </c>
      <c r="L494" s="67">
        <v>-47794</v>
      </c>
      <c r="M494" s="69">
        <v>0</v>
      </c>
      <c r="N494" s="70">
        <v>0</v>
      </c>
      <c r="O494" s="70">
        <v>7498026.5800000001</v>
      </c>
      <c r="P494" s="70">
        <v>14470612.609999999</v>
      </c>
      <c r="Q494" s="70">
        <v>0</v>
      </c>
      <c r="R494" s="71">
        <v>429340293.69999999</v>
      </c>
      <c r="S494" s="70">
        <v>-0.05</v>
      </c>
      <c r="T494" s="70">
        <v>429340293.64999998</v>
      </c>
      <c r="U494" s="72" t="s">
        <v>0</v>
      </c>
    </row>
    <row r="495" spans="1:21" ht="14.45" customHeight="1">
      <c r="A495" s="64">
        <v>45754</v>
      </c>
      <c r="B495" s="64">
        <v>45735</v>
      </c>
      <c r="C495" s="64">
        <v>45735</v>
      </c>
      <c r="D495" s="65" t="s">
        <v>351</v>
      </c>
      <c r="E495" s="65" t="s">
        <v>0</v>
      </c>
      <c r="F495" s="65"/>
      <c r="G495" s="65" t="s">
        <v>48</v>
      </c>
      <c r="H495" s="65" t="s">
        <v>14</v>
      </c>
      <c r="I495" s="66" t="s">
        <v>12</v>
      </c>
      <c r="J495" s="67">
        <v>76.56</v>
      </c>
      <c r="K495" s="68">
        <v>0</v>
      </c>
      <c r="L495" s="67">
        <v>0</v>
      </c>
      <c r="M495" s="69">
        <v>0</v>
      </c>
      <c r="N495" s="70">
        <v>0</v>
      </c>
      <c r="O495" s="70">
        <v>7498026.5800000001</v>
      </c>
      <c r="P495" s="70">
        <v>14470689.17</v>
      </c>
      <c r="Q495" s="70">
        <v>0</v>
      </c>
      <c r="R495" s="71">
        <v>429340293.69999999</v>
      </c>
      <c r="S495" s="70">
        <v>-0.05</v>
      </c>
      <c r="T495" s="70">
        <v>429340293.64999998</v>
      </c>
      <c r="U495" s="72" t="s">
        <v>0</v>
      </c>
    </row>
    <row r="496" spans="1:21" ht="14.45" customHeight="1">
      <c r="A496" s="64">
        <v>45754</v>
      </c>
      <c r="B496" s="64">
        <v>45735</v>
      </c>
      <c r="C496" s="64">
        <v>45735</v>
      </c>
      <c r="D496" s="65" t="s">
        <v>352</v>
      </c>
      <c r="E496" s="65" t="s">
        <v>0</v>
      </c>
      <c r="F496" s="65"/>
      <c r="G496" s="65" t="s">
        <v>48</v>
      </c>
      <c r="H496" s="65" t="s">
        <v>13</v>
      </c>
      <c r="I496" s="66" t="s">
        <v>12</v>
      </c>
      <c r="J496" s="67">
        <v>889.67</v>
      </c>
      <c r="K496" s="68">
        <v>0</v>
      </c>
      <c r="L496" s="67">
        <v>0</v>
      </c>
      <c r="M496" s="69">
        <v>0</v>
      </c>
      <c r="N496" s="70">
        <v>0</v>
      </c>
      <c r="O496" s="70">
        <v>7498916.25</v>
      </c>
      <c r="P496" s="70">
        <v>14470689.17</v>
      </c>
      <c r="Q496" s="70">
        <v>0</v>
      </c>
      <c r="R496" s="71">
        <v>429340293.69999999</v>
      </c>
      <c r="S496" s="70">
        <v>-0.05</v>
      </c>
      <c r="T496" s="70">
        <v>429340293.64999998</v>
      </c>
      <c r="U496" s="72" t="s">
        <v>0</v>
      </c>
    </row>
    <row r="497" spans="1:21" ht="14.45" customHeight="1">
      <c r="A497" s="64">
        <v>45754</v>
      </c>
      <c r="B497" s="64">
        <v>45740</v>
      </c>
      <c r="C497" s="64">
        <v>45740</v>
      </c>
      <c r="D497" s="65" t="s">
        <v>353</v>
      </c>
      <c r="E497" s="65" t="s">
        <v>0</v>
      </c>
      <c r="F497" s="65"/>
      <c r="G497" s="65" t="s">
        <v>48</v>
      </c>
      <c r="H497" s="65" t="s">
        <v>13</v>
      </c>
      <c r="I497" s="66" t="s">
        <v>12</v>
      </c>
      <c r="J497" s="67">
        <v>1767.18</v>
      </c>
      <c r="K497" s="68">
        <v>0</v>
      </c>
      <c r="L497" s="67">
        <v>0</v>
      </c>
      <c r="M497" s="69">
        <v>0</v>
      </c>
      <c r="N497" s="70">
        <v>0</v>
      </c>
      <c r="O497" s="70">
        <v>7500683.4299999997</v>
      </c>
      <c r="P497" s="70">
        <v>14470689.17</v>
      </c>
      <c r="Q497" s="70">
        <v>0</v>
      </c>
      <c r="R497" s="71">
        <v>429340293.69999999</v>
      </c>
      <c r="S497" s="70">
        <v>-0.05</v>
      </c>
      <c r="T497" s="70">
        <v>429340293.64999998</v>
      </c>
      <c r="U497" s="72" t="s">
        <v>0</v>
      </c>
    </row>
    <row r="498" spans="1:21" ht="14.45" customHeight="1">
      <c r="A498" s="64">
        <v>45754</v>
      </c>
      <c r="B498" s="64">
        <v>45748</v>
      </c>
      <c r="C498" s="64">
        <v>45748</v>
      </c>
      <c r="D498" s="65" t="s">
        <v>354</v>
      </c>
      <c r="E498" s="65" t="s">
        <v>0</v>
      </c>
      <c r="F498" s="65"/>
      <c r="G498" s="65" t="s">
        <v>48</v>
      </c>
      <c r="H498" s="65" t="s">
        <v>13</v>
      </c>
      <c r="I498" s="66" t="s">
        <v>12</v>
      </c>
      <c r="J498" s="67">
        <v>50766.81</v>
      </c>
      <c r="K498" s="68">
        <v>0</v>
      </c>
      <c r="L498" s="67">
        <v>0</v>
      </c>
      <c r="M498" s="69">
        <v>0</v>
      </c>
      <c r="N498" s="70">
        <v>0</v>
      </c>
      <c r="O498" s="70">
        <v>7551450.2400000002</v>
      </c>
      <c r="P498" s="70">
        <v>14470689.17</v>
      </c>
      <c r="Q498" s="70">
        <v>0</v>
      </c>
      <c r="R498" s="71">
        <v>429340293.69999999</v>
      </c>
      <c r="S498" s="70">
        <v>-0.05</v>
      </c>
      <c r="T498" s="70">
        <v>429340293.64999998</v>
      </c>
      <c r="U498" s="72" t="s">
        <v>0</v>
      </c>
    </row>
    <row r="499" spans="1:21" ht="14.45" customHeight="1">
      <c r="A499" s="64">
        <v>45754</v>
      </c>
      <c r="B499" s="64">
        <v>45747</v>
      </c>
      <c r="C499" s="64">
        <v>45747</v>
      </c>
      <c r="D499" s="65" t="s">
        <v>355</v>
      </c>
      <c r="E499" s="65" t="s">
        <v>0</v>
      </c>
      <c r="F499" s="65"/>
      <c r="G499" s="65" t="s">
        <v>48</v>
      </c>
      <c r="H499" s="65" t="s">
        <v>13</v>
      </c>
      <c r="I499" s="66" t="s">
        <v>12</v>
      </c>
      <c r="J499" s="67">
        <v>1046.8499999999999</v>
      </c>
      <c r="K499" s="68">
        <v>0</v>
      </c>
      <c r="L499" s="67">
        <v>0</v>
      </c>
      <c r="M499" s="69">
        <v>0</v>
      </c>
      <c r="N499" s="70">
        <v>0</v>
      </c>
      <c r="O499" s="70">
        <v>7552497.0899999999</v>
      </c>
      <c r="P499" s="70">
        <v>14470689.17</v>
      </c>
      <c r="Q499" s="70">
        <v>0</v>
      </c>
      <c r="R499" s="71">
        <v>429340293.69999999</v>
      </c>
      <c r="S499" s="70">
        <v>-0.05</v>
      </c>
      <c r="T499" s="70">
        <v>429340293.64999998</v>
      </c>
      <c r="U499" s="72" t="s">
        <v>0</v>
      </c>
    </row>
    <row r="500" spans="1:21" ht="14.45" customHeight="1">
      <c r="A500" s="64">
        <v>45754</v>
      </c>
      <c r="B500" s="64">
        <v>45747</v>
      </c>
      <c r="C500" s="64">
        <v>45747</v>
      </c>
      <c r="D500" s="65" t="s">
        <v>356</v>
      </c>
      <c r="E500" s="65" t="s">
        <v>0</v>
      </c>
      <c r="F500" s="65"/>
      <c r="G500" s="65" t="s">
        <v>48</v>
      </c>
      <c r="H500" s="65" t="s">
        <v>13</v>
      </c>
      <c r="I500" s="66" t="s">
        <v>12</v>
      </c>
      <c r="J500" s="67">
        <v>1910.98</v>
      </c>
      <c r="K500" s="68">
        <v>0</v>
      </c>
      <c r="L500" s="67">
        <v>0</v>
      </c>
      <c r="M500" s="69">
        <v>0</v>
      </c>
      <c r="N500" s="70">
        <v>0</v>
      </c>
      <c r="O500" s="70">
        <v>7554408.0700000003</v>
      </c>
      <c r="P500" s="70">
        <v>14470689.17</v>
      </c>
      <c r="Q500" s="70">
        <v>0</v>
      </c>
      <c r="R500" s="71">
        <v>429340293.69999999</v>
      </c>
      <c r="S500" s="70">
        <v>-0.05</v>
      </c>
      <c r="T500" s="70">
        <v>429340293.64999998</v>
      </c>
      <c r="U500" s="72" t="s">
        <v>0</v>
      </c>
    </row>
    <row r="501" spans="1:21" ht="14.45" customHeight="1">
      <c r="A501" s="64">
        <v>45754</v>
      </c>
      <c r="B501" s="64">
        <v>45747</v>
      </c>
      <c r="C501" s="64">
        <v>45747</v>
      </c>
      <c r="D501" s="65" t="s">
        <v>357</v>
      </c>
      <c r="E501" s="65" t="s">
        <v>0</v>
      </c>
      <c r="F501" s="65"/>
      <c r="G501" s="65" t="s">
        <v>48</v>
      </c>
      <c r="H501" s="65" t="s">
        <v>13</v>
      </c>
      <c r="I501" s="66" t="s">
        <v>12</v>
      </c>
      <c r="J501" s="67">
        <v>76156.34</v>
      </c>
      <c r="K501" s="68">
        <v>0</v>
      </c>
      <c r="L501" s="67">
        <v>0</v>
      </c>
      <c r="M501" s="69">
        <v>0</v>
      </c>
      <c r="N501" s="70">
        <v>0</v>
      </c>
      <c r="O501" s="70">
        <v>7630564.4100000001</v>
      </c>
      <c r="P501" s="70">
        <v>14470689.17</v>
      </c>
      <c r="Q501" s="70">
        <v>0</v>
      </c>
      <c r="R501" s="71">
        <v>429340293.69999999</v>
      </c>
      <c r="S501" s="70">
        <v>-0.05</v>
      </c>
      <c r="T501" s="70">
        <v>429340293.64999998</v>
      </c>
      <c r="U501" s="72" t="s">
        <v>0</v>
      </c>
    </row>
    <row r="502" spans="1:21" ht="14.45" customHeight="1">
      <c r="A502" s="64">
        <v>45754</v>
      </c>
      <c r="B502" s="64">
        <v>45747</v>
      </c>
      <c r="C502" s="64">
        <v>45747</v>
      </c>
      <c r="D502" s="65" t="s">
        <v>358</v>
      </c>
      <c r="E502" s="65" t="s">
        <v>0</v>
      </c>
      <c r="F502" s="65"/>
      <c r="G502" s="65" t="s">
        <v>48</v>
      </c>
      <c r="H502" s="65" t="s">
        <v>13</v>
      </c>
      <c r="I502" s="66" t="s">
        <v>12</v>
      </c>
      <c r="J502" s="67">
        <v>12747.89</v>
      </c>
      <c r="K502" s="68">
        <v>0</v>
      </c>
      <c r="L502" s="67">
        <v>0</v>
      </c>
      <c r="M502" s="69">
        <v>0</v>
      </c>
      <c r="N502" s="70">
        <v>0</v>
      </c>
      <c r="O502" s="70">
        <v>7643312.2999999998</v>
      </c>
      <c r="P502" s="70">
        <v>14470689.17</v>
      </c>
      <c r="Q502" s="70">
        <v>0</v>
      </c>
      <c r="R502" s="71">
        <v>429340293.69999999</v>
      </c>
      <c r="S502" s="70">
        <v>-0.05</v>
      </c>
      <c r="T502" s="70">
        <v>429340293.64999998</v>
      </c>
      <c r="U502" s="72" t="s">
        <v>0</v>
      </c>
    </row>
    <row r="503" spans="1:21" ht="14.45" customHeight="1">
      <c r="A503" s="64">
        <v>45754</v>
      </c>
      <c r="B503" s="64">
        <v>45747</v>
      </c>
      <c r="C503" s="64">
        <v>45747</v>
      </c>
      <c r="D503" s="65" t="s">
        <v>359</v>
      </c>
      <c r="E503" s="65" t="s">
        <v>0</v>
      </c>
      <c r="F503" s="65"/>
      <c r="G503" s="65" t="s">
        <v>48</v>
      </c>
      <c r="H503" s="65" t="s">
        <v>13</v>
      </c>
      <c r="I503" s="66" t="s">
        <v>12</v>
      </c>
      <c r="J503" s="67">
        <v>2277.9</v>
      </c>
      <c r="K503" s="68">
        <v>0</v>
      </c>
      <c r="L503" s="67">
        <v>0</v>
      </c>
      <c r="M503" s="69">
        <v>0</v>
      </c>
      <c r="N503" s="70">
        <v>0</v>
      </c>
      <c r="O503" s="70">
        <v>7645590.2000000002</v>
      </c>
      <c r="P503" s="70">
        <v>14470689.17</v>
      </c>
      <c r="Q503" s="70">
        <v>0</v>
      </c>
      <c r="R503" s="71">
        <v>429340293.69999999</v>
      </c>
      <c r="S503" s="70">
        <v>-0.05</v>
      </c>
      <c r="T503" s="70">
        <v>429340293.64999998</v>
      </c>
      <c r="U503" s="72" t="s">
        <v>0</v>
      </c>
    </row>
    <row r="504" spans="1:21" ht="14.45" customHeight="1">
      <c r="A504" s="64">
        <v>45754</v>
      </c>
      <c r="B504" s="64">
        <v>45747</v>
      </c>
      <c r="C504" s="64">
        <v>45747</v>
      </c>
      <c r="D504" s="65" t="s">
        <v>360</v>
      </c>
      <c r="E504" s="65" t="s">
        <v>0</v>
      </c>
      <c r="F504" s="65"/>
      <c r="G504" s="65" t="s">
        <v>48</v>
      </c>
      <c r="H504" s="65" t="s">
        <v>13</v>
      </c>
      <c r="I504" s="66" t="s">
        <v>12</v>
      </c>
      <c r="J504" s="67">
        <v>2102.23</v>
      </c>
      <c r="K504" s="68">
        <v>0</v>
      </c>
      <c r="L504" s="67">
        <v>0</v>
      </c>
      <c r="M504" s="69">
        <v>0</v>
      </c>
      <c r="N504" s="70">
        <v>0</v>
      </c>
      <c r="O504" s="70">
        <v>7647692.4299999997</v>
      </c>
      <c r="P504" s="70">
        <v>14470689.17</v>
      </c>
      <c r="Q504" s="70">
        <v>0</v>
      </c>
      <c r="R504" s="71">
        <v>429340293.69999999</v>
      </c>
      <c r="S504" s="70">
        <v>-0.05</v>
      </c>
      <c r="T504" s="70">
        <v>429340293.64999998</v>
      </c>
      <c r="U504" s="72" t="s">
        <v>0</v>
      </c>
    </row>
    <row r="505" spans="1:21" ht="14.45" customHeight="1">
      <c r="A505" s="64">
        <v>45754</v>
      </c>
      <c r="B505" s="64">
        <v>45747</v>
      </c>
      <c r="C505" s="64">
        <v>45747</v>
      </c>
      <c r="D505" s="65" t="s">
        <v>361</v>
      </c>
      <c r="E505" s="65" t="s">
        <v>0</v>
      </c>
      <c r="F505" s="65"/>
      <c r="G505" s="65" t="s">
        <v>48</v>
      </c>
      <c r="H505" s="65" t="s">
        <v>13</v>
      </c>
      <c r="I505" s="66" t="s">
        <v>12</v>
      </c>
      <c r="J505" s="67">
        <v>3872.31</v>
      </c>
      <c r="K505" s="68">
        <v>0</v>
      </c>
      <c r="L505" s="67">
        <v>0</v>
      </c>
      <c r="M505" s="69">
        <v>0</v>
      </c>
      <c r="N505" s="70">
        <v>0</v>
      </c>
      <c r="O505" s="70">
        <v>7651564.7400000002</v>
      </c>
      <c r="P505" s="70">
        <v>14470689.17</v>
      </c>
      <c r="Q505" s="70">
        <v>0</v>
      </c>
      <c r="R505" s="71">
        <v>429340293.69999999</v>
      </c>
      <c r="S505" s="70">
        <v>-0.05</v>
      </c>
      <c r="T505" s="70">
        <v>429340293.64999998</v>
      </c>
      <c r="U505" s="72" t="s">
        <v>0</v>
      </c>
    </row>
    <row r="506" spans="1:21" ht="14.45" customHeight="1">
      <c r="A506" s="64">
        <v>45754</v>
      </c>
      <c r="B506" s="64">
        <v>45747</v>
      </c>
      <c r="C506" s="64">
        <v>45747</v>
      </c>
      <c r="D506" s="65" t="s">
        <v>362</v>
      </c>
      <c r="E506" s="65" t="s">
        <v>0</v>
      </c>
      <c r="F506" s="65"/>
      <c r="G506" s="65" t="s">
        <v>48</v>
      </c>
      <c r="H506" s="65" t="s">
        <v>13</v>
      </c>
      <c r="I506" s="66" t="s">
        <v>12</v>
      </c>
      <c r="J506" s="67">
        <v>812.63</v>
      </c>
      <c r="K506" s="68">
        <v>0</v>
      </c>
      <c r="L506" s="67">
        <v>0</v>
      </c>
      <c r="M506" s="69">
        <v>0</v>
      </c>
      <c r="N506" s="70">
        <v>0</v>
      </c>
      <c r="O506" s="70">
        <v>7652377.3700000001</v>
      </c>
      <c r="P506" s="70">
        <v>14470689.17</v>
      </c>
      <c r="Q506" s="70">
        <v>0</v>
      </c>
      <c r="R506" s="71">
        <v>429340293.69999999</v>
      </c>
      <c r="S506" s="70">
        <v>-0.05</v>
      </c>
      <c r="T506" s="70">
        <v>429340293.64999998</v>
      </c>
      <c r="U506" s="72" t="s">
        <v>0</v>
      </c>
    </row>
    <row r="507" spans="1:21" ht="14.45" customHeight="1">
      <c r="A507" s="64">
        <v>45754</v>
      </c>
      <c r="B507" s="64">
        <v>45747</v>
      </c>
      <c r="C507" s="64">
        <v>45747</v>
      </c>
      <c r="D507" s="65" t="s">
        <v>363</v>
      </c>
      <c r="E507" s="65" t="s">
        <v>0</v>
      </c>
      <c r="F507" s="65"/>
      <c r="G507" s="65" t="s">
        <v>48</v>
      </c>
      <c r="H507" s="65" t="s">
        <v>14</v>
      </c>
      <c r="I507" s="66" t="s">
        <v>12</v>
      </c>
      <c r="J507" s="67">
        <v>38.29</v>
      </c>
      <c r="K507" s="68">
        <v>0</v>
      </c>
      <c r="L507" s="67">
        <v>0</v>
      </c>
      <c r="M507" s="69">
        <v>0</v>
      </c>
      <c r="N507" s="70">
        <v>0</v>
      </c>
      <c r="O507" s="70">
        <v>7652377.3700000001</v>
      </c>
      <c r="P507" s="70">
        <v>14470727.460000001</v>
      </c>
      <c r="Q507" s="70">
        <v>0</v>
      </c>
      <c r="R507" s="71">
        <v>429340293.69999999</v>
      </c>
      <c r="S507" s="70">
        <v>-0.05</v>
      </c>
      <c r="T507" s="70">
        <v>429340293.64999998</v>
      </c>
      <c r="U507" s="72" t="s">
        <v>0</v>
      </c>
    </row>
    <row r="508" spans="1:21" ht="14.45" customHeight="1">
      <c r="A508" s="64">
        <v>45754</v>
      </c>
      <c r="B508" s="64">
        <v>45719</v>
      </c>
      <c r="C508" s="64">
        <v>45719</v>
      </c>
      <c r="D508" s="65" t="s">
        <v>114</v>
      </c>
      <c r="E508" s="65" t="s">
        <v>115</v>
      </c>
      <c r="F508" s="65"/>
      <c r="G508" s="65" t="s">
        <v>66</v>
      </c>
      <c r="H508" s="65" t="s">
        <v>13</v>
      </c>
      <c r="I508" s="66" t="s">
        <v>12</v>
      </c>
      <c r="J508" s="67">
        <v>3608.1</v>
      </c>
      <c r="K508" s="68">
        <v>0</v>
      </c>
      <c r="L508" s="67">
        <v>0</v>
      </c>
      <c r="M508" s="69">
        <v>0</v>
      </c>
      <c r="N508" s="70">
        <v>0</v>
      </c>
      <c r="O508" s="70">
        <v>7655985.4699999997</v>
      </c>
      <c r="P508" s="70">
        <v>14470727.460000001</v>
      </c>
      <c r="Q508" s="70">
        <v>0</v>
      </c>
      <c r="R508" s="71">
        <v>429340293.69999999</v>
      </c>
      <c r="S508" s="70">
        <v>-0.05</v>
      </c>
      <c r="T508" s="70">
        <v>429340293.64999998</v>
      </c>
      <c r="U508" s="72" t="s">
        <v>0</v>
      </c>
    </row>
    <row r="509" spans="1:21" ht="14.45" customHeight="1">
      <c r="A509" s="64">
        <v>45754</v>
      </c>
      <c r="B509" s="64">
        <v>45719</v>
      </c>
      <c r="C509" s="64">
        <v>45719</v>
      </c>
      <c r="D509" s="65" t="s">
        <v>114</v>
      </c>
      <c r="E509" s="65" t="s">
        <v>251</v>
      </c>
      <c r="F509" s="65"/>
      <c r="G509" s="65" t="s">
        <v>66</v>
      </c>
      <c r="H509" s="65" t="s">
        <v>13</v>
      </c>
      <c r="I509" s="66" t="s">
        <v>12</v>
      </c>
      <c r="J509" s="67">
        <v>26772.17</v>
      </c>
      <c r="K509" s="68">
        <v>0</v>
      </c>
      <c r="L509" s="67">
        <v>0</v>
      </c>
      <c r="M509" s="69">
        <v>0</v>
      </c>
      <c r="N509" s="70">
        <v>0</v>
      </c>
      <c r="O509" s="70">
        <v>7682757.6399999997</v>
      </c>
      <c r="P509" s="70">
        <v>14470727.460000001</v>
      </c>
      <c r="Q509" s="70">
        <v>0</v>
      </c>
      <c r="R509" s="71">
        <v>429340293.69999999</v>
      </c>
      <c r="S509" s="70">
        <v>-0.05</v>
      </c>
      <c r="T509" s="70">
        <v>429340293.64999998</v>
      </c>
      <c r="U509" s="72" t="s">
        <v>0</v>
      </c>
    </row>
    <row r="510" spans="1:21" ht="14.45" customHeight="1">
      <c r="A510" s="64">
        <v>45754</v>
      </c>
      <c r="B510" s="64">
        <v>45719</v>
      </c>
      <c r="C510" s="64">
        <v>45719</v>
      </c>
      <c r="D510" s="65" t="s">
        <v>78</v>
      </c>
      <c r="E510" s="65" t="s">
        <v>65</v>
      </c>
      <c r="F510" s="65" t="s">
        <v>79</v>
      </c>
      <c r="G510" s="65" t="s">
        <v>66</v>
      </c>
      <c r="H510" s="65" t="s">
        <v>13</v>
      </c>
      <c r="I510" s="66" t="s">
        <v>12</v>
      </c>
      <c r="J510" s="67">
        <v>39781.79</v>
      </c>
      <c r="K510" s="68">
        <v>0</v>
      </c>
      <c r="L510" s="67">
        <v>0</v>
      </c>
      <c r="M510" s="69">
        <v>0</v>
      </c>
      <c r="N510" s="70">
        <v>0</v>
      </c>
      <c r="O510" s="70">
        <v>7722539.4299999997</v>
      </c>
      <c r="P510" s="70">
        <v>14470727.460000001</v>
      </c>
      <c r="Q510" s="70">
        <v>0</v>
      </c>
      <c r="R510" s="71">
        <v>429340293.69999999</v>
      </c>
      <c r="S510" s="70">
        <v>-0.05</v>
      </c>
      <c r="T510" s="70">
        <v>429340293.64999998</v>
      </c>
      <c r="U510" s="72" t="s">
        <v>0</v>
      </c>
    </row>
    <row r="511" spans="1:21" ht="14.45" customHeight="1">
      <c r="A511" s="64">
        <v>45754</v>
      </c>
      <c r="B511" s="64">
        <v>45722</v>
      </c>
      <c r="C511" s="64">
        <v>45722</v>
      </c>
      <c r="D511" s="65" t="s">
        <v>220</v>
      </c>
      <c r="E511" s="65" t="s">
        <v>221</v>
      </c>
      <c r="F511" s="65" t="s">
        <v>222</v>
      </c>
      <c r="G511" s="65" t="s">
        <v>66</v>
      </c>
      <c r="H511" s="65" t="s">
        <v>13</v>
      </c>
      <c r="I511" s="66" t="s">
        <v>12</v>
      </c>
      <c r="J511" s="67">
        <v>50673.24</v>
      </c>
      <c r="K511" s="68">
        <v>0</v>
      </c>
      <c r="L511" s="67">
        <v>0</v>
      </c>
      <c r="M511" s="69">
        <v>0</v>
      </c>
      <c r="N511" s="70">
        <v>0</v>
      </c>
      <c r="O511" s="70">
        <v>7773212.6699999999</v>
      </c>
      <c r="P511" s="70">
        <v>14470727.460000001</v>
      </c>
      <c r="Q511" s="70">
        <v>0</v>
      </c>
      <c r="R511" s="71">
        <v>429340293.69999999</v>
      </c>
      <c r="S511" s="70">
        <v>-0.05</v>
      </c>
      <c r="T511" s="70">
        <v>429340293.64999998</v>
      </c>
      <c r="U511" s="72" t="s">
        <v>0</v>
      </c>
    </row>
    <row r="512" spans="1:21" ht="14.45" customHeight="1">
      <c r="A512" s="64">
        <v>45754</v>
      </c>
      <c r="B512" s="64">
        <v>45719</v>
      </c>
      <c r="C512" s="64">
        <v>45719</v>
      </c>
      <c r="D512" s="65" t="s">
        <v>61</v>
      </c>
      <c r="E512" s="65" t="s">
        <v>62</v>
      </c>
      <c r="F512" s="65" t="s">
        <v>63</v>
      </c>
      <c r="G512" s="65" t="s">
        <v>66</v>
      </c>
      <c r="H512" s="65" t="s">
        <v>13</v>
      </c>
      <c r="I512" s="66" t="s">
        <v>12</v>
      </c>
      <c r="J512" s="67">
        <v>5943.45</v>
      </c>
      <c r="K512" s="68">
        <v>0</v>
      </c>
      <c r="L512" s="67">
        <v>0</v>
      </c>
      <c r="M512" s="69">
        <v>0</v>
      </c>
      <c r="N512" s="70">
        <v>0</v>
      </c>
      <c r="O512" s="70">
        <v>7779156.1200000001</v>
      </c>
      <c r="P512" s="70">
        <v>14470727.460000001</v>
      </c>
      <c r="Q512" s="70">
        <v>0</v>
      </c>
      <c r="R512" s="71">
        <v>429340293.69999999</v>
      </c>
      <c r="S512" s="70">
        <v>-0.05</v>
      </c>
      <c r="T512" s="70">
        <v>429340293.64999998</v>
      </c>
      <c r="U512" s="72" t="s">
        <v>0</v>
      </c>
    </row>
    <row r="513" spans="1:21" ht="14.45" customHeight="1">
      <c r="A513" s="64">
        <v>45754</v>
      </c>
      <c r="B513" s="64">
        <v>45719</v>
      </c>
      <c r="C513" s="64">
        <v>45719</v>
      </c>
      <c r="D513" s="65" t="s">
        <v>61</v>
      </c>
      <c r="E513" s="65" t="s">
        <v>62</v>
      </c>
      <c r="F513" s="65" t="s">
        <v>63</v>
      </c>
      <c r="G513" s="65" t="s">
        <v>66</v>
      </c>
      <c r="H513" s="65" t="s">
        <v>13</v>
      </c>
      <c r="I513" s="66" t="s">
        <v>12</v>
      </c>
      <c r="J513" s="67">
        <v>244.03</v>
      </c>
      <c r="K513" s="68">
        <v>0</v>
      </c>
      <c r="L513" s="67">
        <v>0</v>
      </c>
      <c r="M513" s="69">
        <v>0</v>
      </c>
      <c r="N513" s="70">
        <v>0</v>
      </c>
      <c r="O513" s="70">
        <v>7779400.1500000004</v>
      </c>
      <c r="P513" s="70">
        <v>14470727.460000001</v>
      </c>
      <c r="Q513" s="70">
        <v>0</v>
      </c>
      <c r="R513" s="71">
        <v>429340293.69999999</v>
      </c>
      <c r="S513" s="70">
        <v>-0.05</v>
      </c>
      <c r="T513" s="70">
        <v>429340293.64999998</v>
      </c>
      <c r="U513" s="72" t="s">
        <v>0</v>
      </c>
    </row>
    <row r="514" spans="1:21" ht="14.45" customHeight="1">
      <c r="A514" s="64">
        <v>45754</v>
      </c>
      <c r="B514" s="64">
        <v>45734</v>
      </c>
      <c r="C514" s="64">
        <v>45734</v>
      </c>
      <c r="D514" s="65" t="s">
        <v>106</v>
      </c>
      <c r="E514" s="65" t="s">
        <v>188</v>
      </c>
      <c r="F514" s="65" t="s">
        <v>189</v>
      </c>
      <c r="G514" s="65" t="s">
        <v>71</v>
      </c>
      <c r="H514" s="65" t="s">
        <v>14</v>
      </c>
      <c r="I514" s="66" t="s">
        <v>12</v>
      </c>
      <c r="J514" s="67">
        <v>20061.900000000001</v>
      </c>
      <c r="K514" s="68">
        <v>1</v>
      </c>
      <c r="L514" s="67">
        <v>-20061.900000000001</v>
      </c>
      <c r="M514" s="69">
        <v>0</v>
      </c>
      <c r="N514" s="70">
        <v>0</v>
      </c>
      <c r="O514" s="70">
        <v>7779400.1500000004</v>
      </c>
      <c r="P514" s="70">
        <v>14490789.359999999</v>
      </c>
      <c r="Q514" s="70">
        <v>0</v>
      </c>
      <c r="R514" s="71">
        <v>429320231.80000001</v>
      </c>
      <c r="S514" s="70">
        <v>-0.05</v>
      </c>
      <c r="T514" s="70">
        <v>429320231.75</v>
      </c>
      <c r="U514" s="72" t="s">
        <v>0</v>
      </c>
    </row>
    <row r="515" spans="1:21" ht="14.45" customHeight="1">
      <c r="A515" s="64">
        <v>45754</v>
      </c>
      <c r="B515" s="64">
        <v>45734</v>
      </c>
      <c r="C515" s="64">
        <v>45734</v>
      </c>
      <c r="D515" s="65" t="s">
        <v>106</v>
      </c>
      <c r="E515" s="65" t="s">
        <v>83</v>
      </c>
      <c r="F515" s="65" t="s">
        <v>296</v>
      </c>
      <c r="G515" s="65" t="s">
        <v>71</v>
      </c>
      <c r="H515" s="65" t="s">
        <v>14</v>
      </c>
      <c r="I515" s="66" t="s">
        <v>12</v>
      </c>
      <c r="J515" s="67">
        <v>9592.59</v>
      </c>
      <c r="K515" s="68">
        <v>1</v>
      </c>
      <c r="L515" s="67">
        <v>-9592.59</v>
      </c>
      <c r="M515" s="69">
        <v>0</v>
      </c>
      <c r="N515" s="70">
        <v>0</v>
      </c>
      <c r="O515" s="70">
        <v>7779400.1500000004</v>
      </c>
      <c r="P515" s="70">
        <v>14500381.949999999</v>
      </c>
      <c r="Q515" s="70">
        <v>0</v>
      </c>
      <c r="R515" s="71">
        <v>429310639.20999998</v>
      </c>
      <c r="S515" s="70">
        <v>-0.05</v>
      </c>
      <c r="T515" s="70">
        <v>429310639.16000003</v>
      </c>
      <c r="U515" s="72" t="s">
        <v>0</v>
      </c>
    </row>
    <row r="516" spans="1:21" ht="14.45" customHeight="1">
      <c r="A516" s="64">
        <v>45754</v>
      </c>
      <c r="B516" s="64">
        <v>45747</v>
      </c>
      <c r="C516" s="64">
        <v>45747</v>
      </c>
      <c r="D516" s="65" t="s">
        <v>136</v>
      </c>
      <c r="E516" s="65" t="s">
        <v>65</v>
      </c>
      <c r="F516" s="65" t="s">
        <v>137</v>
      </c>
      <c r="G516" s="65" t="s">
        <v>71</v>
      </c>
      <c r="H516" s="65" t="s">
        <v>14</v>
      </c>
      <c r="I516" s="66" t="s">
        <v>12</v>
      </c>
      <c r="J516" s="67">
        <v>635.11</v>
      </c>
      <c r="K516" s="68">
        <v>1</v>
      </c>
      <c r="L516" s="67">
        <v>-635.11</v>
      </c>
      <c r="M516" s="69">
        <v>0</v>
      </c>
      <c r="N516" s="70">
        <v>0</v>
      </c>
      <c r="O516" s="70">
        <v>7779400.1500000004</v>
      </c>
      <c r="P516" s="70">
        <v>14501017.060000001</v>
      </c>
      <c r="Q516" s="70">
        <v>0</v>
      </c>
      <c r="R516" s="71">
        <v>429310004.10000002</v>
      </c>
      <c r="S516" s="70">
        <v>-0.05</v>
      </c>
      <c r="T516" s="70">
        <v>429310004.05000001</v>
      </c>
      <c r="U516" s="72" t="s">
        <v>0</v>
      </c>
    </row>
    <row r="517" spans="1:21" ht="14.45" customHeight="1">
      <c r="A517" s="64">
        <v>45754</v>
      </c>
      <c r="B517" s="64">
        <v>45747</v>
      </c>
      <c r="C517" s="64">
        <v>45747</v>
      </c>
      <c r="D517" s="65" t="s">
        <v>136</v>
      </c>
      <c r="E517" s="65" t="s">
        <v>65</v>
      </c>
      <c r="F517" s="65" t="s">
        <v>137</v>
      </c>
      <c r="G517" s="65" t="s">
        <v>66</v>
      </c>
      <c r="H517" s="65" t="s">
        <v>13</v>
      </c>
      <c r="I517" s="66" t="s">
        <v>12</v>
      </c>
      <c r="J517" s="67">
        <v>55903.92</v>
      </c>
      <c r="K517" s="68">
        <v>0</v>
      </c>
      <c r="L517" s="67">
        <v>0</v>
      </c>
      <c r="M517" s="69">
        <v>0</v>
      </c>
      <c r="N517" s="70">
        <v>0</v>
      </c>
      <c r="O517" s="70">
        <v>7835304.0700000003</v>
      </c>
      <c r="P517" s="70">
        <v>14501017.060000001</v>
      </c>
      <c r="Q517" s="70">
        <v>0</v>
      </c>
      <c r="R517" s="71">
        <v>429310004.10000002</v>
      </c>
      <c r="S517" s="70">
        <v>-0.05</v>
      </c>
      <c r="T517" s="70">
        <v>429310004.05000001</v>
      </c>
      <c r="U517" s="72" t="s">
        <v>0</v>
      </c>
    </row>
    <row r="518" spans="1:21" ht="14.45" customHeight="1">
      <c r="A518" s="64">
        <v>45754</v>
      </c>
      <c r="B518" s="64">
        <v>45747</v>
      </c>
      <c r="C518" s="64">
        <v>45747</v>
      </c>
      <c r="D518" s="65" t="s">
        <v>210</v>
      </c>
      <c r="E518" s="65" t="s">
        <v>211</v>
      </c>
      <c r="F518" s="65" t="s">
        <v>212</v>
      </c>
      <c r="G518" s="65" t="s">
        <v>71</v>
      </c>
      <c r="H518" s="65" t="s">
        <v>14</v>
      </c>
      <c r="I518" s="66" t="s">
        <v>12</v>
      </c>
      <c r="J518" s="67">
        <v>6281.77</v>
      </c>
      <c r="K518" s="68">
        <v>1</v>
      </c>
      <c r="L518" s="67">
        <v>-6281.77</v>
      </c>
      <c r="M518" s="69">
        <v>0</v>
      </c>
      <c r="N518" s="70">
        <v>0</v>
      </c>
      <c r="O518" s="70">
        <v>7835304.0700000003</v>
      </c>
      <c r="P518" s="70">
        <v>14507298.83</v>
      </c>
      <c r="Q518" s="70">
        <v>0</v>
      </c>
      <c r="R518" s="71">
        <v>429303722.32999998</v>
      </c>
      <c r="S518" s="70">
        <v>-0.05</v>
      </c>
      <c r="T518" s="70">
        <v>429303722.27999997</v>
      </c>
      <c r="U518" s="72" t="s">
        <v>0</v>
      </c>
    </row>
    <row r="519" spans="1:21" ht="14.45" customHeight="1">
      <c r="A519" s="64">
        <v>45754</v>
      </c>
      <c r="B519" s="64">
        <v>45747</v>
      </c>
      <c r="C519" s="64">
        <v>45747</v>
      </c>
      <c r="D519" s="65" t="s">
        <v>210</v>
      </c>
      <c r="E519" s="65" t="s">
        <v>211</v>
      </c>
      <c r="F519" s="65" t="s">
        <v>212</v>
      </c>
      <c r="G519" s="65" t="s">
        <v>66</v>
      </c>
      <c r="H519" s="65" t="s">
        <v>13</v>
      </c>
      <c r="I519" s="66" t="s">
        <v>12</v>
      </c>
      <c r="J519" s="67">
        <v>67622.710000000006</v>
      </c>
      <c r="K519" s="68">
        <v>0</v>
      </c>
      <c r="L519" s="67">
        <v>0</v>
      </c>
      <c r="M519" s="69">
        <v>0</v>
      </c>
      <c r="N519" s="70">
        <v>0</v>
      </c>
      <c r="O519" s="70">
        <v>7902926.7800000003</v>
      </c>
      <c r="P519" s="70">
        <v>14507298.83</v>
      </c>
      <c r="Q519" s="70">
        <v>0</v>
      </c>
      <c r="R519" s="71">
        <v>429303722.32999998</v>
      </c>
      <c r="S519" s="70">
        <v>-0.05</v>
      </c>
      <c r="T519" s="70">
        <v>429303722.27999997</v>
      </c>
      <c r="U519" s="72" t="s">
        <v>0</v>
      </c>
    </row>
    <row r="520" spans="1:21" ht="14.45" customHeight="1">
      <c r="A520" s="64">
        <v>45754</v>
      </c>
      <c r="B520" s="64">
        <v>45747</v>
      </c>
      <c r="C520" s="64">
        <v>45747</v>
      </c>
      <c r="D520" s="65" t="s">
        <v>118</v>
      </c>
      <c r="E520" s="65" t="s">
        <v>146</v>
      </c>
      <c r="F520" s="65" t="s">
        <v>147</v>
      </c>
      <c r="G520" s="65" t="s">
        <v>66</v>
      </c>
      <c r="H520" s="65" t="s">
        <v>13</v>
      </c>
      <c r="I520" s="66" t="s">
        <v>12</v>
      </c>
      <c r="J520" s="67">
        <v>5731.06</v>
      </c>
      <c r="K520" s="68">
        <v>0</v>
      </c>
      <c r="L520" s="67">
        <v>0</v>
      </c>
      <c r="M520" s="69">
        <v>0</v>
      </c>
      <c r="N520" s="70">
        <v>0</v>
      </c>
      <c r="O520" s="70">
        <v>7908657.8399999999</v>
      </c>
      <c r="P520" s="70">
        <v>14507298.83</v>
      </c>
      <c r="Q520" s="70">
        <v>0</v>
      </c>
      <c r="R520" s="71">
        <v>429303722.32999998</v>
      </c>
      <c r="S520" s="70">
        <v>-0.05</v>
      </c>
      <c r="T520" s="70">
        <v>429303722.27999997</v>
      </c>
      <c r="U520" s="72" t="s">
        <v>0</v>
      </c>
    </row>
    <row r="521" spans="1:21" ht="14.45" customHeight="1">
      <c r="A521" s="64">
        <v>45754</v>
      </c>
      <c r="B521" s="64">
        <v>45747</v>
      </c>
      <c r="C521" s="64">
        <v>45747</v>
      </c>
      <c r="D521" s="65" t="s">
        <v>118</v>
      </c>
      <c r="E521" s="65" t="s">
        <v>255</v>
      </c>
      <c r="F521" s="65" t="s">
        <v>256</v>
      </c>
      <c r="G521" s="65" t="s">
        <v>66</v>
      </c>
      <c r="H521" s="65" t="s">
        <v>13</v>
      </c>
      <c r="I521" s="66" t="s">
        <v>12</v>
      </c>
      <c r="J521" s="67">
        <v>58506.69</v>
      </c>
      <c r="K521" s="68">
        <v>0</v>
      </c>
      <c r="L521" s="67">
        <v>0</v>
      </c>
      <c r="M521" s="69">
        <v>0</v>
      </c>
      <c r="N521" s="70">
        <v>0</v>
      </c>
      <c r="O521" s="70">
        <v>7967164.5300000003</v>
      </c>
      <c r="P521" s="70">
        <v>14507298.83</v>
      </c>
      <c r="Q521" s="70">
        <v>0</v>
      </c>
      <c r="R521" s="71">
        <v>429303722.32999998</v>
      </c>
      <c r="S521" s="70">
        <v>-0.05</v>
      </c>
      <c r="T521" s="70">
        <v>429303722.27999997</v>
      </c>
      <c r="U521" s="72" t="s">
        <v>0</v>
      </c>
    </row>
    <row r="522" spans="1:21" ht="14.45" customHeight="1">
      <c r="A522" s="64">
        <v>45754</v>
      </c>
      <c r="B522" s="64">
        <v>45747</v>
      </c>
      <c r="C522" s="64">
        <v>45747</v>
      </c>
      <c r="D522" s="65" t="s">
        <v>201</v>
      </c>
      <c r="E522" s="65" t="s">
        <v>333</v>
      </c>
      <c r="F522" s="65" t="s">
        <v>334</v>
      </c>
      <c r="G522" s="65" t="s">
        <v>71</v>
      </c>
      <c r="H522" s="65" t="s">
        <v>14</v>
      </c>
      <c r="I522" s="66" t="s">
        <v>12</v>
      </c>
      <c r="J522" s="67">
        <v>13476.19</v>
      </c>
      <c r="K522" s="68">
        <v>1</v>
      </c>
      <c r="L522" s="67">
        <v>-13476.19</v>
      </c>
      <c r="M522" s="69">
        <v>0</v>
      </c>
      <c r="N522" s="70">
        <v>0</v>
      </c>
      <c r="O522" s="70">
        <v>7967164.5300000003</v>
      </c>
      <c r="P522" s="70">
        <v>14520775.02</v>
      </c>
      <c r="Q522" s="70">
        <v>0</v>
      </c>
      <c r="R522" s="71">
        <v>429290246.13999999</v>
      </c>
      <c r="S522" s="70">
        <v>-0.05</v>
      </c>
      <c r="T522" s="70">
        <v>429290246.08999997</v>
      </c>
      <c r="U522" s="72" t="s">
        <v>0</v>
      </c>
    </row>
    <row r="523" spans="1:21" ht="14.45" customHeight="1">
      <c r="A523" s="64">
        <v>45754</v>
      </c>
      <c r="B523" s="64">
        <v>45747</v>
      </c>
      <c r="C523" s="64">
        <v>45747</v>
      </c>
      <c r="D523" s="65" t="s">
        <v>118</v>
      </c>
      <c r="E523" s="65" t="s">
        <v>140</v>
      </c>
      <c r="F523" s="65" t="s">
        <v>141</v>
      </c>
      <c r="G523" s="65" t="s">
        <v>66</v>
      </c>
      <c r="H523" s="65" t="s">
        <v>13</v>
      </c>
      <c r="I523" s="66" t="s">
        <v>12</v>
      </c>
      <c r="J523" s="67">
        <v>44543.75</v>
      </c>
      <c r="K523" s="68">
        <v>0</v>
      </c>
      <c r="L523" s="67">
        <v>0</v>
      </c>
      <c r="M523" s="69">
        <v>0</v>
      </c>
      <c r="N523" s="70">
        <v>0</v>
      </c>
      <c r="O523" s="70">
        <v>8011708.2800000003</v>
      </c>
      <c r="P523" s="70">
        <v>14520775.02</v>
      </c>
      <c r="Q523" s="70">
        <v>0</v>
      </c>
      <c r="R523" s="71">
        <v>429290246.13999999</v>
      </c>
      <c r="S523" s="70">
        <v>-0.05</v>
      </c>
      <c r="T523" s="70">
        <v>429290246.08999997</v>
      </c>
      <c r="U523" s="72" t="s">
        <v>0</v>
      </c>
    </row>
    <row r="524" spans="1:21" ht="14.45" customHeight="1">
      <c r="A524" s="64">
        <v>45754</v>
      </c>
      <c r="B524" s="64">
        <v>45747</v>
      </c>
      <c r="C524" s="64">
        <v>45747</v>
      </c>
      <c r="D524" s="65" t="s">
        <v>118</v>
      </c>
      <c r="E524" s="65" t="s">
        <v>140</v>
      </c>
      <c r="F524" s="65" t="s">
        <v>141</v>
      </c>
      <c r="G524" s="65" t="s">
        <v>71</v>
      </c>
      <c r="H524" s="65" t="s">
        <v>14</v>
      </c>
      <c r="I524" s="66" t="s">
        <v>12</v>
      </c>
      <c r="J524" s="67">
        <v>2222.44</v>
      </c>
      <c r="K524" s="68">
        <v>1</v>
      </c>
      <c r="L524" s="67">
        <v>-2222.44</v>
      </c>
      <c r="M524" s="69">
        <v>0</v>
      </c>
      <c r="N524" s="70">
        <v>0</v>
      </c>
      <c r="O524" s="70">
        <v>8011708.2800000003</v>
      </c>
      <c r="P524" s="70">
        <v>14522997.460000001</v>
      </c>
      <c r="Q524" s="70">
        <v>0</v>
      </c>
      <c r="R524" s="71">
        <v>429288023.69999999</v>
      </c>
      <c r="S524" s="70">
        <v>-0.05</v>
      </c>
      <c r="T524" s="70">
        <v>429288023.64999998</v>
      </c>
      <c r="U524" s="72" t="s">
        <v>0</v>
      </c>
    </row>
    <row r="525" spans="1:21" ht="14.45" customHeight="1">
      <c r="A525" s="64">
        <v>45754</v>
      </c>
      <c r="B525" s="64">
        <v>45747</v>
      </c>
      <c r="C525" s="64">
        <v>45747</v>
      </c>
      <c r="D525" s="65" t="s">
        <v>118</v>
      </c>
      <c r="E525" s="65" t="s">
        <v>255</v>
      </c>
      <c r="F525" s="65" t="s">
        <v>256</v>
      </c>
      <c r="G525" s="65" t="s">
        <v>71</v>
      </c>
      <c r="H525" s="65" t="s">
        <v>14</v>
      </c>
      <c r="I525" s="66" t="s">
        <v>12</v>
      </c>
      <c r="J525" s="67">
        <v>8747.51</v>
      </c>
      <c r="K525" s="68">
        <v>1</v>
      </c>
      <c r="L525" s="67">
        <v>-8747.51</v>
      </c>
      <c r="M525" s="69">
        <v>0</v>
      </c>
      <c r="N525" s="70">
        <v>0</v>
      </c>
      <c r="O525" s="70">
        <v>8011708.2800000003</v>
      </c>
      <c r="P525" s="70">
        <v>14531744.970000001</v>
      </c>
      <c r="Q525" s="70">
        <v>0</v>
      </c>
      <c r="R525" s="71">
        <v>429279276.19</v>
      </c>
      <c r="S525" s="70">
        <v>-0.05</v>
      </c>
      <c r="T525" s="70">
        <v>429279276.13999999</v>
      </c>
      <c r="U525" s="72" t="s">
        <v>0</v>
      </c>
    </row>
    <row r="526" spans="1:21" ht="14.45" customHeight="1">
      <c r="A526" s="64">
        <v>45754</v>
      </c>
      <c r="B526" s="64">
        <v>45747</v>
      </c>
      <c r="C526" s="64">
        <v>45747</v>
      </c>
      <c r="D526" s="65" t="s">
        <v>162</v>
      </c>
      <c r="E526" s="65" t="s">
        <v>86</v>
      </c>
      <c r="F526" s="65" t="s">
        <v>163</v>
      </c>
      <c r="G526" s="65" t="s">
        <v>71</v>
      </c>
      <c r="H526" s="65" t="s">
        <v>14</v>
      </c>
      <c r="I526" s="66" t="s">
        <v>12</v>
      </c>
      <c r="J526" s="67">
        <v>5000</v>
      </c>
      <c r="K526" s="68">
        <v>1</v>
      </c>
      <c r="L526" s="67">
        <v>-5000</v>
      </c>
      <c r="M526" s="69">
        <v>0</v>
      </c>
      <c r="N526" s="70">
        <v>0</v>
      </c>
      <c r="O526" s="70">
        <v>8011708.2800000003</v>
      </c>
      <c r="P526" s="70">
        <v>14536744.970000001</v>
      </c>
      <c r="Q526" s="70">
        <v>0</v>
      </c>
      <c r="R526" s="71">
        <v>429274276.19</v>
      </c>
      <c r="S526" s="70">
        <v>-0.05</v>
      </c>
      <c r="T526" s="70">
        <v>429274276.13999999</v>
      </c>
      <c r="U526" s="72" t="s">
        <v>0</v>
      </c>
    </row>
    <row r="527" spans="1:21" ht="14.45" customHeight="1">
      <c r="A527" s="64">
        <v>45754</v>
      </c>
      <c r="B527" s="64">
        <v>45747</v>
      </c>
      <c r="C527" s="64">
        <v>45747</v>
      </c>
      <c r="D527" s="65" t="s">
        <v>162</v>
      </c>
      <c r="E527" s="65" t="s">
        <v>86</v>
      </c>
      <c r="F527" s="65" t="s">
        <v>163</v>
      </c>
      <c r="G527" s="65" t="s">
        <v>66</v>
      </c>
      <c r="H527" s="65" t="s">
        <v>13</v>
      </c>
      <c r="I527" s="66" t="s">
        <v>12</v>
      </c>
      <c r="J527" s="67">
        <v>35122.19</v>
      </c>
      <c r="K527" s="68">
        <v>0</v>
      </c>
      <c r="L527" s="67">
        <v>0</v>
      </c>
      <c r="M527" s="69">
        <v>0</v>
      </c>
      <c r="N527" s="70">
        <v>0</v>
      </c>
      <c r="O527" s="70">
        <v>8046830.4699999997</v>
      </c>
      <c r="P527" s="70">
        <v>14536744.970000001</v>
      </c>
      <c r="Q527" s="70">
        <v>0</v>
      </c>
      <c r="R527" s="71">
        <v>429274276.19</v>
      </c>
      <c r="S527" s="70">
        <v>-0.05</v>
      </c>
      <c r="T527" s="70">
        <v>429274276.13999999</v>
      </c>
      <c r="U527" s="72" t="s">
        <v>0</v>
      </c>
    </row>
    <row r="528" spans="1:21" ht="14.45" customHeight="1">
      <c r="A528" s="64">
        <v>45754</v>
      </c>
      <c r="B528" s="64">
        <v>45747</v>
      </c>
      <c r="C528" s="64">
        <v>45747</v>
      </c>
      <c r="D528" s="65" t="s">
        <v>201</v>
      </c>
      <c r="E528" s="65" t="s">
        <v>333</v>
      </c>
      <c r="F528" s="65" t="s">
        <v>334</v>
      </c>
      <c r="G528" s="65" t="s">
        <v>66</v>
      </c>
      <c r="H528" s="65" t="s">
        <v>13</v>
      </c>
      <c r="I528" s="66" t="s">
        <v>12</v>
      </c>
      <c r="J528" s="67">
        <v>133733.22</v>
      </c>
      <c r="K528" s="68">
        <v>0</v>
      </c>
      <c r="L528" s="67">
        <v>0</v>
      </c>
      <c r="M528" s="69">
        <v>0</v>
      </c>
      <c r="N528" s="70">
        <v>0</v>
      </c>
      <c r="O528" s="70">
        <v>8180563.6900000004</v>
      </c>
      <c r="P528" s="70">
        <v>14536744.970000001</v>
      </c>
      <c r="Q528" s="70">
        <v>0</v>
      </c>
      <c r="R528" s="71">
        <v>429274276.19</v>
      </c>
      <c r="S528" s="70">
        <v>-0.05</v>
      </c>
      <c r="T528" s="70">
        <v>429274276.13999999</v>
      </c>
      <c r="U528" s="72" t="s">
        <v>0</v>
      </c>
    </row>
    <row r="529" spans="1:21" ht="14.45" customHeight="1">
      <c r="A529" s="64">
        <v>45754</v>
      </c>
      <c r="B529" s="64">
        <v>45747</v>
      </c>
      <c r="C529" s="64">
        <v>45747</v>
      </c>
      <c r="D529" s="65" t="s">
        <v>201</v>
      </c>
      <c r="E529" s="65" t="s">
        <v>333</v>
      </c>
      <c r="F529" s="65" t="s">
        <v>334</v>
      </c>
      <c r="G529" s="65" t="s">
        <v>282</v>
      </c>
      <c r="H529" s="65" t="s">
        <v>13</v>
      </c>
      <c r="I529" s="66" t="s">
        <v>12</v>
      </c>
      <c r="J529" s="67">
        <v>1526.37</v>
      </c>
      <c r="K529" s="68">
        <v>0</v>
      </c>
      <c r="L529" s="67">
        <v>0</v>
      </c>
      <c r="M529" s="69">
        <v>0</v>
      </c>
      <c r="N529" s="70">
        <v>0</v>
      </c>
      <c r="O529" s="70">
        <v>8182090.0599999996</v>
      </c>
      <c r="P529" s="70">
        <v>14536744.970000001</v>
      </c>
      <c r="Q529" s="70">
        <v>0</v>
      </c>
      <c r="R529" s="71">
        <v>429274276.19</v>
      </c>
      <c r="S529" s="70">
        <v>-0.05</v>
      </c>
      <c r="T529" s="70">
        <v>429274276.13999999</v>
      </c>
      <c r="U529" s="72" t="s">
        <v>0</v>
      </c>
    </row>
    <row r="530" spans="1:21" ht="14.45" customHeight="1">
      <c r="A530" s="64">
        <v>45754</v>
      </c>
      <c r="B530" s="64">
        <v>45747</v>
      </c>
      <c r="C530" s="64">
        <v>45747</v>
      </c>
      <c r="D530" s="65" t="s">
        <v>118</v>
      </c>
      <c r="E530" s="65" t="s">
        <v>119</v>
      </c>
      <c r="F530" s="65" t="s">
        <v>120</v>
      </c>
      <c r="G530" s="65" t="s">
        <v>66</v>
      </c>
      <c r="H530" s="65" t="s">
        <v>13</v>
      </c>
      <c r="I530" s="66" t="s">
        <v>12</v>
      </c>
      <c r="J530" s="67">
        <v>66569.53</v>
      </c>
      <c r="K530" s="68">
        <v>0</v>
      </c>
      <c r="L530" s="67">
        <v>0</v>
      </c>
      <c r="M530" s="69">
        <v>0</v>
      </c>
      <c r="N530" s="70">
        <v>0</v>
      </c>
      <c r="O530" s="70">
        <v>8248659.5899999999</v>
      </c>
      <c r="P530" s="70">
        <v>14536744.970000001</v>
      </c>
      <c r="Q530" s="70">
        <v>0</v>
      </c>
      <c r="R530" s="71">
        <v>429274276.19</v>
      </c>
      <c r="S530" s="70">
        <v>-0.05</v>
      </c>
      <c r="T530" s="70">
        <v>429274276.13999999</v>
      </c>
      <c r="U530" s="72" t="s">
        <v>0</v>
      </c>
    </row>
    <row r="531" spans="1:21" ht="14.45" customHeight="1">
      <c r="A531" s="64">
        <v>45754</v>
      </c>
      <c r="B531" s="64">
        <v>45747</v>
      </c>
      <c r="C531" s="64">
        <v>45747</v>
      </c>
      <c r="D531" s="65" t="s">
        <v>118</v>
      </c>
      <c r="E531" s="65" t="s">
        <v>119</v>
      </c>
      <c r="F531" s="65" t="s">
        <v>120</v>
      </c>
      <c r="G531" s="65" t="s">
        <v>71</v>
      </c>
      <c r="H531" s="65" t="s">
        <v>14</v>
      </c>
      <c r="I531" s="66" t="s">
        <v>12</v>
      </c>
      <c r="J531" s="67">
        <v>7000</v>
      </c>
      <c r="K531" s="68">
        <v>1</v>
      </c>
      <c r="L531" s="67">
        <v>-7000</v>
      </c>
      <c r="M531" s="69">
        <v>0</v>
      </c>
      <c r="N531" s="70">
        <v>0</v>
      </c>
      <c r="O531" s="70">
        <v>8248659.5899999999</v>
      </c>
      <c r="P531" s="70">
        <v>14543744.970000001</v>
      </c>
      <c r="Q531" s="70">
        <v>0</v>
      </c>
      <c r="R531" s="71">
        <v>429267276.19</v>
      </c>
      <c r="S531" s="70">
        <v>-0.05</v>
      </c>
      <c r="T531" s="70">
        <v>429267276.13999999</v>
      </c>
      <c r="U531" s="72" t="s">
        <v>0</v>
      </c>
    </row>
    <row r="532" spans="1:21" ht="14.45" customHeight="1">
      <c r="A532" s="64">
        <v>45754</v>
      </c>
      <c r="B532" s="64">
        <v>45747</v>
      </c>
      <c r="C532" s="64">
        <v>45747</v>
      </c>
      <c r="D532" s="65" t="s">
        <v>191</v>
      </c>
      <c r="E532" s="65" t="s">
        <v>194</v>
      </c>
      <c r="F532" s="65" t="s">
        <v>195</v>
      </c>
      <c r="G532" s="65" t="s">
        <v>66</v>
      </c>
      <c r="H532" s="65" t="s">
        <v>13</v>
      </c>
      <c r="I532" s="66" t="s">
        <v>12</v>
      </c>
      <c r="J532" s="67">
        <v>53812.15</v>
      </c>
      <c r="K532" s="68">
        <v>0</v>
      </c>
      <c r="L532" s="67">
        <v>0</v>
      </c>
      <c r="M532" s="69">
        <v>0</v>
      </c>
      <c r="N532" s="70">
        <v>0</v>
      </c>
      <c r="O532" s="70">
        <v>8302471.7400000002</v>
      </c>
      <c r="P532" s="70">
        <v>14543744.970000001</v>
      </c>
      <c r="Q532" s="70">
        <v>0</v>
      </c>
      <c r="R532" s="71">
        <v>429267276.19</v>
      </c>
      <c r="S532" s="70">
        <v>-0.05</v>
      </c>
      <c r="T532" s="70">
        <v>429267276.13999999</v>
      </c>
      <c r="U532" s="72" t="s">
        <v>0</v>
      </c>
    </row>
    <row r="533" spans="1:21" ht="14.45" customHeight="1">
      <c r="A533" s="64">
        <v>45754</v>
      </c>
      <c r="B533" s="64">
        <v>45747</v>
      </c>
      <c r="C533" s="64">
        <v>45747</v>
      </c>
      <c r="D533" s="65" t="s">
        <v>191</v>
      </c>
      <c r="E533" s="65" t="s">
        <v>194</v>
      </c>
      <c r="F533" s="65" t="s">
        <v>195</v>
      </c>
      <c r="G533" s="65" t="s">
        <v>71</v>
      </c>
      <c r="H533" s="65" t="s">
        <v>14</v>
      </c>
      <c r="I533" s="66" t="s">
        <v>12</v>
      </c>
      <c r="J533" s="67">
        <v>5586.69</v>
      </c>
      <c r="K533" s="68">
        <v>1</v>
      </c>
      <c r="L533" s="67">
        <v>-5586.69</v>
      </c>
      <c r="M533" s="69">
        <v>0</v>
      </c>
      <c r="N533" s="70">
        <v>0</v>
      </c>
      <c r="O533" s="70">
        <v>8302471.7400000002</v>
      </c>
      <c r="P533" s="70">
        <v>14549331.66</v>
      </c>
      <c r="Q533" s="70">
        <v>0</v>
      </c>
      <c r="R533" s="71">
        <v>429261689.5</v>
      </c>
      <c r="S533" s="70">
        <v>-0.05</v>
      </c>
      <c r="T533" s="70">
        <v>429261689.44999999</v>
      </c>
      <c r="U533" s="72" t="s">
        <v>0</v>
      </c>
    </row>
    <row r="534" spans="1:21" ht="14.45" customHeight="1">
      <c r="A534" s="64">
        <v>45754</v>
      </c>
      <c r="B534" s="64">
        <v>45747</v>
      </c>
      <c r="C534" s="64">
        <v>45747</v>
      </c>
      <c r="D534" s="65" t="s">
        <v>191</v>
      </c>
      <c r="E534" s="65" t="s">
        <v>192</v>
      </c>
      <c r="F534" s="65" t="s">
        <v>193</v>
      </c>
      <c r="G534" s="65" t="s">
        <v>66</v>
      </c>
      <c r="H534" s="65" t="s">
        <v>13</v>
      </c>
      <c r="I534" s="66" t="s">
        <v>12</v>
      </c>
      <c r="J534" s="67">
        <v>14944.51</v>
      </c>
      <c r="K534" s="68">
        <v>0</v>
      </c>
      <c r="L534" s="67">
        <v>0</v>
      </c>
      <c r="M534" s="69">
        <v>0</v>
      </c>
      <c r="N534" s="70">
        <v>0</v>
      </c>
      <c r="O534" s="70">
        <v>8317416.25</v>
      </c>
      <c r="P534" s="70">
        <v>14549331.66</v>
      </c>
      <c r="Q534" s="70">
        <v>0</v>
      </c>
      <c r="R534" s="71">
        <v>429261689.5</v>
      </c>
      <c r="S534" s="70">
        <v>-0.05</v>
      </c>
      <c r="T534" s="70">
        <v>429261689.44999999</v>
      </c>
      <c r="U534" s="72" t="s">
        <v>0</v>
      </c>
    </row>
    <row r="535" spans="1:21" ht="14.45" customHeight="1">
      <c r="A535" s="64">
        <v>45754</v>
      </c>
      <c r="B535" s="64">
        <v>45747</v>
      </c>
      <c r="C535" s="64">
        <v>45747</v>
      </c>
      <c r="D535" s="65" t="s">
        <v>191</v>
      </c>
      <c r="E535" s="65" t="s">
        <v>192</v>
      </c>
      <c r="F535" s="65" t="s">
        <v>193</v>
      </c>
      <c r="G535" s="65" t="s">
        <v>71</v>
      </c>
      <c r="H535" s="65" t="s">
        <v>14</v>
      </c>
      <c r="I535" s="66" t="s">
        <v>12</v>
      </c>
      <c r="J535" s="67">
        <v>7449.88</v>
      </c>
      <c r="K535" s="68">
        <v>1</v>
      </c>
      <c r="L535" s="67">
        <v>-7449.88</v>
      </c>
      <c r="M535" s="69">
        <v>0</v>
      </c>
      <c r="N535" s="70">
        <v>0</v>
      </c>
      <c r="O535" s="70">
        <v>8317416.25</v>
      </c>
      <c r="P535" s="70">
        <v>14556781.539999999</v>
      </c>
      <c r="Q535" s="70">
        <v>0</v>
      </c>
      <c r="R535" s="71">
        <v>429254239.62</v>
      </c>
      <c r="S535" s="70">
        <v>-0.05</v>
      </c>
      <c r="T535" s="70">
        <v>429254239.56999999</v>
      </c>
      <c r="U535" s="72" t="s">
        <v>0</v>
      </c>
    </row>
    <row r="536" spans="1:21" ht="14.45" customHeight="1">
      <c r="A536" s="64">
        <v>45754</v>
      </c>
      <c r="B536" s="64">
        <v>45747</v>
      </c>
      <c r="C536" s="64">
        <v>45747</v>
      </c>
      <c r="D536" s="65" t="s">
        <v>164</v>
      </c>
      <c r="E536" s="65" t="s">
        <v>165</v>
      </c>
      <c r="F536" s="65" t="s">
        <v>166</v>
      </c>
      <c r="G536" s="65" t="s">
        <v>71</v>
      </c>
      <c r="H536" s="65" t="s">
        <v>14</v>
      </c>
      <c r="I536" s="66" t="s">
        <v>12</v>
      </c>
      <c r="J536" s="67">
        <v>2974.12</v>
      </c>
      <c r="K536" s="68">
        <v>1</v>
      </c>
      <c r="L536" s="67">
        <v>-2974.12</v>
      </c>
      <c r="M536" s="69">
        <v>0</v>
      </c>
      <c r="N536" s="70">
        <v>0</v>
      </c>
      <c r="O536" s="70">
        <v>8317416.25</v>
      </c>
      <c r="P536" s="70">
        <v>14559755.66</v>
      </c>
      <c r="Q536" s="70">
        <v>0</v>
      </c>
      <c r="R536" s="71">
        <v>429251265.5</v>
      </c>
      <c r="S536" s="70">
        <v>-0.05</v>
      </c>
      <c r="T536" s="70">
        <v>429251265.44999999</v>
      </c>
      <c r="U536" s="72" t="s">
        <v>0</v>
      </c>
    </row>
    <row r="537" spans="1:21" ht="14.45" customHeight="1">
      <c r="A537" s="64">
        <v>45754</v>
      </c>
      <c r="B537" s="64">
        <v>45747</v>
      </c>
      <c r="C537" s="64">
        <v>45747</v>
      </c>
      <c r="D537" s="65" t="s">
        <v>164</v>
      </c>
      <c r="E537" s="65" t="s">
        <v>364</v>
      </c>
      <c r="F537" s="65" t="s">
        <v>166</v>
      </c>
      <c r="G537" s="65" t="s">
        <v>66</v>
      </c>
      <c r="H537" s="65" t="s">
        <v>13</v>
      </c>
      <c r="I537" s="66" t="s">
        <v>12</v>
      </c>
      <c r="J537" s="67">
        <v>40108.46</v>
      </c>
      <c r="K537" s="68">
        <v>0</v>
      </c>
      <c r="L537" s="67">
        <v>0</v>
      </c>
      <c r="M537" s="69">
        <v>0</v>
      </c>
      <c r="N537" s="70">
        <v>0</v>
      </c>
      <c r="O537" s="70">
        <v>8357524.71</v>
      </c>
      <c r="P537" s="70">
        <v>14559755.66</v>
      </c>
      <c r="Q537" s="70">
        <v>0</v>
      </c>
      <c r="R537" s="71">
        <v>429251265.5</v>
      </c>
      <c r="S537" s="70">
        <v>-0.05</v>
      </c>
      <c r="T537" s="70">
        <v>429251265.44999999</v>
      </c>
      <c r="U537" s="72" t="s">
        <v>0</v>
      </c>
    </row>
    <row r="538" spans="1:21" ht="14.45" customHeight="1">
      <c r="A538" s="64">
        <v>45754</v>
      </c>
      <c r="B538" s="64">
        <v>45747</v>
      </c>
      <c r="C538" s="64">
        <v>45747</v>
      </c>
      <c r="D538" s="65" t="s">
        <v>142</v>
      </c>
      <c r="E538" s="65" t="s">
        <v>65</v>
      </c>
      <c r="F538" s="65" t="s">
        <v>143</v>
      </c>
      <c r="G538" s="65" t="s">
        <v>66</v>
      </c>
      <c r="H538" s="65" t="s">
        <v>13</v>
      </c>
      <c r="I538" s="66" t="s">
        <v>12</v>
      </c>
      <c r="J538" s="67">
        <v>109811.63</v>
      </c>
      <c r="K538" s="68">
        <v>0</v>
      </c>
      <c r="L538" s="67">
        <v>0</v>
      </c>
      <c r="M538" s="69">
        <v>0</v>
      </c>
      <c r="N538" s="70">
        <v>0</v>
      </c>
      <c r="O538" s="70">
        <v>8467336.3399999999</v>
      </c>
      <c r="P538" s="70">
        <v>14559755.66</v>
      </c>
      <c r="Q538" s="70">
        <v>0</v>
      </c>
      <c r="R538" s="71">
        <v>429251265.5</v>
      </c>
      <c r="S538" s="70">
        <v>-0.05</v>
      </c>
      <c r="T538" s="70">
        <v>429251265.44999999</v>
      </c>
      <c r="U538" s="72" t="s">
        <v>0</v>
      </c>
    </row>
    <row r="539" spans="1:21" ht="14.45" customHeight="1">
      <c r="A539" s="64">
        <v>45754</v>
      </c>
      <c r="B539" s="64">
        <v>45747</v>
      </c>
      <c r="C539" s="64">
        <v>45747</v>
      </c>
      <c r="D539" s="65" t="s">
        <v>191</v>
      </c>
      <c r="E539" s="65" t="s">
        <v>192</v>
      </c>
      <c r="F539" s="65" t="s">
        <v>193</v>
      </c>
      <c r="G539" s="65" t="s">
        <v>66</v>
      </c>
      <c r="H539" s="65" t="s">
        <v>13</v>
      </c>
      <c r="I539" s="66" t="s">
        <v>12</v>
      </c>
      <c r="J539" s="67">
        <v>19738.009999999998</v>
      </c>
      <c r="K539" s="68">
        <v>0</v>
      </c>
      <c r="L539" s="67">
        <v>0</v>
      </c>
      <c r="M539" s="69">
        <v>0</v>
      </c>
      <c r="N539" s="70">
        <v>0</v>
      </c>
      <c r="O539" s="70">
        <v>8487074.3499999996</v>
      </c>
      <c r="P539" s="70">
        <v>14559755.66</v>
      </c>
      <c r="Q539" s="70">
        <v>0</v>
      </c>
      <c r="R539" s="71">
        <v>429251265.5</v>
      </c>
      <c r="S539" s="70">
        <v>-0.05</v>
      </c>
      <c r="T539" s="70">
        <v>429251265.44999999</v>
      </c>
      <c r="U539" s="72" t="s">
        <v>0</v>
      </c>
    </row>
    <row r="540" spans="1:21" ht="14.45" customHeight="1">
      <c r="A540" s="64">
        <v>45754</v>
      </c>
      <c r="B540" s="64">
        <v>45747</v>
      </c>
      <c r="C540" s="64">
        <v>45747</v>
      </c>
      <c r="D540" s="65" t="s">
        <v>142</v>
      </c>
      <c r="E540" s="65" t="s">
        <v>65</v>
      </c>
      <c r="F540" s="65" t="s">
        <v>143</v>
      </c>
      <c r="G540" s="65" t="s">
        <v>71</v>
      </c>
      <c r="H540" s="65" t="s">
        <v>14</v>
      </c>
      <c r="I540" s="66" t="s">
        <v>12</v>
      </c>
      <c r="J540" s="67">
        <v>12500</v>
      </c>
      <c r="K540" s="68">
        <v>1</v>
      </c>
      <c r="L540" s="67">
        <v>-12500</v>
      </c>
      <c r="M540" s="69">
        <v>0</v>
      </c>
      <c r="N540" s="70">
        <v>0</v>
      </c>
      <c r="O540" s="70">
        <v>8487074.3499999996</v>
      </c>
      <c r="P540" s="70">
        <v>14572255.66</v>
      </c>
      <c r="Q540" s="70">
        <v>0</v>
      </c>
      <c r="R540" s="71">
        <v>429238765.5</v>
      </c>
      <c r="S540" s="70">
        <v>-0.05</v>
      </c>
      <c r="T540" s="70">
        <v>429238765.44999999</v>
      </c>
      <c r="U540" s="72" t="s">
        <v>0</v>
      </c>
    </row>
    <row r="541" spans="1:21" ht="14.45" customHeight="1">
      <c r="A541" s="64">
        <v>45754</v>
      </c>
      <c r="B541" s="64">
        <v>45747</v>
      </c>
      <c r="C541" s="64">
        <v>45747</v>
      </c>
      <c r="D541" s="65" t="s">
        <v>164</v>
      </c>
      <c r="E541" s="65" t="s">
        <v>339</v>
      </c>
      <c r="F541" s="65"/>
      <c r="G541" s="65" t="s">
        <v>71</v>
      </c>
      <c r="H541" s="65" t="s">
        <v>14</v>
      </c>
      <c r="I541" s="66" t="s">
        <v>12</v>
      </c>
      <c r="J541" s="67">
        <v>3750</v>
      </c>
      <c r="K541" s="68">
        <v>1</v>
      </c>
      <c r="L541" s="67">
        <v>-3750</v>
      </c>
      <c r="M541" s="69">
        <v>0</v>
      </c>
      <c r="N541" s="70">
        <v>0</v>
      </c>
      <c r="O541" s="70">
        <v>8487074.3499999996</v>
      </c>
      <c r="P541" s="70">
        <v>14576005.66</v>
      </c>
      <c r="Q541" s="70">
        <v>0</v>
      </c>
      <c r="R541" s="71">
        <v>429235015.5</v>
      </c>
      <c r="S541" s="70">
        <v>-0.05</v>
      </c>
      <c r="T541" s="70">
        <v>429235015.44999999</v>
      </c>
      <c r="U541" s="72" t="s">
        <v>0</v>
      </c>
    </row>
    <row r="542" spans="1:21" ht="14.45" customHeight="1">
      <c r="A542" s="64">
        <v>45754</v>
      </c>
      <c r="B542" s="64">
        <v>45747</v>
      </c>
      <c r="C542" s="64">
        <v>45747</v>
      </c>
      <c r="D542" s="65" t="s">
        <v>164</v>
      </c>
      <c r="E542" s="65" t="s">
        <v>339</v>
      </c>
      <c r="F542" s="65"/>
      <c r="G542" s="65" t="s">
        <v>66</v>
      </c>
      <c r="H542" s="65" t="s">
        <v>13</v>
      </c>
      <c r="I542" s="66" t="s">
        <v>12</v>
      </c>
      <c r="J542" s="67">
        <v>11081.65</v>
      </c>
      <c r="K542" s="68">
        <v>0</v>
      </c>
      <c r="L542" s="67">
        <v>0</v>
      </c>
      <c r="M542" s="69">
        <v>0</v>
      </c>
      <c r="N542" s="70">
        <v>0</v>
      </c>
      <c r="O542" s="70">
        <v>8498156</v>
      </c>
      <c r="P542" s="70">
        <v>14576005.66</v>
      </c>
      <c r="Q542" s="70">
        <v>0</v>
      </c>
      <c r="R542" s="71">
        <v>429235015.5</v>
      </c>
      <c r="S542" s="70">
        <v>-0.05</v>
      </c>
      <c r="T542" s="70">
        <v>429235015.44999999</v>
      </c>
      <c r="U542" s="72" t="s">
        <v>0</v>
      </c>
    </row>
    <row r="543" spans="1:21" ht="14.45" customHeight="1">
      <c r="A543" s="64">
        <v>45754</v>
      </c>
      <c r="B543" s="64">
        <v>45747</v>
      </c>
      <c r="C543" s="64">
        <v>45747</v>
      </c>
      <c r="D543" s="65" t="s">
        <v>164</v>
      </c>
      <c r="E543" s="65" t="s">
        <v>339</v>
      </c>
      <c r="F543" s="65"/>
      <c r="G543" s="65" t="s">
        <v>282</v>
      </c>
      <c r="H543" s="65" t="s">
        <v>13</v>
      </c>
      <c r="I543" s="66" t="s">
        <v>12</v>
      </c>
      <c r="J543" s="67">
        <v>-11.14</v>
      </c>
      <c r="K543" s="68">
        <v>0</v>
      </c>
      <c r="L543" s="67">
        <v>0</v>
      </c>
      <c r="M543" s="69">
        <v>0</v>
      </c>
      <c r="N543" s="70">
        <v>0</v>
      </c>
      <c r="O543" s="70">
        <v>8498144.8599999994</v>
      </c>
      <c r="P543" s="70">
        <v>14576005.66</v>
      </c>
      <c r="Q543" s="70">
        <v>0</v>
      </c>
      <c r="R543" s="71">
        <v>429235015.5</v>
      </c>
      <c r="S543" s="70">
        <v>-0.05</v>
      </c>
      <c r="T543" s="70">
        <v>429235015.44999999</v>
      </c>
      <c r="U543" s="72" t="s">
        <v>0</v>
      </c>
    </row>
    <row r="544" spans="1:21" ht="14.45" customHeight="1">
      <c r="A544" s="64">
        <v>45754</v>
      </c>
      <c r="B544" s="64">
        <v>45747</v>
      </c>
      <c r="C544" s="64">
        <v>45747</v>
      </c>
      <c r="D544" s="65" t="s">
        <v>201</v>
      </c>
      <c r="E544" s="65" t="s">
        <v>65</v>
      </c>
      <c r="F544" s="65" t="s">
        <v>202</v>
      </c>
      <c r="G544" s="65" t="s">
        <v>71</v>
      </c>
      <c r="H544" s="65" t="s">
        <v>14</v>
      </c>
      <c r="I544" s="66" t="s">
        <v>12</v>
      </c>
      <c r="J544" s="67">
        <v>21174.639999999999</v>
      </c>
      <c r="K544" s="68">
        <v>1</v>
      </c>
      <c r="L544" s="67">
        <v>-21174.639999999999</v>
      </c>
      <c r="M544" s="69">
        <v>0</v>
      </c>
      <c r="N544" s="70">
        <v>0</v>
      </c>
      <c r="O544" s="70">
        <v>8498144.8599999994</v>
      </c>
      <c r="P544" s="70">
        <v>14597180.300000001</v>
      </c>
      <c r="Q544" s="70">
        <v>0</v>
      </c>
      <c r="R544" s="71">
        <v>429213840.86000001</v>
      </c>
      <c r="S544" s="70">
        <v>-0.05</v>
      </c>
      <c r="T544" s="70">
        <v>429213840.81</v>
      </c>
      <c r="U544" s="72" t="s">
        <v>0</v>
      </c>
    </row>
    <row r="545" spans="1:21" ht="14.45" customHeight="1">
      <c r="A545" s="64">
        <v>45754</v>
      </c>
      <c r="B545" s="64">
        <v>45747</v>
      </c>
      <c r="C545" s="64">
        <v>45747</v>
      </c>
      <c r="D545" s="65" t="s">
        <v>201</v>
      </c>
      <c r="E545" s="65" t="s">
        <v>65</v>
      </c>
      <c r="F545" s="65" t="s">
        <v>202</v>
      </c>
      <c r="G545" s="65" t="s">
        <v>66</v>
      </c>
      <c r="H545" s="65" t="s">
        <v>13</v>
      </c>
      <c r="I545" s="66" t="s">
        <v>12</v>
      </c>
      <c r="J545" s="67">
        <v>175669.84</v>
      </c>
      <c r="K545" s="68">
        <v>0</v>
      </c>
      <c r="L545" s="67">
        <v>0</v>
      </c>
      <c r="M545" s="69">
        <v>0</v>
      </c>
      <c r="N545" s="70">
        <v>0</v>
      </c>
      <c r="O545" s="70">
        <v>8673814.6999999993</v>
      </c>
      <c r="P545" s="70">
        <v>14597180.300000001</v>
      </c>
      <c r="Q545" s="70">
        <v>0</v>
      </c>
      <c r="R545" s="71">
        <v>429213840.86000001</v>
      </c>
      <c r="S545" s="70">
        <v>-0.05</v>
      </c>
      <c r="T545" s="70">
        <v>429213840.81</v>
      </c>
      <c r="U545" s="72" t="s">
        <v>0</v>
      </c>
    </row>
    <row r="546" spans="1:21" ht="14.45" customHeight="1">
      <c r="A546" s="64">
        <v>45754</v>
      </c>
      <c r="B546" s="64">
        <v>45747</v>
      </c>
      <c r="C546" s="64">
        <v>45747</v>
      </c>
      <c r="D546" s="65" t="s">
        <v>201</v>
      </c>
      <c r="E546" s="65" t="s">
        <v>345</v>
      </c>
      <c r="F546" s="65"/>
      <c r="G546" s="65" t="s">
        <v>66</v>
      </c>
      <c r="H546" s="65" t="s">
        <v>13</v>
      </c>
      <c r="I546" s="66" t="s">
        <v>12</v>
      </c>
      <c r="J546" s="67">
        <v>121.61</v>
      </c>
      <c r="K546" s="68">
        <v>0</v>
      </c>
      <c r="L546" s="67">
        <v>0</v>
      </c>
      <c r="M546" s="69">
        <v>0</v>
      </c>
      <c r="N546" s="70">
        <v>0</v>
      </c>
      <c r="O546" s="70">
        <v>8673936.3100000005</v>
      </c>
      <c r="P546" s="70">
        <v>14597180.300000001</v>
      </c>
      <c r="Q546" s="70">
        <v>0</v>
      </c>
      <c r="R546" s="71">
        <v>429213840.86000001</v>
      </c>
      <c r="S546" s="70">
        <v>-0.05</v>
      </c>
      <c r="T546" s="70">
        <v>429213840.81</v>
      </c>
      <c r="U546" s="72" t="s">
        <v>0</v>
      </c>
    </row>
    <row r="547" spans="1:21" ht="14.45" customHeight="1">
      <c r="A547" s="64">
        <v>45754</v>
      </c>
      <c r="B547" s="64">
        <v>45734</v>
      </c>
      <c r="C547" s="64">
        <v>45734</v>
      </c>
      <c r="D547" s="65" t="s">
        <v>106</v>
      </c>
      <c r="E547" s="65" t="s">
        <v>107</v>
      </c>
      <c r="F547" s="65" t="s">
        <v>108</v>
      </c>
      <c r="G547" s="65" t="s">
        <v>71</v>
      </c>
      <c r="H547" s="65" t="s">
        <v>14</v>
      </c>
      <c r="I547" s="66" t="s">
        <v>12</v>
      </c>
      <c r="J547" s="67">
        <v>69276.58</v>
      </c>
      <c r="K547" s="68">
        <v>1</v>
      </c>
      <c r="L547" s="67">
        <v>-69276.58</v>
      </c>
      <c r="M547" s="69">
        <v>0</v>
      </c>
      <c r="N547" s="70">
        <v>0</v>
      </c>
      <c r="O547" s="70">
        <v>8673936.3100000005</v>
      </c>
      <c r="P547" s="70">
        <v>14666456.880000001</v>
      </c>
      <c r="Q547" s="70">
        <v>0</v>
      </c>
      <c r="R547" s="71">
        <v>429144564.27999997</v>
      </c>
      <c r="S547" s="70">
        <v>-0.05</v>
      </c>
      <c r="T547" s="70">
        <v>429144564.23000002</v>
      </c>
      <c r="U547" s="72" t="s">
        <v>0</v>
      </c>
    </row>
    <row r="548" spans="1:21" ht="14.45" customHeight="1">
      <c r="A548" s="64">
        <v>45754</v>
      </c>
      <c r="B548" s="64">
        <v>45747</v>
      </c>
      <c r="C548" s="64">
        <v>45747</v>
      </c>
      <c r="D548" s="65" t="s">
        <v>178</v>
      </c>
      <c r="E548" s="65" t="s">
        <v>179</v>
      </c>
      <c r="F548" s="65" t="s">
        <v>180</v>
      </c>
      <c r="G548" s="65" t="s">
        <v>71</v>
      </c>
      <c r="H548" s="65" t="s">
        <v>14</v>
      </c>
      <c r="I548" s="66" t="s">
        <v>12</v>
      </c>
      <c r="J548" s="67">
        <v>2500</v>
      </c>
      <c r="K548" s="68">
        <v>1</v>
      </c>
      <c r="L548" s="67">
        <v>-2500</v>
      </c>
      <c r="M548" s="69">
        <v>0</v>
      </c>
      <c r="N548" s="70">
        <v>0</v>
      </c>
      <c r="O548" s="70">
        <v>8673936.3100000005</v>
      </c>
      <c r="P548" s="70">
        <v>14668956.880000001</v>
      </c>
      <c r="Q548" s="70">
        <v>0</v>
      </c>
      <c r="R548" s="71">
        <v>429142064.27999997</v>
      </c>
      <c r="S548" s="70">
        <v>-0.05</v>
      </c>
      <c r="T548" s="70">
        <v>429142064.23000002</v>
      </c>
      <c r="U548" s="72" t="s">
        <v>0</v>
      </c>
    </row>
    <row r="549" spans="1:21" ht="14.45" customHeight="1">
      <c r="A549" s="64">
        <v>45754</v>
      </c>
      <c r="B549" s="64">
        <v>45747</v>
      </c>
      <c r="C549" s="64">
        <v>45747</v>
      </c>
      <c r="D549" s="65" t="s">
        <v>178</v>
      </c>
      <c r="E549" s="65" t="s">
        <v>179</v>
      </c>
      <c r="F549" s="65" t="s">
        <v>180</v>
      </c>
      <c r="G549" s="65" t="s">
        <v>66</v>
      </c>
      <c r="H549" s="65" t="s">
        <v>13</v>
      </c>
      <c r="I549" s="66" t="s">
        <v>12</v>
      </c>
      <c r="J549" s="67">
        <v>39.090000000000003</v>
      </c>
      <c r="K549" s="68">
        <v>0</v>
      </c>
      <c r="L549" s="67">
        <v>0</v>
      </c>
      <c r="M549" s="69">
        <v>0</v>
      </c>
      <c r="N549" s="70">
        <v>0</v>
      </c>
      <c r="O549" s="70">
        <v>8673975.4000000004</v>
      </c>
      <c r="P549" s="70">
        <v>14668956.880000001</v>
      </c>
      <c r="Q549" s="70">
        <v>0</v>
      </c>
      <c r="R549" s="71">
        <v>429142064.27999997</v>
      </c>
      <c r="S549" s="70">
        <v>-0.05</v>
      </c>
      <c r="T549" s="70">
        <v>429142064.23000002</v>
      </c>
      <c r="U549" s="72" t="s">
        <v>0</v>
      </c>
    </row>
    <row r="550" spans="1:21" ht="14.45" customHeight="1">
      <c r="A550" s="64">
        <v>45754</v>
      </c>
      <c r="B550" s="64">
        <v>45734</v>
      </c>
      <c r="C550" s="64">
        <v>45734</v>
      </c>
      <c r="D550" s="65" t="s">
        <v>131</v>
      </c>
      <c r="E550" s="65" t="s">
        <v>132</v>
      </c>
      <c r="F550" s="65" t="s">
        <v>133</v>
      </c>
      <c r="G550" s="65" t="s">
        <v>365</v>
      </c>
      <c r="H550" s="65"/>
      <c r="I550" s="66" t="s">
        <v>12</v>
      </c>
      <c r="J550" s="67">
        <v>0</v>
      </c>
      <c r="K550" s="68">
        <v>0</v>
      </c>
      <c r="L550" s="67">
        <v>-8577681.1799999997</v>
      </c>
      <c r="M550" s="69">
        <v>0</v>
      </c>
      <c r="N550" s="70">
        <v>0</v>
      </c>
      <c r="O550" s="70">
        <v>8673975.4000000004</v>
      </c>
      <c r="P550" s="70">
        <v>14668956.880000001</v>
      </c>
      <c r="Q550" s="70">
        <v>0</v>
      </c>
      <c r="R550" s="71">
        <v>420564383.10000002</v>
      </c>
      <c r="S550" s="70">
        <v>-0.05</v>
      </c>
      <c r="T550" s="70">
        <v>420564383.05000001</v>
      </c>
      <c r="U550" s="72" t="s">
        <v>0</v>
      </c>
    </row>
    <row r="551" spans="1:21" ht="14.45" customHeight="1">
      <c r="A551" s="64">
        <v>45754</v>
      </c>
      <c r="B551" s="64">
        <v>45734</v>
      </c>
      <c r="C551" s="64">
        <v>45734</v>
      </c>
      <c r="D551" s="65" t="s">
        <v>131</v>
      </c>
      <c r="E551" s="65" t="s">
        <v>366</v>
      </c>
      <c r="F551" s="65" t="s">
        <v>367</v>
      </c>
      <c r="G551" s="65" t="s">
        <v>346</v>
      </c>
      <c r="H551" s="65"/>
      <c r="I551" s="66" t="s">
        <v>12</v>
      </c>
      <c r="J551" s="67">
        <v>0</v>
      </c>
      <c r="K551" s="68">
        <v>0</v>
      </c>
      <c r="L551" s="67">
        <v>688667.16</v>
      </c>
      <c r="M551" s="69">
        <v>0</v>
      </c>
      <c r="N551" s="70">
        <v>0</v>
      </c>
      <c r="O551" s="70">
        <v>8673975.4000000004</v>
      </c>
      <c r="P551" s="70">
        <v>14668956.880000001</v>
      </c>
      <c r="Q551" s="70">
        <v>0</v>
      </c>
      <c r="R551" s="71">
        <v>421253050.25999999</v>
      </c>
      <c r="S551" s="70">
        <v>-0.05</v>
      </c>
      <c r="T551" s="70">
        <v>421253050.20999998</v>
      </c>
      <c r="U551" s="72" t="s">
        <v>0</v>
      </c>
    </row>
    <row r="552" spans="1:21" ht="14.45" customHeight="1">
      <c r="A552" s="64">
        <v>45755</v>
      </c>
      <c r="B552" s="64">
        <v>45657</v>
      </c>
      <c r="C552" s="64">
        <v>45657</v>
      </c>
      <c r="D552" s="65" t="s">
        <v>368</v>
      </c>
      <c r="E552" s="65" t="s">
        <v>0</v>
      </c>
      <c r="F552" s="65"/>
      <c r="G552" s="65" t="s">
        <v>48</v>
      </c>
      <c r="H552" s="65" t="s">
        <v>14</v>
      </c>
      <c r="I552" s="66" t="s">
        <v>12</v>
      </c>
      <c r="J552" s="67">
        <v>22500</v>
      </c>
      <c r="K552" s="68">
        <v>0</v>
      </c>
      <c r="L552" s="67">
        <v>0</v>
      </c>
      <c r="M552" s="69">
        <v>0</v>
      </c>
      <c r="N552" s="70">
        <v>0</v>
      </c>
      <c r="O552" s="70">
        <v>8673975.4000000004</v>
      </c>
      <c r="P552" s="70">
        <v>14691456.880000001</v>
      </c>
      <c r="Q552" s="70">
        <v>0</v>
      </c>
      <c r="R552" s="71">
        <v>421253050.25999999</v>
      </c>
      <c r="S552" s="70">
        <v>-0.05</v>
      </c>
      <c r="T552" s="70">
        <v>421253050.20999998</v>
      </c>
      <c r="U552" s="72" t="s">
        <v>0</v>
      </c>
    </row>
    <row r="553" spans="1:21" ht="14.45" customHeight="1">
      <c r="A553" s="64">
        <v>45755</v>
      </c>
      <c r="B553" s="64">
        <v>45755</v>
      </c>
      <c r="C553" s="64">
        <v>45750</v>
      </c>
      <c r="D553" s="65" t="s">
        <v>369</v>
      </c>
      <c r="E553" s="65" t="s">
        <v>86</v>
      </c>
      <c r="F553" s="65"/>
      <c r="G553" s="65" t="s">
        <v>76</v>
      </c>
      <c r="H553" s="65" t="s">
        <v>14</v>
      </c>
      <c r="I553" s="66" t="s">
        <v>12</v>
      </c>
      <c r="J553" s="67">
        <v>-9932500</v>
      </c>
      <c r="K553" s="68">
        <v>0.99319999999999997</v>
      </c>
      <c r="L553" s="67">
        <v>10000000</v>
      </c>
      <c r="M553" s="69">
        <v>0</v>
      </c>
      <c r="N553" s="70">
        <v>0</v>
      </c>
      <c r="O553" s="70">
        <v>8673975.4000000004</v>
      </c>
      <c r="P553" s="70">
        <v>4758956.88</v>
      </c>
      <c r="Q553" s="70">
        <v>0</v>
      </c>
      <c r="R553" s="71">
        <v>431253050.25999999</v>
      </c>
      <c r="S553" s="70">
        <v>-0.05</v>
      </c>
      <c r="T553" s="70">
        <v>431253050.20999998</v>
      </c>
      <c r="U553" s="72" t="s">
        <v>0</v>
      </c>
    </row>
    <row r="554" spans="1:21" ht="14.45" customHeight="1">
      <c r="A554" s="64">
        <v>45756</v>
      </c>
      <c r="B554" s="64">
        <v>45734</v>
      </c>
      <c r="C554" s="64">
        <v>45734</v>
      </c>
      <c r="D554" s="65" t="s">
        <v>131</v>
      </c>
      <c r="E554" s="65" t="s">
        <v>132</v>
      </c>
      <c r="F554" s="65" t="s">
        <v>133</v>
      </c>
      <c r="G554" s="65" t="s">
        <v>365</v>
      </c>
      <c r="H554" s="65"/>
      <c r="I554" s="66" t="s">
        <v>12</v>
      </c>
      <c r="J554" s="67">
        <v>0</v>
      </c>
      <c r="K554" s="68">
        <v>0</v>
      </c>
      <c r="L554" s="67">
        <v>8577681.1799999997</v>
      </c>
      <c r="M554" s="69">
        <v>0</v>
      </c>
      <c r="N554" s="70">
        <v>0</v>
      </c>
      <c r="O554" s="70">
        <v>8673975.4000000004</v>
      </c>
      <c r="P554" s="70">
        <v>4758956.88</v>
      </c>
      <c r="Q554" s="70">
        <v>0</v>
      </c>
      <c r="R554" s="71">
        <v>439830731.44</v>
      </c>
      <c r="S554" s="70">
        <v>-0.05</v>
      </c>
      <c r="T554" s="70">
        <v>439830731.38999999</v>
      </c>
      <c r="U554" s="72" t="s">
        <v>0</v>
      </c>
    </row>
    <row r="555" spans="1:21" ht="14.45" customHeight="1">
      <c r="A555" s="64">
        <v>45756</v>
      </c>
      <c r="B555" s="64">
        <v>45734</v>
      </c>
      <c r="C555" s="64">
        <v>45734</v>
      </c>
      <c r="D555" s="65" t="s">
        <v>131</v>
      </c>
      <c r="E555" s="65" t="s">
        <v>132</v>
      </c>
      <c r="F555" s="65" t="s">
        <v>133</v>
      </c>
      <c r="G555" s="65" t="s">
        <v>365</v>
      </c>
      <c r="H555" s="65"/>
      <c r="I555" s="66" t="s">
        <v>12</v>
      </c>
      <c r="J555" s="67">
        <v>0</v>
      </c>
      <c r="K555" s="68">
        <v>0</v>
      </c>
      <c r="L555" s="67">
        <v>-688667.16</v>
      </c>
      <c r="M555" s="69">
        <v>0</v>
      </c>
      <c r="N555" s="70">
        <v>0</v>
      </c>
      <c r="O555" s="70">
        <v>8673975.4000000004</v>
      </c>
      <c r="P555" s="70">
        <v>4758956.88</v>
      </c>
      <c r="Q555" s="70">
        <v>0</v>
      </c>
      <c r="R555" s="71">
        <v>439142064.27999997</v>
      </c>
      <c r="S555" s="70">
        <v>-0.05</v>
      </c>
      <c r="T555" s="70">
        <v>439142064.23000002</v>
      </c>
      <c r="U555" s="72" t="s">
        <v>0</v>
      </c>
    </row>
    <row r="556" spans="1:21" ht="14.45" customHeight="1">
      <c r="A556" s="64">
        <v>45756</v>
      </c>
      <c r="B556" s="64">
        <v>45747</v>
      </c>
      <c r="C556" s="64">
        <v>45747</v>
      </c>
      <c r="D556" s="65" t="s">
        <v>370</v>
      </c>
      <c r="E556" s="65" t="s">
        <v>0</v>
      </c>
      <c r="F556" s="65"/>
      <c r="G556" s="65" t="s">
        <v>48</v>
      </c>
      <c r="H556" s="65" t="s">
        <v>13</v>
      </c>
      <c r="I556" s="66" t="s">
        <v>12</v>
      </c>
      <c r="J556" s="67">
        <v>5014.84</v>
      </c>
      <c r="K556" s="68">
        <v>0</v>
      </c>
      <c r="L556" s="67">
        <v>0</v>
      </c>
      <c r="M556" s="69">
        <v>0</v>
      </c>
      <c r="N556" s="70">
        <v>0</v>
      </c>
      <c r="O556" s="70">
        <v>8678990.2400000002</v>
      </c>
      <c r="P556" s="70">
        <v>4758956.88</v>
      </c>
      <c r="Q556" s="70">
        <v>0</v>
      </c>
      <c r="R556" s="71">
        <v>439142064.27999997</v>
      </c>
      <c r="S556" s="70">
        <v>-0.05</v>
      </c>
      <c r="T556" s="70">
        <v>439142064.23000002</v>
      </c>
      <c r="U556" s="72" t="s">
        <v>0</v>
      </c>
    </row>
    <row r="557" spans="1:21" ht="14.45" customHeight="1">
      <c r="A557" s="64">
        <v>45756</v>
      </c>
      <c r="B557" s="64">
        <v>45747</v>
      </c>
      <c r="C557" s="64">
        <v>45747</v>
      </c>
      <c r="D557" s="65" t="s">
        <v>371</v>
      </c>
      <c r="E557" s="65" t="s">
        <v>0</v>
      </c>
      <c r="F557" s="65"/>
      <c r="G557" s="65" t="s">
        <v>48</v>
      </c>
      <c r="H557" s="65" t="s">
        <v>13</v>
      </c>
      <c r="I557" s="66" t="s">
        <v>12</v>
      </c>
      <c r="J557" s="67">
        <v>3221.38</v>
      </c>
      <c r="K557" s="68">
        <v>0</v>
      </c>
      <c r="L557" s="67">
        <v>0</v>
      </c>
      <c r="M557" s="69">
        <v>0</v>
      </c>
      <c r="N557" s="70">
        <v>0</v>
      </c>
      <c r="O557" s="70">
        <v>8682211.6199999992</v>
      </c>
      <c r="P557" s="70">
        <v>4758956.88</v>
      </c>
      <c r="Q557" s="70">
        <v>0</v>
      </c>
      <c r="R557" s="71">
        <v>439142064.27999997</v>
      </c>
      <c r="S557" s="70">
        <v>-0.05</v>
      </c>
      <c r="T557" s="70">
        <v>439142064.23000002</v>
      </c>
      <c r="U557" s="72" t="s">
        <v>0</v>
      </c>
    </row>
    <row r="558" spans="1:21" ht="14.45" customHeight="1">
      <c r="A558" s="64">
        <v>45756</v>
      </c>
      <c r="B558" s="64">
        <v>45747</v>
      </c>
      <c r="C558" s="64">
        <v>45747</v>
      </c>
      <c r="D558" s="65" t="s">
        <v>372</v>
      </c>
      <c r="E558" s="65" t="s">
        <v>0</v>
      </c>
      <c r="F558" s="65"/>
      <c r="G558" s="65" t="s">
        <v>48</v>
      </c>
      <c r="H558" s="65" t="s">
        <v>13</v>
      </c>
      <c r="I558" s="66" t="s">
        <v>12</v>
      </c>
      <c r="J558" s="67">
        <v>1412.14</v>
      </c>
      <c r="K558" s="68">
        <v>0</v>
      </c>
      <c r="L558" s="67">
        <v>0</v>
      </c>
      <c r="M558" s="69">
        <v>0</v>
      </c>
      <c r="N558" s="70">
        <v>0</v>
      </c>
      <c r="O558" s="70">
        <v>8683623.7599999998</v>
      </c>
      <c r="P558" s="70">
        <v>4758956.88</v>
      </c>
      <c r="Q558" s="70">
        <v>0</v>
      </c>
      <c r="R558" s="71">
        <v>439142064.27999997</v>
      </c>
      <c r="S558" s="70">
        <v>-0.05</v>
      </c>
      <c r="T558" s="70">
        <v>439142064.23000002</v>
      </c>
      <c r="U558" s="72" t="s">
        <v>0</v>
      </c>
    </row>
    <row r="559" spans="1:21" ht="14.45" customHeight="1">
      <c r="A559" s="64">
        <v>45756</v>
      </c>
      <c r="B559" s="64">
        <v>45754</v>
      </c>
      <c r="C559" s="64">
        <v>45754</v>
      </c>
      <c r="D559" s="65" t="s">
        <v>93</v>
      </c>
      <c r="E559" s="65" t="s">
        <v>86</v>
      </c>
      <c r="F559" s="65" t="s">
        <v>94</v>
      </c>
      <c r="G559" s="65" t="s">
        <v>290</v>
      </c>
      <c r="H559" s="65" t="s">
        <v>13</v>
      </c>
      <c r="I559" s="66" t="s">
        <v>12</v>
      </c>
      <c r="J559" s="67">
        <v>7270.06</v>
      </c>
      <c r="K559" s="68">
        <v>0</v>
      </c>
      <c r="L559" s="67">
        <v>0</v>
      </c>
      <c r="M559" s="69">
        <v>0</v>
      </c>
      <c r="N559" s="70">
        <v>0</v>
      </c>
      <c r="O559" s="70">
        <v>8690893.8200000003</v>
      </c>
      <c r="P559" s="70">
        <v>4758956.88</v>
      </c>
      <c r="Q559" s="70">
        <v>0</v>
      </c>
      <c r="R559" s="71">
        <v>439142064.27999997</v>
      </c>
      <c r="S559" s="70">
        <v>-0.05</v>
      </c>
      <c r="T559" s="70">
        <v>439142064.23000002</v>
      </c>
      <c r="U559" s="72" t="s">
        <v>0</v>
      </c>
    </row>
    <row r="560" spans="1:21" ht="14.45" customHeight="1">
      <c r="A560" s="64">
        <v>45756</v>
      </c>
      <c r="B560" s="64">
        <v>45747</v>
      </c>
      <c r="C560" s="64">
        <v>45747</v>
      </c>
      <c r="D560" s="65" t="s">
        <v>373</v>
      </c>
      <c r="E560" s="65" t="s">
        <v>0</v>
      </c>
      <c r="F560" s="65"/>
      <c r="G560" s="65" t="s">
        <v>48</v>
      </c>
      <c r="H560" s="65" t="s">
        <v>13</v>
      </c>
      <c r="I560" s="66" t="s">
        <v>12</v>
      </c>
      <c r="J560" s="67">
        <v>-22935.61</v>
      </c>
      <c r="K560" s="68">
        <v>0</v>
      </c>
      <c r="L560" s="67">
        <v>0</v>
      </c>
      <c r="M560" s="69">
        <v>0</v>
      </c>
      <c r="N560" s="70">
        <v>0</v>
      </c>
      <c r="O560" s="70">
        <v>8667958.2100000009</v>
      </c>
      <c r="P560" s="70">
        <v>4758956.88</v>
      </c>
      <c r="Q560" s="70">
        <v>0</v>
      </c>
      <c r="R560" s="71">
        <v>439142064.27999997</v>
      </c>
      <c r="S560" s="70">
        <v>-0.05</v>
      </c>
      <c r="T560" s="70">
        <v>439142064.23000002</v>
      </c>
      <c r="U560" s="72" t="s">
        <v>0</v>
      </c>
    </row>
    <row r="561" spans="1:21" ht="14.45" customHeight="1">
      <c r="A561" s="64">
        <v>45757</v>
      </c>
      <c r="B561" s="64">
        <v>45757</v>
      </c>
      <c r="C561" s="64">
        <v>45757</v>
      </c>
      <c r="D561" s="65" t="s">
        <v>269</v>
      </c>
      <c r="E561" s="65" t="s">
        <v>0</v>
      </c>
      <c r="F561" s="65"/>
      <c r="G561" s="65" t="s">
        <v>270</v>
      </c>
      <c r="H561" s="65" t="s">
        <v>13</v>
      </c>
      <c r="I561" s="66" t="s">
        <v>12</v>
      </c>
      <c r="J561" s="67">
        <v>896.06</v>
      </c>
      <c r="K561" s="68">
        <v>0</v>
      </c>
      <c r="L561" s="67">
        <v>0</v>
      </c>
      <c r="M561" s="69">
        <v>0</v>
      </c>
      <c r="N561" s="70">
        <v>0</v>
      </c>
      <c r="O561" s="70">
        <v>8668854.2699999996</v>
      </c>
      <c r="P561" s="70">
        <v>4758956.88</v>
      </c>
      <c r="Q561" s="70">
        <v>0</v>
      </c>
      <c r="R561" s="71">
        <v>439142064.27999997</v>
      </c>
      <c r="S561" s="70">
        <v>-0.05</v>
      </c>
      <c r="T561" s="70">
        <v>439142064.23000002</v>
      </c>
      <c r="U561" s="72" t="s">
        <v>0</v>
      </c>
    </row>
    <row r="562" spans="1:21" ht="14.45" customHeight="1">
      <c r="A562" s="64">
        <v>45758</v>
      </c>
      <c r="B562" s="64">
        <v>45657</v>
      </c>
      <c r="C562" s="64">
        <v>45657</v>
      </c>
      <c r="D562" s="65" t="s">
        <v>374</v>
      </c>
      <c r="E562" s="65" t="s">
        <v>375</v>
      </c>
      <c r="F562" s="65"/>
      <c r="G562" s="65" t="s">
        <v>346</v>
      </c>
      <c r="H562" s="65"/>
      <c r="I562" s="66" t="s">
        <v>12</v>
      </c>
      <c r="J562" s="67">
        <v>0</v>
      </c>
      <c r="K562" s="68">
        <v>0</v>
      </c>
      <c r="L562" s="67">
        <v>15236.15</v>
      </c>
      <c r="M562" s="69">
        <v>0</v>
      </c>
      <c r="N562" s="70">
        <v>0</v>
      </c>
      <c r="O562" s="70">
        <v>8668854.2699999996</v>
      </c>
      <c r="P562" s="70">
        <v>4758956.88</v>
      </c>
      <c r="Q562" s="70">
        <v>0</v>
      </c>
      <c r="R562" s="71">
        <v>439157300.43000001</v>
      </c>
      <c r="S562" s="70">
        <v>-0.05</v>
      </c>
      <c r="T562" s="70">
        <v>439157300.38</v>
      </c>
      <c r="U562" s="72" t="s">
        <v>0</v>
      </c>
    </row>
    <row r="563" spans="1:21" ht="14.45" customHeight="1">
      <c r="A563" s="64">
        <v>45761</v>
      </c>
      <c r="B563" s="64">
        <v>45748</v>
      </c>
      <c r="C563" s="64">
        <v>45748</v>
      </c>
      <c r="D563" s="65" t="s">
        <v>376</v>
      </c>
      <c r="E563" s="65" t="s">
        <v>0</v>
      </c>
      <c r="F563" s="65"/>
      <c r="G563" s="65" t="s">
        <v>48</v>
      </c>
      <c r="H563" s="65" t="s">
        <v>13</v>
      </c>
      <c r="I563" s="66" t="s">
        <v>12</v>
      </c>
      <c r="J563" s="67">
        <v>6646.58</v>
      </c>
      <c r="K563" s="68">
        <v>0</v>
      </c>
      <c r="L563" s="67">
        <v>0</v>
      </c>
      <c r="M563" s="69">
        <v>0</v>
      </c>
      <c r="N563" s="70">
        <v>0</v>
      </c>
      <c r="O563" s="70">
        <v>8675500.8499999996</v>
      </c>
      <c r="P563" s="70">
        <v>4758956.88</v>
      </c>
      <c r="Q563" s="70">
        <v>0</v>
      </c>
      <c r="R563" s="71">
        <v>439157300.43000001</v>
      </c>
      <c r="S563" s="70">
        <v>-0.05</v>
      </c>
      <c r="T563" s="70">
        <v>439157300.38</v>
      </c>
      <c r="U563" s="72" t="s">
        <v>0</v>
      </c>
    </row>
    <row r="564" spans="1:21" ht="14.45" customHeight="1">
      <c r="A564" s="64">
        <v>45761</v>
      </c>
      <c r="B564" s="64">
        <v>45748</v>
      </c>
      <c r="C564" s="64">
        <v>45748</v>
      </c>
      <c r="D564" s="65" t="s">
        <v>377</v>
      </c>
      <c r="E564" s="65" t="s">
        <v>0</v>
      </c>
      <c r="F564" s="65"/>
      <c r="G564" s="65" t="s">
        <v>48</v>
      </c>
      <c r="H564" s="65" t="s">
        <v>13</v>
      </c>
      <c r="I564" s="66" t="s">
        <v>12</v>
      </c>
      <c r="J564" s="67">
        <v>7139.93</v>
      </c>
      <c r="K564" s="68">
        <v>0</v>
      </c>
      <c r="L564" s="67">
        <v>0</v>
      </c>
      <c r="M564" s="69">
        <v>0</v>
      </c>
      <c r="N564" s="70">
        <v>0</v>
      </c>
      <c r="O564" s="70">
        <v>8682640.7799999993</v>
      </c>
      <c r="P564" s="70">
        <v>4758956.88</v>
      </c>
      <c r="Q564" s="70">
        <v>0</v>
      </c>
      <c r="R564" s="71">
        <v>439157300.43000001</v>
      </c>
      <c r="S564" s="70">
        <v>-0.05</v>
      </c>
      <c r="T564" s="70">
        <v>439157300.38</v>
      </c>
      <c r="U564" s="72" t="s">
        <v>0</v>
      </c>
    </row>
    <row r="565" spans="1:21" ht="14.45" customHeight="1">
      <c r="A565" s="64">
        <v>45761</v>
      </c>
      <c r="B565" s="64">
        <v>45748</v>
      </c>
      <c r="C565" s="64">
        <v>45748</v>
      </c>
      <c r="D565" s="65" t="s">
        <v>378</v>
      </c>
      <c r="E565" s="65" t="s">
        <v>0</v>
      </c>
      <c r="F565" s="65"/>
      <c r="G565" s="65" t="s">
        <v>48</v>
      </c>
      <c r="H565" s="65" t="s">
        <v>13</v>
      </c>
      <c r="I565" s="66" t="s">
        <v>12</v>
      </c>
      <c r="J565" s="67">
        <v>4767.25</v>
      </c>
      <c r="K565" s="68">
        <v>0</v>
      </c>
      <c r="L565" s="67">
        <v>0</v>
      </c>
      <c r="M565" s="69">
        <v>0</v>
      </c>
      <c r="N565" s="70">
        <v>0</v>
      </c>
      <c r="O565" s="70">
        <v>8687408.0299999993</v>
      </c>
      <c r="P565" s="70">
        <v>4758956.88</v>
      </c>
      <c r="Q565" s="70">
        <v>0</v>
      </c>
      <c r="R565" s="71">
        <v>439157300.43000001</v>
      </c>
      <c r="S565" s="70">
        <v>-0.05</v>
      </c>
      <c r="T565" s="70">
        <v>439157300.38</v>
      </c>
      <c r="U565" s="72" t="s">
        <v>0</v>
      </c>
    </row>
    <row r="566" spans="1:21" ht="14.45" customHeight="1">
      <c r="A566" s="64">
        <v>45761</v>
      </c>
      <c r="B566" s="64">
        <v>45748</v>
      </c>
      <c r="C566" s="64">
        <v>45748</v>
      </c>
      <c r="D566" s="65" t="s">
        <v>378</v>
      </c>
      <c r="E566" s="65" t="s">
        <v>0</v>
      </c>
      <c r="F566" s="65"/>
      <c r="G566" s="65" t="s">
        <v>48</v>
      </c>
      <c r="H566" s="65" t="s">
        <v>13</v>
      </c>
      <c r="I566" s="66" t="s">
        <v>12</v>
      </c>
      <c r="J566" s="67">
        <v>1605.82</v>
      </c>
      <c r="K566" s="68">
        <v>0</v>
      </c>
      <c r="L566" s="67">
        <v>0</v>
      </c>
      <c r="M566" s="69">
        <v>0</v>
      </c>
      <c r="N566" s="70">
        <v>0</v>
      </c>
      <c r="O566" s="70">
        <v>8689013.8499999996</v>
      </c>
      <c r="P566" s="70">
        <v>4758956.88</v>
      </c>
      <c r="Q566" s="70">
        <v>0</v>
      </c>
      <c r="R566" s="71">
        <v>439157300.43000001</v>
      </c>
      <c r="S566" s="70">
        <v>-0.05</v>
      </c>
      <c r="T566" s="70">
        <v>439157300.38</v>
      </c>
      <c r="U566" s="72" t="s">
        <v>0</v>
      </c>
    </row>
    <row r="567" spans="1:21" ht="14.45" customHeight="1">
      <c r="A567" s="64">
        <v>45761</v>
      </c>
      <c r="B567" s="64">
        <v>45748</v>
      </c>
      <c r="C567" s="64">
        <v>45748</v>
      </c>
      <c r="D567" s="65" t="s">
        <v>379</v>
      </c>
      <c r="E567" s="65" t="s">
        <v>0</v>
      </c>
      <c r="F567" s="65"/>
      <c r="G567" s="65" t="s">
        <v>48</v>
      </c>
      <c r="H567" s="65" t="s">
        <v>13</v>
      </c>
      <c r="I567" s="66" t="s">
        <v>12</v>
      </c>
      <c r="J567" s="67">
        <v>2146.31</v>
      </c>
      <c r="K567" s="68">
        <v>0</v>
      </c>
      <c r="L567" s="67">
        <v>0</v>
      </c>
      <c r="M567" s="69">
        <v>0</v>
      </c>
      <c r="N567" s="70">
        <v>0</v>
      </c>
      <c r="O567" s="70">
        <v>8691160.1600000001</v>
      </c>
      <c r="P567" s="70">
        <v>4758956.88</v>
      </c>
      <c r="Q567" s="70">
        <v>0</v>
      </c>
      <c r="R567" s="71">
        <v>439157300.43000001</v>
      </c>
      <c r="S567" s="70">
        <v>-0.05</v>
      </c>
      <c r="T567" s="70">
        <v>439157300.38</v>
      </c>
      <c r="U567" s="72" t="s">
        <v>0</v>
      </c>
    </row>
    <row r="568" spans="1:21" ht="14.45" customHeight="1">
      <c r="A568" s="64">
        <v>45761</v>
      </c>
      <c r="B568" s="64">
        <v>45748</v>
      </c>
      <c r="C568" s="64">
        <v>45748</v>
      </c>
      <c r="D568" s="65" t="s">
        <v>380</v>
      </c>
      <c r="E568" s="65" t="s">
        <v>0</v>
      </c>
      <c r="F568" s="65"/>
      <c r="G568" s="65" t="s">
        <v>48</v>
      </c>
      <c r="H568" s="65" t="s">
        <v>13</v>
      </c>
      <c r="I568" s="66" t="s">
        <v>12</v>
      </c>
      <c r="J568" s="67">
        <v>10907.76</v>
      </c>
      <c r="K568" s="68">
        <v>0</v>
      </c>
      <c r="L568" s="67">
        <v>0</v>
      </c>
      <c r="M568" s="69">
        <v>0</v>
      </c>
      <c r="N568" s="70">
        <v>0</v>
      </c>
      <c r="O568" s="70">
        <v>8702067.9199999999</v>
      </c>
      <c r="P568" s="70">
        <v>4758956.88</v>
      </c>
      <c r="Q568" s="70">
        <v>0</v>
      </c>
      <c r="R568" s="71">
        <v>439157300.43000001</v>
      </c>
      <c r="S568" s="70">
        <v>-0.05</v>
      </c>
      <c r="T568" s="70">
        <v>439157300.38</v>
      </c>
      <c r="U568" s="72" t="s">
        <v>0</v>
      </c>
    </row>
    <row r="569" spans="1:21" ht="14.45" customHeight="1">
      <c r="A569" s="64">
        <v>45761</v>
      </c>
      <c r="B569" s="64">
        <v>45747</v>
      </c>
      <c r="C569" s="64">
        <v>45747</v>
      </c>
      <c r="D569" s="65" t="s">
        <v>91</v>
      </c>
      <c r="E569" s="65" t="s">
        <v>217</v>
      </c>
      <c r="F569" s="65" t="s">
        <v>218</v>
      </c>
      <c r="G569" s="65" t="s">
        <v>66</v>
      </c>
      <c r="H569" s="65" t="s">
        <v>13</v>
      </c>
      <c r="I569" s="66" t="s">
        <v>12</v>
      </c>
      <c r="J569" s="67">
        <v>22076.6</v>
      </c>
      <c r="K569" s="68">
        <v>0</v>
      </c>
      <c r="L569" s="67">
        <v>0</v>
      </c>
      <c r="M569" s="69">
        <v>0</v>
      </c>
      <c r="N569" s="70">
        <v>0</v>
      </c>
      <c r="O569" s="70">
        <v>8724144.5199999996</v>
      </c>
      <c r="P569" s="70">
        <v>4758956.88</v>
      </c>
      <c r="Q569" s="70">
        <v>0</v>
      </c>
      <c r="R569" s="71">
        <v>439157300.43000001</v>
      </c>
      <c r="S569" s="70">
        <v>-0.05</v>
      </c>
      <c r="T569" s="70">
        <v>439157300.38</v>
      </c>
      <c r="U569" s="72" t="s">
        <v>0</v>
      </c>
    </row>
    <row r="570" spans="1:21" ht="14.45" customHeight="1">
      <c r="A570" s="64">
        <v>45761</v>
      </c>
      <c r="B570" s="64">
        <v>45747</v>
      </c>
      <c r="C570" s="64">
        <v>45747</v>
      </c>
      <c r="D570" s="65" t="s">
        <v>91</v>
      </c>
      <c r="E570" s="65" t="s">
        <v>214</v>
      </c>
      <c r="F570" s="65" t="s">
        <v>215</v>
      </c>
      <c r="G570" s="65" t="s">
        <v>66</v>
      </c>
      <c r="H570" s="65" t="s">
        <v>13</v>
      </c>
      <c r="I570" s="66" t="s">
        <v>12</v>
      </c>
      <c r="J570" s="67">
        <v>39021.699999999997</v>
      </c>
      <c r="K570" s="68">
        <v>0</v>
      </c>
      <c r="L570" s="67">
        <v>0</v>
      </c>
      <c r="M570" s="69">
        <v>0</v>
      </c>
      <c r="N570" s="70">
        <v>0</v>
      </c>
      <c r="O570" s="70">
        <v>8763166.2200000007</v>
      </c>
      <c r="P570" s="70">
        <v>4758956.88</v>
      </c>
      <c r="Q570" s="70">
        <v>0</v>
      </c>
      <c r="R570" s="71">
        <v>439157300.43000001</v>
      </c>
      <c r="S570" s="70">
        <v>-0.05</v>
      </c>
      <c r="T570" s="70">
        <v>439157300.38</v>
      </c>
      <c r="U570" s="72" t="s">
        <v>0</v>
      </c>
    </row>
    <row r="571" spans="1:21" ht="14.45" customHeight="1">
      <c r="A571" s="64">
        <v>45761</v>
      </c>
      <c r="B571" s="64">
        <v>45747</v>
      </c>
      <c r="C571" s="64">
        <v>45747</v>
      </c>
      <c r="D571" s="65" t="s">
        <v>91</v>
      </c>
      <c r="E571" s="65" t="s">
        <v>214</v>
      </c>
      <c r="F571" s="65" t="s">
        <v>215</v>
      </c>
      <c r="G571" s="65" t="s">
        <v>71</v>
      </c>
      <c r="H571" s="65" t="s">
        <v>14</v>
      </c>
      <c r="I571" s="66" t="s">
        <v>12</v>
      </c>
      <c r="J571" s="67">
        <v>1861.49</v>
      </c>
      <c r="K571" s="68">
        <v>1</v>
      </c>
      <c r="L571" s="67">
        <v>-1861.49</v>
      </c>
      <c r="M571" s="69">
        <v>0</v>
      </c>
      <c r="N571" s="70">
        <v>0</v>
      </c>
      <c r="O571" s="70">
        <v>8763166.2200000007</v>
      </c>
      <c r="P571" s="70">
        <v>4760818.37</v>
      </c>
      <c r="Q571" s="70">
        <v>0</v>
      </c>
      <c r="R571" s="71">
        <v>439155438.94</v>
      </c>
      <c r="S571" s="70">
        <v>-0.05</v>
      </c>
      <c r="T571" s="70">
        <v>439155438.88999999</v>
      </c>
      <c r="U571" s="72" t="s">
        <v>0</v>
      </c>
    </row>
    <row r="572" spans="1:21" ht="14.45" customHeight="1">
      <c r="A572" s="64">
        <v>45761</v>
      </c>
      <c r="B572" s="64">
        <v>45747</v>
      </c>
      <c r="C572" s="64">
        <v>45747</v>
      </c>
      <c r="D572" s="65" t="s">
        <v>91</v>
      </c>
      <c r="E572" s="65" t="s">
        <v>65</v>
      </c>
      <c r="F572" s="65" t="s">
        <v>92</v>
      </c>
      <c r="G572" s="65" t="s">
        <v>71</v>
      </c>
      <c r="H572" s="65" t="s">
        <v>14</v>
      </c>
      <c r="I572" s="66" t="s">
        <v>12</v>
      </c>
      <c r="J572" s="67">
        <v>13460.1</v>
      </c>
      <c r="K572" s="68">
        <v>1</v>
      </c>
      <c r="L572" s="67">
        <v>-13460.1</v>
      </c>
      <c r="M572" s="69">
        <v>0</v>
      </c>
      <c r="N572" s="70">
        <v>0</v>
      </c>
      <c r="O572" s="70">
        <v>8763166.2200000007</v>
      </c>
      <c r="P572" s="70">
        <v>4774278.47</v>
      </c>
      <c r="Q572" s="70">
        <v>0</v>
      </c>
      <c r="R572" s="71">
        <v>439141978.83999997</v>
      </c>
      <c r="S572" s="70">
        <v>-0.05</v>
      </c>
      <c r="T572" s="70">
        <v>439141978.79000002</v>
      </c>
      <c r="U572" s="72" t="s">
        <v>0</v>
      </c>
    </row>
    <row r="573" spans="1:21" ht="14.45" customHeight="1">
      <c r="A573" s="64">
        <v>45761</v>
      </c>
      <c r="B573" s="64">
        <v>45747</v>
      </c>
      <c r="C573" s="64">
        <v>45747</v>
      </c>
      <c r="D573" s="65" t="s">
        <v>91</v>
      </c>
      <c r="E573" s="65" t="s">
        <v>167</v>
      </c>
      <c r="F573" s="65" t="s">
        <v>168</v>
      </c>
      <c r="G573" s="65" t="s">
        <v>66</v>
      </c>
      <c r="H573" s="65" t="s">
        <v>13</v>
      </c>
      <c r="I573" s="66" t="s">
        <v>12</v>
      </c>
      <c r="J573" s="67">
        <v>47947.360000000001</v>
      </c>
      <c r="K573" s="68">
        <v>0</v>
      </c>
      <c r="L573" s="67">
        <v>0</v>
      </c>
      <c r="M573" s="69">
        <v>0</v>
      </c>
      <c r="N573" s="70">
        <v>0</v>
      </c>
      <c r="O573" s="70">
        <v>8811113.5800000001</v>
      </c>
      <c r="P573" s="70">
        <v>4774278.47</v>
      </c>
      <c r="Q573" s="70">
        <v>0</v>
      </c>
      <c r="R573" s="71">
        <v>439141978.83999997</v>
      </c>
      <c r="S573" s="70">
        <v>-0.05</v>
      </c>
      <c r="T573" s="70">
        <v>439141978.79000002</v>
      </c>
      <c r="U573" s="72" t="s">
        <v>0</v>
      </c>
    </row>
    <row r="574" spans="1:21" ht="14.45" customHeight="1">
      <c r="A574" s="64">
        <v>45761</v>
      </c>
      <c r="B574" s="64">
        <v>45747</v>
      </c>
      <c r="C574" s="64">
        <v>45747</v>
      </c>
      <c r="D574" s="65" t="s">
        <v>91</v>
      </c>
      <c r="E574" s="65" t="s">
        <v>65</v>
      </c>
      <c r="F574" s="65" t="s">
        <v>92</v>
      </c>
      <c r="G574" s="65" t="s">
        <v>66</v>
      </c>
      <c r="H574" s="65" t="s">
        <v>13</v>
      </c>
      <c r="I574" s="66" t="s">
        <v>12</v>
      </c>
      <c r="J574" s="67">
        <v>136013.42000000001</v>
      </c>
      <c r="K574" s="68">
        <v>0</v>
      </c>
      <c r="L574" s="67">
        <v>0</v>
      </c>
      <c r="M574" s="69">
        <v>0</v>
      </c>
      <c r="N574" s="70">
        <v>0</v>
      </c>
      <c r="O574" s="70">
        <v>8947127</v>
      </c>
      <c r="P574" s="70">
        <v>4774278.47</v>
      </c>
      <c r="Q574" s="70">
        <v>0</v>
      </c>
      <c r="R574" s="71">
        <v>439141978.83999997</v>
      </c>
      <c r="S574" s="70">
        <v>-0.05</v>
      </c>
      <c r="T574" s="70">
        <v>439141978.79000002</v>
      </c>
      <c r="U574" s="72" t="s">
        <v>0</v>
      </c>
    </row>
    <row r="575" spans="1:21" ht="14.45" customHeight="1">
      <c r="A575" s="64">
        <v>45761</v>
      </c>
      <c r="B575" s="64">
        <v>45747</v>
      </c>
      <c r="C575" s="64">
        <v>45747</v>
      </c>
      <c r="D575" s="65" t="s">
        <v>91</v>
      </c>
      <c r="E575" s="65" t="s">
        <v>381</v>
      </c>
      <c r="F575" s="65" t="s">
        <v>168</v>
      </c>
      <c r="G575" s="65" t="s">
        <v>71</v>
      </c>
      <c r="H575" s="65" t="s">
        <v>14</v>
      </c>
      <c r="I575" s="66" t="s">
        <v>12</v>
      </c>
      <c r="J575" s="67">
        <v>4978.1899999999996</v>
      </c>
      <c r="K575" s="68">
        <v>1</v>
      </c>
      <c r="L575" s="67">
        <v>-4978.1899999999996</v>
      </c>
      <c r="M575" s="69">
        <v>0</v>
      </c>
      <c r="N575" s="70">
        <v>0</v>
      </c>
      <c r="O575" s="70">
        <v>8947127</v>
      </c>
      <c r="P575" s="70">
        <v>4779256.66</v>
      </c>
      <c r="Q575" s="70">
        <v>0</v>
      </c>
      <c r="R575" s="71">
        <v>439137000.64999998</v>
      </c>
      <c r="S575" s="70">
        <v>-0.05</v>
      </c>
      <c r="T575" s="70">
        <v>439137000.60000002</v>
      </c>
      <c r="U575" s="72" t="s">
        <v>0</v>
      </c>
    </row>
    <row r="576" spans="1:21" ht="14.45" customHeight="1">
      <c r="A576" s="64">
        <v>45761</v>
      </c>
      <c r="B576" s="64">
        <v>45747</v>
      </c>
      <c r="C576" s="64">
        <v>45747</v>
      </c>
      <c r="D576" s="65" t="s">
        <v>91</v>
      </c>
      <c r="E576" s="65" t="s">
        <v>382</v>
      </c>
      <c r="F576" s="65" t="s">
        <v>218</v>
      </c>
      <c r="G576" s="65" t="s">
        <v>71</v>
      </c>
      <c r="H576" s="65" t="s">
        <v>14</v>
      </c>
      <c r="I576" s="66" t="s">
        <v>12</v>
      </c>
      <c r="J576" s="67">
        <v>2274.89</v>
      </c>
      <c r="K576" s="68">
        <v>1</v>
      </c>
      <c r="L576" s="67">
        <v>-2274.89</v>
      </c>
      <c r="M576" s="69">
        <v>0</v>
      </c>
      <c r="N576" s="70">
        <v>0</v>
      </c>
      <c r="O576" s="70">
        <v>8947127</v>
      </c>
      <c r="P576" s="70">
        <v>4781531.55</v>
      </c>
      <c r="Q576" s="70">
        <v>0</v>
      </c>
      <c r="R576" s="71">
        <v>439134725.75999999</v>
      </c>
      <c r="S576" s="70">
        <v>-0.05</v>
      </c>
      <c r="T576" s="70">
        <v>439134725.70999998</v>
      </c>
      <c r="U576" s="72" t="s">
        <v>0</v>
      </c>
    </row>
    <row r="577" spans="1:21" ht="14.45" customHeight="1">
      <c r="A577" s="64">
        <v>45761</v>
      </c>
      <c r="B577" s="64">
        <v>45747</v>
      </c>
      <c r="C577" s="64">
        <v>45747</v>
      </c>
      <c r="D577" s="65" t="s">
        <v>91</v>
      </c>
      <c r="E577" s="65" t="s">
        <v>230</v>
      </c>
      <c r="F577" s="65" t="s">
        <v>231</v>
      </c>
      <c r="G577" s="65" t="s">
        <v>66</v>
      </c>
      <c r="H577" s="65" t="s">
        <v>13</v>
      </c>
      <c r="I577" s="66" t="s">
        <v>12</v>
      </c>
      <c r="J577" s="67">
        <v>2304.65</v>
      </c>
      <c r="K577" s="68">
        <v>0</v>
      </c>
      <c r="L577" s="67">
        <v>0</v>
      </c>
      <c r="M577" s="69">
        <v>0</v>
      </c>
      <c r="N577" s="70">
        <v>0</v>
      </c>
      <c r="O577" s="70">
        <v>8949431.6500000004</v>
      </c>
      <c r="P577" s="70">
        <v>4781531.55</v>
      </c>
      <c r="Q577" s="70">
        <v>0</v>
      </c>
      <c r="R577" s="71">
        <v>439134725.75999999</v>
      </c>
      <c r="S577" s="70">
        <v>-0.05</v>
      </c>
      <c r="T577" s="70">
        <v>439134725.70999998</v>
      </c>
      <c r="U577" s="72" t="s">
        <v>0</v>
      </c>
    </row>
    <row r="578" spans="1:21" ht="14.45" customHeight="1">
      <c r="A578" s="64">
        <v>45761</v>
      </c>
      <c r="B578" s="64">
        <v>45747</v>
      </c>
      <c r="C578" s="64">
        <v>45747</v>
      </c>
      <c r="D578" s="65" t="s">
        <v>91</v>
      </c>
      <c r="E578" s="65" t="s">
        <v>232</v>
      </c>
      <c r="F578" s="65"/>
      <c r="G578" s="65" t="s">
        <v>66</v>
      </c>
      <c r="H578" s="65" t="s">
        <v>13</v>
      </c>
      <c r="I578" s="66" t="s">
        <v>12</v>
      </c>
      <c r="J578" s="67">
        <v>11567.08</v>
      </c>
      <c r="K578" s="68">
        <v>0</v>
      </c>
      <c r="L578" s="67">
        <v>0</v>
      </c>
      <c r="M578" s="69">
        <v>0</v>
      </c>
      <c r="N578" s="70">
        <v>0</v>
      </c>
      <c r="O578" s="70">
        <v>8960998.7300000004</v>
      </c>
      <c r="P578" s="70">
        <v>4781531.55</v>
      </c>
      <c r="Q578" s="70">
        <v>0</v>
      </c>
      <c r="R578" s="71">
        <v>439134725.75999999</v>
      </c>
      <c r="S578" s="70">
        <v>-0.05</v>
      </c>
      <c r="T578" s="70">
        <v>439134725.70999998</v>
      </c>
      <c r="U578" s="72" t="s">
        <v>0</v>
      </c>
    </row>
    <row r="579" spans="1:21" ht="14.45" customHeight="1">
      <c r="A579" s="64">
        <v>45761</v>
      </c>
      <c r="B579" s="64">
        <v>45747</v>
      </c>
      <c r="C579" s="64">
        <v>45747</v>
      </c>
      <c r="D579" s="65" t="s">
        <v>91</v>
      </c>
      <c r="E579" s="65" t="s">
        <v>214</v>
      </c>
      <c r="F579" s="65" t="s">
        <v>215</v>
      </c>
      <c r="G579" s="65" t="s">
        <v>66</v>
      </c>
      <c r="H579" s="65" t="s">
        <v>13</v>
      </c>
      <c r="I579" s="66" t="s">
        <v>12</v>
      </c>
      <c r="J579" s="67">
        <v>1352.08</v>
      </c>
      <c r="K579" s="68">
        <v>0</v>
      </c>
      <c r="L579" s="67">
        <v>0</v>
      </c>
      <c r="M579" s="69">
        <v>0</v>
      </c>
      <c r="N579" s="70">
        <v>0</v>
      </c>
      <c r="O579" s="70">
        <v>8962350.8100000005</v>
      </c>
      <c r="P579" s="70">
        <v>4781531.55</v>
      </c>
      <c r="Q579" s="70">
        <v>0</v>
      </c>
      <c r="R579" s="71">
        <v>439134725.75999999</v>
      </c>
      <c r="S579" s="70">
        <v>-0.05</v>
      </c>
      <c r="T579" s="70">
        <v>439134725.70999998</v>
      </c>
      <c r="U579" s="72" t="s">
        <v>0</v>
      </c>
    </row>
    <row r="580" spans="1:21" ht="14.45" customHeight="1">
      <c r="A580" s="64">
        <v>45761</v>
      </c>
      <c r="B580" s="64">
        <v>45748</v>
      </c>
      <c r="C580" s="64">
        <v>45748</v>
      </c>
      <c r="D580" s="65" t="s">
        <v>61</v>
      </c>
      <c r="E580" s="65" t="s">
        <v>62</v>
      </c>
      <c r="F580" s="65" t="s">
        <v>63</v>
      </c>
      <c r="G580" s="65" t="s">
        <v>66</v>
      </c>
      <c r="H580" s="65" t="s">
        <v>13</v>
      </c>
      <c r="I580" s="66" t="s">
        <v>12</v>
      </c>
      <c r="J580" s="67">
        <v>312.39999999999998</v>
      </c>
      <c r="K580" s="68">
        <v>0</v>
      </c>
      <c r="L580" s="67">
        <v>0</v>
      </c>
      <c r="M580" s="69">
        <v>0</v>
      </c>
      <c r="N580" s="70">
        <v>0</v>
      </c>
      <c r="O580" s="70">
        <v>8962663.2100000009</v>
      </c>
      <c r="P580" s="70">
        <v>4781531.55</v>
      </c>
      <c r="Q580" s="70">
        <v>0</v>
      </c>
      <c r="R580" s="71">
        <v>439134725.75999999</v>
      </c>
      <c r="S580" s="70">
        <v>-0.05</v>
      </c>
      <c r="T580" s="70">
        <v>439134725.70999998</v>
      </c>
      <c r="U580" s="72" t="s">
        <v>0</v>
      </c>
    </row>
    <row r="581" spans="1:21" ht="14.45" customHeight="1">
      <c r="A581" s="64">
        <v>45761</v>
      </c>
      <c r="B581" s="64">
        <v>45748</v>
      </c>
      <c r="C581" s="64">
        <v>45748</v>
      </c>
      <c r="D581" s="65" t="s">
        <v>61</v>
      </c>
      <c r="E581" s="65" t="s">
        <v>62</v>
      </c>
      <c r="F581" s="65" t="s">
        <v>63</v>
      </c>
      <c r="G581" s="65" t="s">
        <v>66</v>
      </c>
      <c r="H581" s="65" t="s">
        <v>13</v>
      </c>
      <c r="I581" s="66" t="s">
        <v>12</v>
      </c>
      <c r="J581" s="67">
        <v>7608.88</v>
      </c>
      <c r="K581" s="68">
        <v>0</v>
      </c>
      <c r="L581" s="67">
        <v>0</v>
      </c>
      <c r="M581" s="69">
        <v>0</v>
      </c>
      <c r="N581" s="70">
        <v>0</v>
      </c>
      <c r="O581" s="70">
        <v>8970272.0899999999</v>
      </c>
      <c r="P581" s="70">
        <v>4781531.55</v>
      </c>
      <c r="Q581" s="70">
        <v>0</v>
      </c>
      <c r="R581" s="71">
        <v>439134725.75999999</v>
      </c>
      <c r="S581" s="70">
        <v>-0.05</v>
      </c>
      <c r="T581" s="70">
        <v>439134725.70999998</v>
      </c>
      <c r="U581" s="72" t="s">
        <v>0</v>
      </c>
    </row>
    <row r="582" spans="1:21" ht="14.45" customHeight="1">
      <c r="A582" s="64">
        <v>45761</v>
      </c>
      <c r="B582" s="64">
        <v>45761</v>
      </c>
      <c r="C582" s="64">
        <v>45761</v>
      </c>
      <c r="D582" s="65" t="s">
        <v>80</v>
      </c>
      <c r="E582" s="65" t="s">
        <v>83</v>
      </c>
      <c r="F582" s="65" t="s">
        <v>84</v>
      </c>
      <c r="G582" s="65" t="s">
        <v>66</v>
      </c>
      <c r="H582" s="65" t="s">
        <v>13</v>
      </c>
      <c r="I582" s="66" t="s">
        <v>12</v>
      </c>
      <c r="J582" s="67">
        <v>24985.61</v>
      </c>
      <c r="K582" s="68">
        <v>0</v>
      </c>
      <c r="L582" s="67">
        <v>0</v>
      </c>
      <c r="M582" s="69">
        <v>0</v>
      </c>
      <c r="N582" s="70">
        <v>0</v>
      </c>
      <c r="O582" s="70">
        <v>8995257.6999999993</v>
      </c>
      <c r="P582" s="70">
        <v>4781531.55</v>
      </c>
      <c r="Q582" s="70">
        <v>0</v>
      </c>
      <c r="R582" s="71">
        <v>439134725.75999999</v>
      </c>
      <c r="S582" s="70">
        <v>-0.05</v>
      </c>
      <c r="T582" s="70">
        <v>439134725.70999998</v>
      </c>
      <c r="U582" s="72" t="s">
        <v>0</v>
      </c>
    </row>
    <row r="583" spans="1:21" ht="14.45" customHeight="1">
      <c r="A583" s="64">
        <v>45761</v>
      </c>
      <c r="B583" s="64">
        <v>45761</v>
      </c>
      <c r="C583" s="64">
        <v>45761</v>
      </c>
      <c r="D583" s="65" t="s">
        <v>80</v>
      </c>
      <c r="E583" s="65" t="s">
        <v>83</v>
      </c>
      <c r="F583" s="65" t="s">
        <v>84</v>
      </c>
      <c r="G583" s="65" t="s">
        <v>282</v>
      </c>
      <c r="H583" s="65" t="s">
        <v>13</v>
      </c>
      <c r="I583" s="66" t="s">
        <v>12</v>
      </c>
      <c r="J583" s="67">
        <v>-1301.93</v>
      </c>
      <c r="K583" s="68">
        <v>0</v>
      </c>
      <c r="L583" s="67">
        <v>0</v>
      </c>
      <c r="M583" s="69">
        <v>0</v>
      </c>
      <c r="N583" s="70">
        <v>0</v>
      </c>
      <c r="O583" s="70">
        <v>8993955.7699999996</v>
      </c>
      <c r="P583" s="70">
        <v>4781531.55</v>
      </c>
      <c r="Q583" s="70">
        <v>0</v>
      </c>
      <c r="R583" s="71">
        <v>439134725.75999999</v>
      </c>
      <c r="S583" s="70">
        <v>-0.05</v>
      </c>
      <c r="T583" s="70">
        <v>439134725.70999998</v>
      </c>
      <c r="U583" s="72" t="s">
        <v>0</v>
      </c>
    </row>
    <row r="584" spans="1:21" ht="14.45" customHeight="1">
      <c r="A584" s="64">
        <v>45761</v>
      </c>
      <c r="B584" s="64">
        <v>45758</v>
      </c>
      <c r="C584" s="64">
        <v>45758</v>
      </c>
      <c r="D584" s="65" t="s">
        <v>114</v>
      </c>
      <c r="E584" s="65" t="s">
        <v>115</v>
      </c>
      <c r="F584" s="65"/>
      <c r="G584" s="65" t="s">
        <v>71</v>
      </c>
      <c r="H584" s="65" t="s">
        <v>14</v>
      </c>
      <c r="I584" s="66" t="s">
        <v>12</v>
      </c>
      <c r="J584" s="67">
        <v>464564.29</v>
      </c>
      <c r="K584" s="68">
        <v>1</v>
      </c>
      <c r="L584" s="67">
        <v>-464564.29</v>
      </c>
      <c r="M584" s="69">
        <v>0</v>
      </c>
      <c r="N584" s="70">
        <v>0</v>
      </c>
      <c r="O584" s="70">
        <v>8993955.7699999996</v>
      </c>
      <c r="P584" s="70">
        <v>5246095.84</v>
      </c>
      <c r="Q584" s="70">
        <v>0</v>
      </c>
      <c r="R584" s="71">
        <v>438670161.47000003</v>
      </c>
      <c r="S584" s="70">
        <v>-0.05</v>
      </c>
      <c r="T584" s="70">
        <v>438670161.42000002</v>
      </c>
      <c r="U584" s="72" t="s">
        <v>0</v>
      </c>
    </row>
    <row r="585" spans="1:21" ht="14.45" customHeight="1">
      <c r="A585" s="64">
        <v>45761</v>
      </c>
      <c r="B585" s="64">
        <v>45758</v>
      </c>
      <c r="C585" s="64">
        <v>45758</v>
      </c>
      <c r="D585" s="65" t="s">
        <v>114</v>
      </c>
      <c r="E585" s="65" t="s">
        <v>251</v>
      </c>
      <c r="F585" s="65"/>
      <c r="G585" s="65" t="s">
        <v>71</v>
      </c>
      <c r="H585" s="65" t="s">
        <v>14</v>
      </c>
      <c r="I585" s="66" t="s">
        <v>12</v>
      </c>
      <c r="J585" s="67">
        <v>3447139.68</v>
      </c>
      <c r="K585" s="68">
        <v>1</v>
      </c>
      <c r="L585" s="67">
        <v>-3447139.68</v>
      </c>
      <c r="M585" s="69">
        <v>0</v>
      </c>
      <c r="N585" s="70">
        <v>0</v>
      </c>
      <c r="O585" s="70">
        <v>8993955.7699999996</v>
      </c>
      <c r="P585" s="70">
        <v>8693235.5199999996</v>
      </c>
      <c r="Q585" s="70">
        <v>0</v>
      </c>
      <c r="R585" s="71">
        <v>435223021.79000002</v>
      </c>
      <c r="S585" s="70">
        <v>-0.05</v>
      </c>
      <c r="T585" s="70">
        <v>435223021.74000001</v>
      </c>
      <c r="U585" s="72" t="s">
        <v>0</v>
      </c>
    </row>
    <row r="586" spans="1:21" ht="14.45" customHeight="1">
      <c r="A586" s="64">
        <v>45761</v>
      </c>
      <c r="B586" s="64">
        <v>45758</v>
      </c>
      <c r="C586" s="64">
        <v>45758</v>
      </c>
      <c r="D586" s="65" t="s">
        <v>114</v>
      </c>
      <c r="E586" s="65" t="s">
        <v>115</v>
      </c>
      <c r="F586" s="65"/>
      <c r="G586" s="65" t="s">
        <v>66</v>
      </c>
      <c r="H586" s="65" t="s">
        <v>13</v>
      </c>
      <c r="I586" s="66" t="s">
        <v>12</v>
      </c>
      <c r="J586" s="67">
        <v>1285.3499999999999</v>
      </c>
      <c r="K586" s="68">
        <v>0</v>
      </c>
      <c r="L586" s="67">
        <v>0</v>
      </c>
      <c r="M586" s="69">
        <v>0</v>
      </c>
      <c r="N586" s="70">
        <v>0</v>
      </c>
      <c r="O586" s="70">
        <v>8995241.1199999992</v>
      </c>
      <c r="P586" s="70">
        <v>8693235.5199999996</v>
      </c>
      <c r="Q586" s="70">
        <v>0</v>
      </c>
      <c r="R586" s="71">
        <v>435223021.79000002</v>
      </c>
      <c r="S586" s="70">
        <v>-0.05</v>
      </c>
      <c r="T586" s="70">
        <v>435223021.74000001</v>
      </c>
      <c r="U586" s="72" t="s">
        <v>0</v>
      </c>
    </row>
    <row r="587" spans="1:21" ht="14.45" customHeight="1">
      <c r="A587" s="64">
        <v>45761</v>
      </c>
      <c r="B587" s="64">
        <v>45758</v>
      </c>
      <c r="C587" s="64">
        <v>45758</v>
      </c>
      <c r="D587" s="65" t="s">
        <v>114</v>
      </c>
      <c r="E587" s="65" t="s">
        <v>251</v>
      </c>
      <c r="F587" s="65"/>
      <c r="G587" s="65" t="s">
        <v>66</v>
      </c>
      <c r="H587" s="65" t="s">
        <v>13</v>
      </c>
      <c r="I587" s="66" t="s">
        <v>12</v>
      </c>
      <c r="J587" s="67">
        <v>9537.51</v>
      </c>
      <c r="K587" s="68">
        <v>0</v>
      </c>
      <c r="L587" s="67">
        <v>0</v>
      </c>
      <c r="M587" s="69">
        <v>0</v>
      </c>
      <c r="N587" s="70">
        <v>0</v>
      </c>
      <c r="O587" s="70">
        <v>9004778.6300000008</v>
      </c>
      <c r="P587" s="70">
        <v>8693235.5199999996</v>
      </c>
      <c r="Q587" s="70">
        <v>0</v>
      </c>
      <c r="R587" s="71">
        <v>435223021.79000002</v>
      </c>
      <c r="S587" s="70">
        <v>-0.05</v>
      </c>
      <c r="T587" s="70">
        <v>435223021.74000001</v>
      </c>
      <c r="U587" s="72" t="s">
        <v>0</v>
      </c>
    </row>
    <row r="588" spans="1:21" ht="14.45" customHeight="1">
      <c r="A588" s="64">
        <v>45762</v>
      </c>
      <c r="B588" s="64">
        <v>45747</v>
      </c>
      <c r="C588" s="64">
        <v>45747</v>
      </c>
      <c r="D588" s="65" t="s">
        <v>99</v>
      </c>
      <c r="E588" s="65" t="s">
        <v>343</v>
      </c>
      <c r="F588" s="65" t="s">
        <v>344</v>
      </c>
      <c r="G588" s="65" t="s">
        <v>66</v>
      </c>
      <c r="H588" s="65" t="s">
        <v>13</v>
      </c>
      <c r="I588" s="66" t="s">
        <v>12</v>
      </c>
      <c r="J588" s="67">
        <v>-27127.13</v>
      </c>
      <c r="K588" s="68">
        <v>0</v>
      </c>
      <c r="L588" s="67">
        <v>0</v>
      </c>
      <c r="M588" s="69">
        <v>0</v>
      </c>
      <c r="N588" s="70">
        <v>0</v>
      </c>
      <c r="O588" s="70">
        <v>8977651.5</v>
      </c>
      <c r="P588" s="70">
        <v>8693235.5199999996</v>
      </c>
      <c r="Q588" s="70">
        <v>0</v>
      </c>
      <c r="R588" s="71">
        <v>435223021.79000002</v>
      </c>
      <c r="S588" s="70">
        <v>-0.05</v>
      </c>
      <c r="T588" s="70">
        <v>435223021.74000001</v>
      </c>
      <c r="U588" s="72" t="s">
        <v>0</v>
      </c>
    </row>
    <row r="589" spans="1:21" ht="14.45" customHeight="1">
      <c r="A589" s="64">
        <v>45762</v>
      </c>
      <c r="B589" s="64">
        <v>45762</v>
      </c>
      <c r="C589" s="64">
        <v>45762</v>
      </c>
      <c r="D589" s="65" t="s">
        <v>95</v>
      </c>
      <c r="E589" s="65" t="s">
        <v>65</v>
      </c>
      <c r="F589" s="65" t="s">
        <v>96</v>
      </c>
      <c r="G589" s="65" t="s">
        <v>66</v>
      </c>
      <c r="H589" s="65" t="s">
        <v>13</v>
      </c>
      <c r="I589" s="66" t="s">
        <v>12</v>
      </c>
      <c r="J589" s="67">
        <v>3425.6</v>
      </c>
      <c r="K589" s="68">
        <v>0</v>
      </c>
      <c r="L589" s="67">
        <v>0</v>
      </c>
      <c r="M589" s="69">
        <v>0</v>
      </c>
      <c r="N589" s="70">
        <v>0</v>
      </c>
      <c r="O589" s="70">
        <v>8981077.0999999996</v>
      </c>
      <c r="P589" s="70">
        <v>8693235.5199999996</v>
      </c>
      <c r="Q589" s="70">
        <v>0</v>
      </c>
      <c r="R589" s="71">
        <v>435223021.79000002</v>
      </c>
      <c r="S589" s="70">
        <v>-0.05</v>
      </c>
      <c r="T589" s="70">
        <v>435223021.74000001</v>
      </c>
      <c r="U589" s="72" t="s">
        <v>0</v>
      </c>
    </row>
    <row r="590" spans="1:21" ht="14.45" customHeight="1">
      <c r="A590" s="64">
        <v>45763</v>
      </c>
      <c r="B590" s="64">
        <v>45763</v>
      </c>
      <c r="C590" s="64">
        <v>45758</v>
      </c>
      <c r="D590" s="65" t="s">
        <v>262</v>
      </c>
      <c r="E590" s="65" t="s">
        <v>86</v>
      </c>
      <c r="F590" s="65" t="s">
        <v>340</v>
      </c>
      <c r="G590" s="65" t="s">
        <v>249</v>
      </c>
      <c r="H590" s="65" t="s">
        <v>14</v>
      </c>
      <c r="I590" s="66" t="s">
        <v>12</v>
      </c>
      <c r="J590" s="67">
        <v>2666250</v>
      </c>
      <c r="K590" s="68">
        <v>0.98750000000000004</v>
      </c>
      <c r="L590" s="67">
        <v>-2700000</v>
      </c>
      <c r="M590" s="69">
        <v>0</v>
      </c>
      <c r="N590" s="70">
        <v>0</v>
      </c>
      <c r="O590" s="70">
        <v>8981077.0999999996</v>
      </c>
      <c r="P590" s="70">
        <v>11359485.52</v>
      </c>
      <c r="Q590" s="70">
        <v>0</v>
      </c>
      <c r="R590" s="71">
        <v>432523021.79000002</v>
      </c>
      <c r="S590" s="70">
        <v>-0.05</v>
      </c>
      <c r="T590" s="70">
        <v>432523021.74000001</v>
      </c>
      <c r="U590" s="72" t="s">
        <v>0</v>
      </c>
    </row>
    <row r="591" spans="1:21" ht="14.45" customHeight="1">
      <c r="A591" s="64">
        <v>45763</v>
      </c>
      <c r="B591" s="64">
        <v>45763</v>
      </c>
      <c r="C591" s="64">
        <v>45758</v>
      </c>
      <c r="D591" s="65" t="s">
        <v>262</v>
      </c>
      <c r="E591" s="65" t="s">
        <v>86</v>
      </c>
      <c r="F591" s="65" t="s">
        <v>340</v>
      </c>
      <c r="G591" s="65" t="s">
        <v>249</v>
      </c>
      <c r="H591" s="65" t="s">
        <v>14</v>
      </c>
      <c r="I591" s="66" t="s">
        <v>12</v>
      </c>
      <c r="J591" s="67">
        <v>3851250</v>
      </c>
      <c r="K591" s="68">
        <v>0.98750000000000004</v>
      </c>
      <c r="L591" s="67">
        <v>-3900000</v>
      </c>
      <c r="M591" s="69">
        <v>0</v>
      </c>
      <c r="N591" s="70">
        <v>0</v>
      </c>
      <c r="O591" s="70">
        <v>8981077.0999999996</v>
      </c>
      <c r="P591" s="70">
        <v>15210735.52</v>
      </c>
      <c r="Q591" s="70">
        <v>0</v>
      </c>
      <c r="R591" s="71">
        <v>428623021.79000002</v>
      </c>
      <c r="S591" s="70">
        <v>-0.05</v>
      </c>
      <c r="T591" s="70">
        <v>428623021.74000001</v>
      </c>
      <c r="U591" s="72" t="s">
        <v>0</v>
      </c>
    </row>
    <row r="592" spans="1:21" ht="14.45" customHeight="1">
      <c r="A592" s="64">
        <v>45763</v>
      </c>
      <c r="B592" s="64">
        <v>45763</v>
      </c>
      <c r="C592" s="64">
        <v>45759</v>
      </c>
      <c r="D592" s="65" t="s">
        <v>268</v>
      </c>
      <c r="E592" s="65" t="s">
        <v>86</v>
      </c>
      <c r="F592" s="65"/>
      <c r="G592" s="65" t="s">
        <v>249</v>
      </c>
      <c r="H592" s="65" t="s">
        <v>14</v>
      </c>
      <c r="I592" s="66" t="s">
        <v>12</v>
      </c>
      <c r="J592" s="67">
        <v>3532250</v>
      </c>
      <c r="K592" s="68">
        <v>0.995</v>
      </c>
      <c r="L592" s="67">
        <v>-3550000</v>
      </c>
      <c r="M592" s="69">
        <v>0</v>
      </c>
      <c r="N592" s="70">
        <v>0</v>
      </c>
      <c r="O592" s="70">
        <v>8981077.0999999996</v>
      </c>
      <c r="P592" s="70">
        <v>18742985.52</v>
      </c>
      <c r="Q592" s="70">
        <v>0</v>
      </c>
      <c r="R592" s="71">
        <v>425073021.79000002</v>
      </c>
      <c r="S592" s="70">
        <v>-0.05</v>
      </c>
      <c r="T592" s="70">
        <v>425073021.74000001</v>
      </c>
      <c r="U592" s="72" t="s">
        <v>0</v>
      </c>
    </row>
    <row r="593" spans="1:21" ht="14.45" customHeight="1">
      <c r="A593" s="64">
        <v>45763</v>
      </c>
      <c r="B593" s="64">
        <v>45763</v>
      </c>
      <c r="C593" s="64">
        <v>45759</v>
      </c>
      <c r="D593" s="65" t="s">
        <v>268</v>
      </c>
      <c r="E593" s="65" t="s">
        <v>86</v>
      </c>
      <c r="F593" s="65"/>
      <c r="G593" s="65" t="s">
        <v>249</v>
      </c>
      <c r="H593" s="65" t="s">
        <v>14</v>
      </c>
      <c r="I593" s="66" t="s">
        <v>12</v>
      </c>
      <c r="J593" s="67">
        <v>3308375</v>
      </c>
      <c r="K593" s="68">
        <v>0.995</v>
      </c>
      <c r="L593" s="67">
        <v>-3325000</v>
      </c>
      <c r="M593" s="69">
        <v>0</v>
      </c>
      <c r="N593" s="70">
        <v>0</v>
      </c>
      <c r="O593" s="70">
        <v>8981077.0999999996</v>
      </c>
      <c r="P593" s="70">
        <v>22051360.52</v>
      </c>
      <c r="Q593" s="70">
        <v>0</v>
      </c>
      <c r="R593" s="71">
        <v>421748021.79000002</v>
      </c>
      <c r="S593" s="70">
        <v>-0.05</v>
      </c>
      <c r="T593" s="70">
        <v>421748021.74000001</v>
      </c>
      <c r="U593" s="72" t="s">
        <v>0</v>
      </c>
    </row>
    <row r="594" spans="1:21" ht="14.45" customHeight="1">
      <c r="A594" s="64">
        <v>45763</v>
      </c>
      <c r="B594" s="64">
        <v>45763</v>
      </c>
      <c r="C594" s="64">
        <v>45759</v>
      </c>
      <c r="D594" s="65" t="s">
        <v>268</v>
      </c>
      <c r="E594" s="65" t="s">
        <v>86</v>
      </c>
      <c r="F594" s="65"/>
      <c r="G594" s="65" t="s">
        <v>249</v>
      </c>
      <c r="H594" s="65" t="s">
        <v>14</v>
      </c>
      <c r="I594" s="66" t="s">
        <v>12</v>
      </c>
      <c r="J594" s="67">
        <v>3084500</v>
      </c>
      <c r="K594" s="68">
        <v>0.995</v>
      </c>
      <c r="L594" s="67">
        <v>-3100000</v>
      </c>
      <c r="M594" s="69">
        <v>0</v>
      </c>
      <c r="N594" s="70">
        <v>0</v>
      </c>
      <c r="O594" s="70">
        <v>8981077.0999999996</v>
      </c>
      <c r="P594" s="70">
        <v>25135860.52</v>
      </c>
      <c r="Q594" s="70">
        <v>0</v>
      </c>
      <c r="R594" s="71">
        <v>418648021.79000002</v>
      </c>
      <c r="S594" s="70">
        <v>-0.05</v>
      </c>
      <c r="T594" s="70">
        <v>418648021.74000001</v>
      </c>
      <c r="U594" s="72" t="s">
        <v>0</v>
      </c>
    </row>
    <row r="595" spans="1:21" ht="14.45" customHeight="1">
      <c r="A595" s="64">
        <v>45764</v>
      </c>
      <c r="B595" s="64">
        <v>45755</v>
      </c>
      <c r="C595" s="64">
        <v>45750</v>
      </c>
      <c r="D595" s="65" t="s">
        <v>383</v>
      </c>
      <c r="E595" s="65" t="s">
        <v>86</v>
      </c>
      <c r="F595" s="65"/>
      <c r="G595" s="65" t="s">
        <v>76</v>
      </c>
      <c r="H595" s="65" t="s">
        <v>14</v>
      </c>
      <c r="I595" s="66" t="s">
        <v>12</v>
      </c>
      <c r="J595" s="67">
        <v>-5944601.25</v>
      </c>
      <c r="K595" s="68">
        <v>0.99319999999999997</v>
      </c>
      <c r="L595" s="67">
        <v>5985000</v>
      </c>
      <c r="M595" s="69">
        <v>0</v>
      </c>
      <c r="N595" s="70">
        <v>0</v>
      </c>
      <c r="O595" s="70">
        <v>8981077.0999999996</v>
      </c>
      <c r="P595" s="70">
        <v>19191259.27</v>
      </c>
      <c r="Q595" s="70">
        <v>0</v>
      </c>
      <c r="R595" s="71">
        <v>424633021.79000002</v>
      </c>
      <c r="S595" s="70">
        <v>-0.05</v>
      </c>
      <c r="T595" s="70">
        <v>424633021.74000001</v>
      </c>
      <c r="U595" s="72" t="s">
        <v>0</v>
      </c>
    </row>
    <row r="596" spans="1:21" ht="14.45" customHeight="1">
      <c r="A596" s="64">
        <v>45765</v>
      </c>
      <c r="B596" s="64">
        <v>45765</v>
      </c>
      <c r="C596" s="64">
        <v>45765</v>
      </c>
      <c r="D596" s="65" t="s">
        <v>150</v>
      </c>
      <c r="E596" s="65" t="s">
        <v>86</v>
      </c>
      <c r="F596" s="65" t="s">
        <v>151</v>
      </c>
      <c r="G596" s="65" t="s">
        <v>66</v>
      </c>
      <c r="H596" s="65" t="s">
        <v>13</v>
      </c>
      <c r="I596" s="66" t="s">
        <v>12</v>
      </c>
      <c r="J596" s="67">
        <v>47487.38</v>
      </c>
      <c r="K596" s="68">
        <v>0</v>
      </c>
      <c r="L596" s="67">
        <v>0</v>
      </c>
      <c r="M596" s="69">
        <v>0</v>
      </c>
      <c r="N596" s="70">
        <v>0</v>
      </c>
      <c r="O596" s="70">
        <v>9028564.4800000004</v>
      </c>
      <c r="P596" s="70">
        <v>19191259.27</v>
      </c>
      <c r="Q596" s="70">
        <v>0</v>
      </c>
      <c r="R596" s="71">
        <v>424633021.79000002</v>
      </c>
      <c r="S596" s="70">
        <v>-0.05</v>
      </c>
      <c r="T596" s="70">
        <v>424633021.74000001</v>
      </c>
      <c r="U596" s="72" t="s">
        <v>0</v>
      </c>
    </row>
    <row r="597" spans="1:21" ht="14.45" customHeight="1">
      <c r="A597" s="64">
        <v>45768</v>
      </c>
      <c r="B597" s="64">
        <v>45768</v>
      </c>
      <c r="C597" s="64">
        <v>45768</v>
      </c>
      <c r="D597" s="65" t="s">
        <v>384</v>
      </c>
      <c r="E597" s="65" t="s">
        <v>0</v>
      </c>
      <c r="F597" s="65"/>
      <c r="G597" s="65" t="s">
        <v>385</v>
      </c>
      <c r="H597" s="65" t="s">
        <v>14</v>
      </c>
      <c r="I597" s="66" t="s">
        <v>12</v>
      </c>
      <c r="J597" s="67">
        <v>-3000000</v>
      </c>
      <c r="K597" s="68">
        <v>0</v>
      </c>
      <c r="L597" s="67">
        <v>0</v>
      </c>
      <c r="M597" s="69">
        <v>0</v>
      </c>
      <c r="N597" s="70">
        <v>0</v>
      </c>
      <c r="O597" s="70">
        <v>9028564.4800000004</v>
      </c>
      <c r="P597" s="70">
        <v>16191259.27</v>
      </c>
      <c r="Q597" s="70">
        <v>0</v>
      </c>
      <c r="R597" s="71">
        <v>424633021.79000002</v>
      </c>
      <c r="S597" s="70">
        <v>-0.05</v>
      </c>
      <c r="T597" s="70">
        <v>424633021.74000001</v>
      </c>
      <c r="U597" s="72" t="s">
        <v>0</v>
      </c>
    </row>
    <row r="598" spans="1:21" ht="14.45" customHeight="1">
      <c r="A598" s="64">
        <v>45768</v>
      </c>
      <c r="B598" s="64">
        <v>45768</v>
      </c>
      <c r="C598" s="64">
        <v>45768</v>
      </c>
      <c r="D598" s="65" t="s">
        <v>384</v>
      </c>
      <c r="E598" s="65" t="s">
        <v>0</v>
      </c>
      <c r="F598" s="65"/>
      <c r="G598" s="65" t="s">
        <v>385</v>
      </c>
      <c r="H598" s="65" t="s">
        <v>15</v>
      </c>
      <c r="I598" s="66" t="s">
        <v>12</v>
      </c>
      <c r="J598" s="67">
        <v>3000000</v>
      </c>
      <c r="K598" s="68">
        <v>0</v>
      </c>
      <c r="L598" s="67">
        <v>0</v>
      </c>
      <c r="M598" s="69">
        <v>0</v>
      </c>
      <c r="N598" s="70">
        <v>0</v>
      </c>
      <c r="O598" s="70">
        <v>9028564.4800000004</v>
      </c>
      <c r="P598" s="70">
        <v>16191259.27</v>
      </c>
      <c r="Q598" s="70">
        <v>3000000</v>
      </c>
      <c r="R598" s="71">
        <v>424633021.79000002</v>
      </c>
      <c r="S598" s="70">
        <v>-0.05</v>
      </c>
      <c r="T598" s="70">
        <v>424633021.74000001</v>
      </c>
      <c r="U598" s="72" t="s">
        <v>0</v>
      </c>
    </row>
    <row r="599" spans="1:21" ht="14.45" customHeight="1">
      <c r="A599" s="64">
        <v>45768</v>
      </c>
      <c r="B599" s="64">
        <v>45768</v>
      </c>
      <c r="C599" s="64">
        <v>45768</v>
      </c>
      <c r="D599" s="65" t="s">
        <v>384</v>
      </c>
      <c r="E599" s="65" t="s">
        <v>0</v>
      </c>
      <c r="F599" s="65"/>
      <c r="G599" s="65" t="s">
        <v>386</v>
      </c>
      <c r="H599" s="65" t="s">
        <v>13</v>
      </c>
      <c r="I599" s="66" t="s">
        <v>12</v>
      </c>
      <c r="J599" s="67">
        <v>-8970272.0899999999</v>
      </c>
      <c r="K599" s="68">
        <v>0</v>
      </c>
      <c r="L599" s="67">
        <v>0</v>
      </c>
      <c r="M599" s="69">
        <v>0</v>
      </c>
      <c r="N599" s="70">
        <v>0</v>
      </c>
      <c r="O599" s="70">
        <v>58292.39</v>
      </c>
      <c r="P599" s="70">
        <v>16191259.27</v>
      </c>
      <c r="Q599" s="70">
        <v>3000000</v>
      </c>
      <c r="R599" s="71">
        <v>424633021.79000002</v>
      </c>
      <c r="S599" s="70">
        <v>-0.05</v>
      </c>
      <c r="T599" s="70">
        <v>424633021.74000001</v>
      </c>
      <c r="U599" s="72" t="s">
        <v>0</v>
      </c>
    </row>
    <row r="600" spans="1:21" ht="14.45" customHeight="1">
      <c r="A600" s="64">
        <v>45768</v>
      </c>
      <c r="B600" s="64">
        <v>45768</v>
      </c>
      <c r="C600" s="64">
        <v>45768</v>
      </c>
      <c r="D600" s="65" t="s">
        <v>384</v>
      </c>
      <c r="E600" s="65" t="s">
        <v>0</v>
      </c>
      <c r="F600" s="65"/>
      <c r="G600" s="65" t="s">
        <v>386</v>
      </c>
      <c r="H600" s="65" t="s">
        <v>15</v>
      </c>
      <c r="I600" s="66" t="s">
        <v>12</v>
      </c>
      <c r="J600" s="67">
        <v>8970272.0899999999</v>
      </c>
      <c r="K600" s="68">
        <v>0</v>
      </c>
      <c r="L600" s="67">
        <v>0</v>
      </c>
      <c r="M600" s="69">
        <v>0</v>
      </c>
      <c r="N600" s="70">
        <v>0</v>
      </c>
      <c r="O600" s="70">
        <v>58292.39</v>
      </c>
      <c r="P600" s="70">
        <v>16191259.27</v>
      </c>
      <c r="Q600" s="70">
        <v>11970272.09</v>
      </c>
      <c r="R600" s="71">
        <v>424633021.79000002</v>
      </c>
      <c r="S600" s="70">
        <v>-0.05</v>
      </c>
      <c r="T600" s="70">
        <v>424633021.74000001</v>
      </c>
      <c r="U600" s="72" t="s">
        <v>0</v>
      </c>
    </row>
    <row r="601" spans="1:21" ht="14.45" customHeight="1">
      <c r="A601" s="64">
        <v>45768</v>
      </c>
      <c r="B601" s="64">
        <v>45768</v>
      </c>
      <c r="C601" s="64">
        <v>45768</v>
      </c>
      <c r="D601" s="65" t="s">
        <v>387</v>
      </c>
      <c r="E601" s="65" t="s">
        <v>0</v>
      </c>
      <c r="F601" s="65"/>
      <c r="G601" s="65" t="s">
        <v>274</v>
      </c>
      <c r="H601" s="65" t="s">
        <v>15</v>
      </c>
      <c r="I601" s="66" t="s">
        <v>12</v>
      </c>
      <c r="J601" s="67">
        <v>-6550</v>
      </c>
      <c r="K601" s="68">
        <v>0</v>
      </c>
      <c r="L601" s="67">
        <v>0</v>
      </c>
      <c r="M601" s="69">
        <v>0</v>
      </c>
      <c r="N601" s="70">
        <v>0</v>
      </c>
      <c r="O601" s="70">
        <v>58292.39</v>
      </c>
      <c r="P601" s="70">
        <v>16191259.27</v>
      </c>
      <c r="Q601" s="70">
        <v>11963722.09</v>
      </c>
      <c r="R601" s="71">
        <v>424633021.79000002</v>
      </c>
      <c r="S601" s="70">
        <v>-0.05</v>
      </c>
      <c r="T601" s="70">
        <v>424633021.74000001</v>
      </c>
      <c r="U601" s="72" t="s">
        <v>0</v>
      </c>
    </row>
    <row r="602" spans="1:21" ht="14.45" customHeight="1">
      <c r="A602" s="64">
        <v>45768</v>
      </c>
      <c r="B602" s="64">
        <v>45768</v>
      </c>
      <c r="C602" s="64">
        <v>45768</v>
      </c>
      <c r="D602" s="65" t="s">
        <v>388</v>
      </c>
      <c r="E602" s="65" t="s">
        <v>0</v>
      </c>
      <c r="F602" s="65"/>
      <c r="G602" s="65" t="s">
        <v>48</v>
      </c>
      <c r="H602" s="65" t="s">
        <v>15</v>
      </c>
      <c r="I602" s="66" t="s">
        <v>12</v>
      </c>
      <c r="J602" s="67">
        <v>-5787466.75</v>
      </c>
      <c r="K602" s="68">
        <v>0</v>
      </c>
      <c r="L602" s="67">
        <v>0</v>
      </c>
      <c r="M602" s="69">
        <v>0</v>
      </c>
      <c r="N602" s="70">
        <v>0</v>
      </c>
      <c r="O602" s="70">
        <v>58292.39</v>
      </c>
      <c r="P602" s="70">
        <v>16191259.27</v>
      </c>
      <c r="Q602" s="70">
        <v>6176255.3399999999</v>
      </c>
      <c r="R602" s="71">
        <v>424633021.79000002</v>
      </c>
      <c r="S602" s="70">
        <v>-0.05</v>
      </c>
      <c r="T602" s="70">
        <v>424633021.74000001</v>
      </c>
      <c r="U602" s="72" t="s">
        <v>0</v>
      </c>
    </row>
    <row r="603" spans="1:21" ht="14.45" customHeight="1">
      <c r="A603" s="64">
        <v>45768</v>
      </c>
      <c r="B603" s="64">
        <v>45768</v>
      </c>
      <c r="C603" s="64">
        <v>45768</v>
      </c>
      <c r="D603" s="65" t="s">
        <v>389</v>
      </c>
      <c r="E603" s="65" t="s">
        <v>0</v>
      </c>
      <c r="F603" s="65"/>
      <c r="G603" s="65" t="s">
        <v>48</v>
      </c>
      <c r="H603" s="65" t="s">
        <v>15</v>
      </c>
      <c r="I603" s="66" t="s">
        <v>12</v>
      </c>
      <c r="J603" s="67">
        <v>-3000000</v>
      </c>
      <c r="K603" s="68">
        <v>0</v>
      </c>
      <c r="L603" s="67">
        <v>0</v>
      </c>
      <c r="M603" s="69">
        <v>0</v>
      </c>
      <c r="N603" s="70">
        <v>0</v>
      </c>
      <c r="O603" s="70">
        <v>58292.39</v>
      </c>
      <c r="P603" s="70">
        <v>16191259.27</v>
      </c>
      <c r="Q603" s="70">
        <v>3176255.34</v>
      </c>
      <c r="R603" s="71">
        <v>424633021.79000002</v>
      </c>
      <c r="S603" s="70">
        <v>-0.05</v>
      </c>
      <c r="T603" s="70">
        <v>424633021.74000001</v>
      </c>
      <c r="U603" s="72" t="s">
        <v>0</v>
      </c>
    </row>
    <row r="604" spans="1:21" ht="14.45" customHeight="1">
      <c r="A604" s="64">
        <v>45768</v>
      </c>
      <c r="B604" s="64">
        <v>45768</v>
      </c>
      <c r="C604" s="64">
        <v>45768</v>
      </c>
      <c r="D604" s="65" t="s">
        <v>1</v>
      </c>
      <c r="E604" s="65" t="s">
        <v>45</v>
      </c>
      <c r="F604" s="65"/>
      <c r="G604" s="65" t="s">
        <v>390</v>
      </c>
      <c r="H604" s="65" t="s">
        <v>15</v>
      </c>
      <c r="I604" s="66" t="s">
        <v>12</v>
      </c>
      <c r="J604" s="67">
        <v>-54699.75</v>
      </c>
      <c r="K604" s="68">
        <v>0</v>
      </c>
      <c r="L604" s="67">
        <v>0</v>
      </c>
      <c r="M604" s="69">
        <v>0</v>
      </c>
      <c r="N604" s="70">
        <v>0</v>
      </c>
      <c r="O604" s="70">
        <v>58292.39</v>
      </c>
      <c r="P604" s="70">
        <v>16191259.27</v>
      </c>
      <c r="Q604" s="70">
        <v>3121555.59</v>
      </c>
      <c r="R604" s="71">
        <v>424633021.79000002</v>
      </c>
      <c r="S604" s="70">
        <v>-0.05</v>
      </c>
      <c r="T604" s="70">
        <v>424633021.74000001</v>
      </c>
      <c r="U604" s="72" t="s">
        <v>0</v>
      </c>
    </row>
    <row r="605" spans="1:21" ht="14.45" customHeight="1">
      <c r="A605" s="64">
        <v>45768</v>
      </c>
      <c r="B605" s="64">
        <v>45768</v>
      </c>
      <c r="C605" s="64">
        <v>45768</v>
      </c>
      <c r="D605" s="65" t="s">
        <v>1</v>
      </c>
      <c r="E605" s="65" t="s">
        <v>45</v>
      </c>
      <c r="F605" s="65"/>
      <c r="G605" s="65" t="s">
        <v>390</v>
      </c>
      <c r="H605" s="65" t="s">
        <v>15</v>
      </c>
      <c r="I605" s="66" t="s">
        <v>12</v>
      </c>
      <c r="J605" s="67">
        <v>-775027.12</v>
      </c>
      <c r="K605" s="68">
        <v>0</v>
      </c>
      <c r="L605" s="67">
        <v>0</v>
      </c>
      <c r="M605" s="69">
        <v>0</v>
      </c>
      <c r="N605" s="70">
        <v>0</v>
      </c>
      <c r="O605" s="70">
        <v>58292.39</v>
      </c>
      <c r="P605" s="70">
        <v>16191259.27</v>
      </c>
      <c r="Q605" s="70">
        <v>2346528.4700000002</v>
      </c>
      <c r="R605" s="71">
        <v>424633021.79000002</v>
      </c>
      <c r="S605" s="70">
        <v>-0.05</v>
      </c>
      <c r="T605" s="70">
        <v>424633021.74000001</v>
      </c>
      <c r="U605" s="72" t="s">
        <v>0</v>
      </c>
    </row>
    <row r="606" spans="1:21" ht="14.45" customHeight="1">
      <c r="A606" s="64">
        <v>45768</v>
      </c>
      <c r="B606" s="64">
        <v>45768</v>
      </c>
      <c r="C606" s="64">
        <v>45768</v>
      </c>
      <c r="D606" s="65" t="s">
        <v>1</v>
      </c>
      <c r="E606" s="65" t="s">
        <v>45</v>
      </c>
      <c r="F606" s="65"/>
      <c r="G606" s="65" t="s">
        <v>390</v>
      </c>
      <c r="H606" s="65" t="s">
        <v>15</v>
      </c>
      <c r="I606" s="66" t="s">
        <v>12</v>
      </c>
      <c r="J606" s="67">
        <v>-1796695.28</v>
      </c>
      <c r="K606" s="68">
        <v>0</v>
      </c>
      <c r="L606" s="67">
        <v>0</v>
      </c>
      <c r="M606" s="69">
        <v>0</v>
      </c>
      <c r="N606" s="70">
        <v>0</v>
      </c>
      <c r="O606" s="70">
        <v>58292.39</v>
      </c>
      <c r="P606" s="70">
        <v>16191259.27</v>
      </c>
      <c r="Q606" s="70">
        <v>549833.18999999994</v>
      </c>
      <c r="R606" s="71">
        <v>424633021.79000002</v>
      </c>
      <c r="S606" s="70">
        <v>-0.05</v>
      </c>
      <c r="T606" s="70">
        <v>424633021.74000001</v>
      </c>
      <c r="U606" s="72" t="s">
        <v>0</v>
      </c>
    </row>
    <row r="607" spans="1:21" ht="14.45" customHeight="1">
      <c r="A607" s="64">
        <v>45768</v>
      </c>
      <c r="B607" s="64">
        <v>45768</v>
      </c>
      <c r="C607" s="64">
        <v>45768</v>
      </c>
      <c r="D607" s="65" t="s">
        <v>1</v>
      </c>
      <c r="E607" s="65" t="s">
        <v>45</v>
      </c>
      <c r="F607" s="65"/>
      <c r="G607" s="65" t="s">
        <v>391</v>
      </c>
      <c r="H607" s="65" t="s">
        <v>15</v>
      </c>
      <c r="I607" s="66" t="s">
        <v>12</v>
      </c>
      <c r="J607" s="67">
        <v>-549833.18999999994</v>
      </c>
      <c r="K607" s="68">
        <v>0</v>
      </c>
      <c r="L607" s="67">
        <v>0</v>
      </c>
      <c r="M607" s="69">
        <v>0</v>
      </c>
      <c r="N607" s="70">
        <v>0</v>
      </c>
      <c r="O607" s="70">
        <v>58292.39</v>
      </c>
      <c r="P607" s="70">
        <v>16191259.27</v>
      </c>
      <c r="Q607" s="70">
        <v>0</v>
      </c>
      <c r="R607" s="71">
        <v>424633021.79000002</v>
      </c>
      <c r="S607" s="70">
        <v>-0.05</v>
      </c>
      <c r="T607" s="70">
        <v>424633021.74000001</v>
      </c>
      <c r="U607" s="72" t="s">
        <v>0</v>
      </c>
    </row>
    <row r="608" spans="1:21" ht="14.45" customHeight="1">
      <c r="A608" s="64">
        <v>45768</v>
      </c>
      <c r="B608" s="64">
        <v>45764</v>
      </c>
      <c r="C608" s="64">
        <v>45764</v>
      </c>
      <c r="D608" s="65" t="s">
        <v>244</v>
      </c>
      <c r="E608" s="65" t="s">
        <v>245</v>
      </c>
      <c r="F608" s="65"/>
      <c r="G608" s="65" t="s">
        <v>249</v>
      </c>
      <c r="H608" s="65" t="s">
        <v>14</v>
      </c>
      <c r="I608" s="66" t="s">
        <v>12</v>
      </c>
      <c r="J608" s="67">
        <v>4941447.8600000003</v>
      </c>
      <c r="K608" s="68">
        <v>1</v>
      </c>
      <c r="L608" s="67">
        <v>-4941447.8600000003</v>
      </c>
      <c r="M608" s="69">
        <v>0</v>
      </c>
      <c r="N608" s="70">
        <v>0</v>
      </c>
      <c r="O608" s="70">
        <v>58292.39</v>
      </c>
      <c r="P608" s="70">
        <v>21132707.129999999</v>
      </c>
      <c r="Q608" s="70">
        <v>0</v>
      </c>
      <c r="R608" s="71">
        <v>419691573.93000001</v>
      </c>
      <c r="S608" s="70">
        <v>-0.05</v>
      </c>
      <c r="T608" s="70">
        <v>419691573.88</v>
      </c>
      <c r="U608" s="72" t="s">
        <v>0</v>
      </c>
    </row>
    <row r="609" spans="1:21" ht="14.45" customHeight="1">
      <c r="A609" s="64">
        <v>45768</v>
      </c>
      <c r="B609" s="64">
        <v>45764</v>
      </c>
      <c r="C609" s="64">
        <v>45764</v>
      </c>
      <c r="D609" s="65" t="s">
        <v>244</v>
      </c>
      <c r="E609" s="65" t="s">
        <v>245</v>
      </c>
      <c r="F609" s="65"/>
      <c r="G609" s="65" t="s">
        <v>249</v>
      </c>
      <c r="H609" s="65" t="s">
        <v>14</v>
      </c>
      <c r="I609" s="66" t="s">
        <v>12</v>
      </c>
      <c r="J609" s="67">
        <v>4941447.8600000003</v>
      </c>
      <c r="K609" s="68">
        <v>1</v>
      </c>
      <c r="L609" s="67">
        <v>-4941447.8600000003</v>
      </c>
      <c r="M609" s="69">
        <v>0</v>
      </c>
      <c r="N609" s="70">
        <v>0</v>
      </c>
      <c r="O609" s="70">
        <v>58292.39</v>
      </c>
      <c r="P609" s="70">
        <v>26074154.989999998</v>
      </c>
      <c r="Q609" s="70">
        <v>0</v>
      </c>
      <c r="R609" s="71">
        <v>414750126.06999999</v>
      </c>
      <c r="S609" s="70">
        <v>-0.05</v>
      </c>
      <c r="T609" s="70">
        <v>414750126.01999998</v>
      </c>
      <c r="U609" s="72" t="s">
        <v>0</v>
      </c>
    </row>
    <row r="610" spans="1:21" ht="14.45" customHeight="1">
      <c r="A610" s="64">
        <v>45768</v>
      </c>
      <c r="B610" s="64">
        <v>45764</v>
      </c>
      <c r="C610" s="64">
        <v>45764</v>
      </c>
      <c r="D610" s="65" t="s">
        <v>244</v>
      </c>
      <c r="E610" s="65" t="s">
        <v>245</v>
      </c>
      <c r="F610" s="65"/>
      <c r="G610" s="65" t="s">
        <v>249</v>
      </c>
      <c r="H610" s="65" t="s">
        <v>14</v>
      </c>
      <c r="I610" s="66" t="s">
        <v>12</v>
      </c>
      <c r="J610" s="67">
        <v>4941447.8600000003</v>
      </c>
      <c r="K610" s="68">
        <v>1</v>
      </c>
      <c r="L610" s="67">
        <v>-4941447.8600000003</v>
      </c>
      <c r="M610" s="69">
        <v>0</v>
      </c>
      <c r="N610" s="70">
        <v>0</v>
      </c>
      <c r="O610" s="70">
        <v>58292.39</v>
      </c>
      <c r="P610" s="70">
        <v>31015602.850000001</v>
      </c>
      <c r="Q610" s="70">
        <v>0</v>
      </c>
      <c r="R610" s="71">
        <v>409808678.20999998</v>
      </c>
      <c r="S610" s="70">
        <v>-0.05</v>
      </c>
      <c r="T610" s="70">
        <v>409808678.16000003</v>
      </c>
      <c r="U610" s="72" t="s">
        <v>0</v>
      </c>
    </row>
    <row r="611" spans="1:21" ht="14.45" customHeight="1">
      <c r="A611" s="64">
        <v>45769</v>
      </c>
      <c r="B611" s="64">
        <v>45769</v>
      </c>
      <c r="C611" s="64">
        <v>45769</v>
      </c>
      <c r="D611" s="65" t="s">
        <v>392</v>
      </c>
      <c r="E611" s="65" t="s">
        <v>0</v>
      </c>
      <c r="F611" s="65"/>
      <c r="G611" s="65" t="s">
        <v>48</v>
      </c>
      <c r="H611" s="65" t="s">
        <v>14</v>
      </c>
      <c r="I611" s="66" t="s">
        <v>12</v>
      </c>
      <c r="J611" s="67">
        <v>1351.81</v>
      </c>
      <c r="K611" s="68">
        <v>0</v>
      </c>
      <c r="L611" s="67">
        <v>0</v>
      </c>
      <c r="M611" s="69">
        <v>0</v>
      </c>
      <c r="N611" s="70">
        <v>0</v>
      </c>
      <c r="O611" s="70">
        <v>58292.39</v>
      </c>
      <c r="P611" s="70">
        <v>31016954.66</v>
      </c>
      <c r="Q611" s="70">
        <v>0</v>
      </c>
      <c r="R611" s="71">
        <v>409808678.20999998</v>
      </c>
      <c r="S611" s="70">
        <v>-0.05</v>
      </c>
      <c r="T611" s="70">
        <v>409808678.16000003</v>
      </c>
      <c r="U611" s="72" t="s">
        <v>0</v>
      </c>
    </row>
    <row r="612" spans="1:21" ht="14.45" customHeight="1">
      <c r="A612" s="64">
        <v>45769</v>
      </c>
      <c r="B612" s="64">
        <v>45747</v>
      </c>
      <c r="C612" s="64">
        <v>45747</v>
      </c>
      <c r="D612" s="65" t="s">
        <v>91</v>
      </c>
      <c r="E612" s="65" t="s">
        <v>65</v>
      </c>
      <c r="F612" s="65" t="s">
        <v>92</v>
      </c>
      <c r="G612" s="65" t="s">
        <v>66</v>
      </c>
      <c r="H612" s="65" t="s">
        <v>13</v>
      </c>
      <c r="I612" s="66" t="s">
        <v>12</v>
      </c>
      <c r="J612" s="67">
        <v>-2810.79</v>
      </c>
      <c r="K612" s="68">
        <v>0</v>
      </c>
      <c r="L612" s="67">
        <v>0</v>
      </c>
      <c r="M612" s="69">
        <v>0</v>
      </c>
      <c r="N612" s="70">
        <v>0</v>
      </c>
      <c r="O612" s="70">
        <v>55481.599999999999</v>
      </c>
      <c r="P612" s="70">
        <v>31016954.66</v>
      </c>
      <c r="Q612" s="70">
        <v>0</v>
      </c>
      <c r="R612" s="71">
        <v>409808678.20999998</v>
      </c>
      <c r="S612" s="70">
        <v>-0.05</v>
      </c>
      <c r="T612" s="70">
        <v>409808678.16000003</v>
      </c>
      <c r="U612" s="72" t="s">
        <v>0</v>
      </c>
    </row>
    <row r="613" spans="1:21" ht="14.45" customHeight="1">
      <c r="A613" s="64">
        <v>45769</v>
      </c>
      <c r="B613" s="64">
        <v>45768</v>
      </c>
      <c r="C613" s="64">
        <v>45750</v>
      </c>
      <c r="D613" s="65" t="s">
        <v>393</v>
      </c>
      <c r="E613" s="65" t="s">
        <v>86</v>
      </c>
      <c r="F613" s="65" t="s">
        <v>394</v>
      </c>
      <c r="G613" s="65" t="s">
        <v>76</v>
      </c>
      <c r="H613" s="65" t="s">
        <v>14</v>
      </c>
      <c r="I613" s="66" t="s">
        <v>12</v>
      </c>
      <c r="J613" s="67">
        <v>-5929638.75</v>
      </c>
      <c r="K613" s="68">
        <v>0.99080000000000001</v>
      </c>
      <c r="L613" s="67">
        <v>5985000</v>
      </c>
      <c r="M613" s="69">
        <v>0</v>
      </c>
      <c r="N613" s="70">
        <v>0</v>
      </c>
      <c r="O613" s="70">
        <v>55481.599999999999</v>
      </c>
      <c r="P613" s="70">
        <v>25087315.91</v>
      </c>
      <c r="Q613" s="70">
        <v>0</v>
      </c>
      <c r="R613" s="71">
        <v>415793678.20999998</v>
      </c>
      <c r="S613" s="70">
        <v>-0.05</v>
      </c>
      <c r="T613" s="70">
        <v>415793678.16000003</v>
      </c>
      <c r="U613" s="72" t="s">
        <v>0</v>
      </c>
    </row>
    <row r="614" spans="1:21" ht="14.45" customHeight="1">
      <c r="A614" s="64">
        <v>45770</v>
      </c>
      <c r="B614" s="64">
        <v>45657</v>
      </c>
      <c r="C614" s="64">
        <v>45657</v>
      </c>
      <c r="D614" s="65" t="s">
        <v>206</v>
      </c>
      <c r="E614" s="65" t="s">
        <v>83</v>
      </c>
      <c r="F614" s="65" t="s">
        <v>207</v>
      </c>
      <c r="G614" s="65" t="s">
        <v>76</v>
      </c>
      <c r="H614" s="65" t="s">
        <v>14</v>
      </c>
      <c r="I614" s="66" t="s">
        <v>12</v>
      </c>
      <c r="J614" s="67">
        <v>2915176.78</v>
      </c>
      <c r="K614" s="68">
        <v>-1</v>
      </c>
      <c r="L614" s="67">
        <v>-2915176.78</v>
      </c>
      <c r="M614" s="69">
        <v>0</v>
      </c>
      <c r="N614" s="70">
        <v>0</v>
      </c>
      <c r="O614" s="70">
        <v>55481.599999999999</v>
      </c>
      <c r="P614" s="70">
        <v>28002492.690000001</v>
      </c>
      <c r="Q614" s="70">
        <v>0</v>
      </c>
      <c r="R614" s="71">
        <v>412878501.43000001</v>
      </c>
      <c r="S614" s="70">
        <v>-0.05</v>
      </c>
      <c r="T614" s="70">
        <v>412878501.38</v>
      </c>
      <c r="U614" s="72" t="s">
        <v>0</v>
      </c>
    </row>
    <row r="615" spans="1:21" ht="14.45" customHeight="1">
      <c r="A615" s="64">
        <v>45770</v>
      </c>
      <c r="B615" s="64">
        <v>45664</v>
      </c>
      <c r="C615" s="64">
        <v>45664</v>
      </c>
      <c r="D615" s="65" t="s">
        <v>206</v>
      </c>
      <c r="E615" s="65" t="s">
        <v>83</v>
      </c>
      <c r="F615" s="65" t="s">
        <v>207</v>
      </c>
      <c r="G615" s="65" t="s">
        <v>249</v>
      </c>
      <c r="H615" s="65" t="s">
        <v>14</v>
      </c>
      <c r="I615" s="66" t="s">
        <v>12</v>
      </c>
      <c r="J615" s="67">
        <v>-1455754.16</v>
      </c>
      <c r="K615" s="68">
        <v>-1</v>
      </c>
      <c r="L615" s="67">
        <v>1455754.16</v>
      </c>
      <c r="M615" s="69">
        <v>0</v>
      </c>
      <c r="N615" s="70">
        <v>0</v>
      </c>
      <c r="O615" s="70">
        <v>55481.599999999999</v>
      </c>
      <c r="P615" s="70">
        <v>26546738.530000001</v>
      </c>
      <c r="Q615" s="70">
        <v>0</v>
      </c>
      <c r="R615" s="71">
        <v>414334255.58999997</v>
      </c>
      <c r="S615" s="70">
        <v>-0.05</v>
      </c>
      <c r="T615" s="70">
        <v>414334255.54000002</v>
      </c>
      <c r="U615" s="72" t="s">
        <v>0</v>
      </c>
    </row>
    <row r="616" spans="1:21" ht="14.45" customHeight="1">
      <c r="A616" s="64">
        <v>45770</v>
      </c>
      <c r="B616" s="64">
        <v>45657</v>
      </c>
      <c r="C616" s="64">
        <v>45657</v>
      </c>
      <c r="D616" s="65" t="s">
        <v>206</v>
      </c>
      <c r="E616" s="65" t="s">
        <v>83</v>
      </c>
      <c r="F616" s="65" t="s">
        <v>207</v>
      </c>
      <c r="G616" s="65" t="s">
        <v>76</v>
      </c>
      <c r="H616" s="65" t="s">
        <v>14</v>
      </c>
      <c r="I616" s="66" t="s">
        <v>12</v>
      </c>
      <c r="J616" s="67">
        <v>-1459422.63</v>
      </c>
      <c r="K616" s="68">
        <v>1</v>
      </c>
      <c r="L616" s="67">
        <v>1459422.63</v>
      </c>
      <c r="M616" s="69">
        <v>0</v>
      </c>
      <c r="N616" s="70">
        <v>0</v>
      </c>
      <c r="O616" s="70">
        <v>55481.599999999999</v>
      </c>
      <c r="P616" s="70">
        <v>25087315.899999999</v>
      </c>
      <c r="Q616" s="70">
        <v>0</v>
      </c>
      <c r="R616" s="71">
        <v>415793678.22000003</v>
      </c>
      <c r="S616" s="70">
        <v>-0.05</v>
      </c>
      <c r="T616" s="70">
        <v>415793678.17000002</v>
      </c>
      <c r="U616" s="72" t="s">
        <v>0</v>
      </c>
    </row>
    <row r="617" spans="1:21" ht="14.45" customHeight="1">
      <c r="A617" s="64">
        <v>45770</v>
      </c>
      <c r="B617" s="64">
        <v>45657</v>
      </c>
      <c r="C617" s="64">
        <v>45657</v>
      </c>
      <c r="D617" s="65" t="s">
        <v>206</v>
      </c>
      <c r="E617" s="65" t="s">
        <v>83</v>
      </c>
      <c r="F617" s="65" t="s">
        <v>207</v>
      </c>
      <c r="G617" s="65" t="s">
        <v>71</v>
      </c>
      <c r="H617" s="65" t="s">
        <v>14</v>
      </c>
      <c r="I617" s="66" t="s">
        <v>12</v>
      </c>
      <c r="J617" s="67">
        <v>3668.5</v>
      </c>
      <c r="K617" s="68">
        <v>1</v>
      </c>
      <c r="L617" s="67">
        <v>-3668.5</v>
      </c>
      <c r="M617" s="69">
        <v>0</v>
      </c>
      <c r="N617" s="70">
        <v>0</v>
      </c>
      <c r="O617" s="70">
        <v>55481.599999999999</v>
      </c>
      <c r="P617" s="70">
        <v>25090984.399999999</v>
      </c>
      <c r="Q617" s="70">
        <v>0</v>
      </c>
      <c r="R617" s="71">
        <v>415790009.72000003</v>
      </c>
      <c r="S617" s="70">
        <v>-0.05</v>
      </c>
      <c r="T617" s="70">
        <v>415790009.67000002</v>
      </c>
      <c r="U617" s="72" t="s">
        <v>0</v>
      </c>
    </row>
    <row r="618" spans="1:21" ht="14.45" customHeight="1">
      <c r="A618" s="64">
        <v>45770</v>
      </c>
      <c r="B618" s="64">
        <v>45664</v>
      </c>
      <c r="C618" s="64">
        <v>45664</v>
      </c>
      <c r="D618" s="65" t="s">
        <v>206</v>
      </c>
      <c r="E618" s="65" t="s">
        <v>83</v>
      </c>
      <c r="F618" s="65" t="s">
        <v>207</v>
      </c>
      <c r="G618" s="65" t="s">
        <v>249</v>
      </c>
      <c r="H618" s="65" t="s">
        <v>14</v>
      </c>
      <c r="I618" s="66" t="s">
        <v>12</v>
      </c>
      <c r="J618" s="67">
        <v>1455754.13</v>
      </c>
      <c r="K618" s="68">
        <v>1</v>
      </c>
      <c r="L618" s="67">
        <v>-1455754.13</v>
      </c>
      <c r="M618" s="69">
        <v>0</v>
      </c>
      <c r="N618" s="70">
        <v>0</v>
      </c>
      <c r="O618" s="70">
        <v>55481.599999999999</v>
      </c>
      <c r="P618" s="70">
        <v>26546738.530000001</v>
      </c>
      <c r="Q618" s="70">
        <v>0</v>
      </c>
      <c r="R618" s="71">
        <v>414334255.58999997</v>
      </c>
      <c r="S618" s="70">
        <v>-0.05</v>
      </c>
      <c r="T618" s="70">
        <v>414334255.54000002</v>
      </c>
      <c r="U618" s="72" t="s">
        <v>0</v>
      </c>
    </row>
    <row r="619" spans="1:21" ht="14.45" customHeight="1">
      <c r="A619" s="64">
        <v>45770</v>
      </c>
      <c r="B619" s="64">
        <v>45664</v>
      </c>
      <c r="C619" s="64">
        <v>45664</v>
      </c>
      <c r="D619" s="65" t="s">
        <v>395</v>
      </c>
      <c r="E619" s="65" t="s">
        <v>0</v>
      </c>
      <c r="F619" s="65"/>
      <c r="G619" s="65" t="s">
        <v>48</v>
      </c>
      <c r="H619" s="65" t="s">
        <v>14</v>
      </c>
      <c r="I619" s="66" t="s">
        <v>12</v>
      </c>
      <c r="J619" s="67">
        <v>-1459422.62</v>
      </c>
      <c r="K619" s="68">
        <v>0</v>
      </c>
      <c r="L619" s="67">
        <v>0</v>
      </c>
      <c r="M619" s="69">
        <v>0</v>
      </c>
      <c r="N619" s="70">
        <v>0</v>
      </c>
      <c r="O619" s="70">
        <v>55481.599999999999</v>
      </c>
      <c r="P619" s="70">
        <v>25087315.91</v>
      </c>
      <c r="Q619" s="70">
        <v>0</v>
      </c>
      <c r="R619" s="71">
        <v>414334255.58999997</v>
      </c>
      <c r="S619" s="70">
        <v>-0.05</v>
      </c>
      <c r="T619" s="70">
        <v>414334255.54000002</v>
      </c>
      <c r="U619" s="72" t="s">
        <v>0</v>
      </c>
    </row>
    <row r="620" spans="1:21" ht="14.45" customHeight="1">
      <c r="A620" s="64">
        <v>45775</v>
      </c>
      <c r="B620" s="64">
        <v>45775</v>
      </c>
      <c r="C620" s="64">
        <v>45775</v>
      </c>
      <c r="D620" s="65" t="s">
        <v>73</v>
      </c>
      <c r="E620" s="65" t="s">
        <v>86</v>
      </c>
      <c r="F620" s="65" t="s">
        <v>75</v>
      </c>
      <c r="G620" s="65" t="s">
        <v>66</v>
      </c>
      <c r="H620" s="65" t="s">
        <v>13</v>
      </c>
      <c r="I620" s="66" t="s">
        <v>12</v>
      </c>
      <c r="J620" s="67">
        <v>293977.71999999997</v>
      </c>
      <c r="K620" s="68">
        <v>0</v>
      </c>
      <c r="L620" s="67">
        <v>0</v>
      </c>
      <c r="M620" s="69">
        <v>0</v>
      </c>
      <c r="N620" s="70">
        <v>0</v>
      </c>
      <c r="O620" s="70">
        <v>349459.32</v>
      </c>
      <c r="P620" s="70">
        <v>25087315.91</v>
      </c>
      <c r="Q620" s="70">
        <v>0</v>
      </c>
      <c r="R620" s="71">
        <v>414334255.58999997</v>
      </c>
      <c r="S620" s="70">
        <v>-0.05</v>
      </c>
      <c r="T620" s="70">
        <v>414334255.54000002</v>
      </c>
      <c r="U620" s="72" t="s">
        <v>0</v>
      </c>
    </row>
    <row r="621" spans="1:21" ht="14.45" customHeight="1">
      <c r="A621" s="64">
        <v>45777</v>
      </c>
      <c r="B621" s="64">
        <v>45748</v>
      </c>
      <c r="C621" s="64">
        <v>45748</v>
      </c>
      <c r="D621" s="65" t="s">
        <v>61</v>
      </c>
      <c r="E621" s="65" t="s">
        <v>62</v>
      </c>
      <c r="F621" s="65" t="s">
        <v>63</v>
      </c>
      <c r="G621" s="65" t="s">
        <v>57</v>
      </c>
      <c r="H621" s="65"/>
      <c r="I621" s="66" t="s">
        <v>12</v>
      </c>
      <c r="J621" s="67">
        <v>0</v>
      </c>
      <c r="K621" s="68">
        <v>0</v>
      </c>
      <c r="L621" s="67">
        <v>-25103.119999999999</v>
      </c>
      <c r="M621" s="69">
        <v>0</v>
      </c>
      <c r="N621" s="70">
        <v>0</v>
      </c>
      <c r="O621" s="70">
        <v>349459.32</v>
      </c>
      <c r="P621" s="70">
        <v>25087315.91</v>
      </c>
      <c r="Q621" s="70">
        <v>0</v>
      </c>
      <c r="R621" s="71">
        <v>414309152.47000003</v>
      </c>
      <c r="S621" s="70">
        <v>-0.05</v>
      </c>
      <c r="T621" s="70">
        <v>414309152.42000002</v>
      </c>
      <c r="U621" s="72" t="s">
        <v>0</v>
      </c>
    </row>
    <row r="622" spans="1:21" ht="14.45" customHeight="1">
      <c r="A622" s="64">
        <v>45777</v>
      </c>
      <c r="B622" s="64">
        <v>45748</v>
      </c>
      <c r="C622" s="64">
        <v>45748</v>
      </c>
      <c r="D622" s="65" t="s">
        <v>61</v>
      </c>
      <c r="E622" s="65" t="s">
        <v>62</v>
      </c>
      <c r="F622" s="65" t="s">
        <v>63</v>
      </c>
      <c r="G622" s="65" t="s">
        <v>57</v>
      </c>
      <c r="H622" s="65"/>
      <c r="I622" s="66" t="s">
        <v>12</v>
      </c>
      <c r="J622" s="67">
        <v>0</v>
      </c>
      <c r="K622" s="68">
        <v>0</v>
      </c>
      <c r="L622" s="67">
        <v>25103.119999999999</v>
      </c>
      <c r="M622" s="69">
        <v>0</v>
      </c>
      <c r="N622" s="70">
        <v>0</v>
      </c>
      <c r="O622" s="70">
        <v>349459.32</v>
      </c>
      <c r="P622" s="70">
        <v>25087315.91</v>
      </c>
      <c r="Q622" s="70">
        <v>0</v>
      </c>
      <c r="R622" s="71">
        <v>414334255.58999997</v>
      </c>
      <c r="S622" s="70">
        <v>-0.05</v>
      </c>
      <c r="T622" s="70">
        <v>414334255.54000002</v>
      </c>
      <c r="U622" s="72" t="s">
        <v>0</v>
      </c>
    </row>
    <row r="623" spans="1:21" ht="14.45" customHeight="1">
      <c r="A623" s="64">
        <v>45777</v>
      </c>
      <c r="B623" s="64">
        <v>45777</v>
      </c>
      <c r="C623" s="64">
        <v>45777</v>
      </c>
      <c r="D623" s="65" t="s">
        <v>85</v>
      </c>
      <c r="E623" s="65" t="s">
        <v>86</v>
      </c>
      <c r="F623" s="65"/>
      <c r="G623" s="65" t="s">
        <v>66</v>
      </c>
      <c r="H623" s="65" t="s">
        <v>13</v>
      </c>
      <c r="I623" s="66" t="s">
        <v>12</v>
      </c>
      <c r="J623" s="67">
        <v>6536.65</v>
      </c>
      <c r="K623" s="68">
        <v>0</v>
      </c>
      <c r="L623" s="67">
        <v>0</v>
      </c>
      <c r="M623" s="69">
        <v>0</v>
      </c>
      <c r="N623" s="70">
        <v>0</v>
      </c>
      <c r="O623" s="70">
        <v>355995.97</v>
      </c>
      <c r="P623" s="70">
        <v>25087315.91</v>
      </c>
      <c r="Q623" s="70">
        <v>0</v>
      </c>
      <c r="R623" s="71">
        <v>414334255.58999997</v>
      </c>
      <c r="S623" s="70">
        <v>-0.05</v>
      </c>
      <c r="T623" s="70">
        <v>414334255.54000002</v>
      </c>
      <c r="U623" s="72" t="s">
        <v>0</v>
      </c>
    </row>
    <row r="624" spans="1:21" ht="14.45" customHeight="1">
      <c r="A624" s="64">
        <v>45777</v>
      </c>
      <c r="B624" s="64">
        <v>45777</v>
      </c>
      <c r="C624" s="64">
        <v>45777</v>
      </c>
      <c r="D624" s="65" t="s">
        <v>64</v>
      </c>
      <c r="E624" s="65" t="s">
        <v>65</v>
      </c>
      <c r="F624" s="65"/>
      <c r="G624" s="65" t="s">
        <v>66</v>
      </c>
      <c r="H624" s="65" t="s">
        <v>13</v>
      </c>
      <c r="I624" s="66" t="s">
        <v>12</v>
      </c>
      <c r="J624" s="67">
        <v>56494.52</v>
      </c>
      <c r="K624" s="68">
        <v>0</v>
      </c>
      <c r="L624" s="67">
        <v>0</v>
      </c>
      <c r="M624" s="69">
        <v>0</v>
      </c>
      <c r="N624" s="70">
        <v>0</v>
      </c>
      <c r="O624" s="70">
        <v>412490.49</v>
      </c>
      <c r="P624" s="70">
        <v>25087315.91</v>
      </c>
      <c r="Q624" s="70">
        <v>0</v>
      </c>
      <c r="R624" s="71">
        <v>414334255.58999997</v>
      </c>
      <c r="S624" s="70">
        <v>-0.05</v>
      </c>
      <c r="T624" s="70">
        <v>414334255.54000002</v>
      </c>
      <c r="U624" s="72" t="s">
        <v>0</v>
      </c>
    </row>
    <row r="625" spans="1:21" ht="14.45" customHeight="1">
      <c r="A625" s="64">
        <v>45777</v>
      </c>
      <c r="B625" s="64">
        <v>45777</v>
      </c>
      <c r="C625" s="64">
        <v>45777</v>
      </c>
      <c r="D625" s="65" t="s">
        <v>287</v>
      </c>
      <c r="E625" s="65" t="s">
        <v>288</v>
      </c>
      <c r="F625" s="65" t="s">
        <v>289</v>
      </c>
      <c r="G625" s="65" t="s">
        <v>66</v>
      </c>
      <c r="H625" s="65" t="s">
        <v>13</v>
      </c>
      <c r="I625" s="66" t="s">
        <v>12</v>
      </c>
      <c r="J625" s="67">
        <v>8034.13</v>
      </c>
      <c r="K625" s="68">
        <v>0</v>
      </c>
      <c r="L625" s="67">
        <v>0</v>
      </c>
      <c r="M625" s="69">
        <v>0</v>
      </c>
      <c r="N625" s="70">
        <v>0</v>
      </c>
      <c r="O625" s="70">
        <v>420524.62</v>
      </c>
      <c r="P625" s="70">
        <v>25087315.91</v>
      </c>
      <c r="Q625" s="70">
        <v>0</v>
      </c>
      <c r="R625" s="71">
        <v>414334255.58999997</v>
      </c>
      <c r="S625" s="70">
        <v>-0.05</v>
      </c>
      <c r="T625" s="70">
        <v>414334255.54000002</v>
      </c>
      <c r="U625" s="72" t="s">
        <v>0</v>
      </c>
    </row>
    <row r="626" spans="1:21" ht="14.45" customHeight="1">
      <c r="A626" s="64">
        <v>45777</v>
      </c>
      <c r="B626" s="64">
        <v>45777</v>
      </c>
      <c r="C626" s="64">
        <v>45777</v>
      </c>
      <c r="D626" s="65" t="s">
        <v>80</v>
      </c>
      <c r="E626" s="65" t="s">
        <v>83</v>
      </c>
      <c r="F626" s="65" t="s">
        <v>84</v>
      </c>
      <c r="G626" s="65" t="s">
        <v>66</v>
      </c>
      <c r="H626" s="65" t="s">
        <v>13</v>
      </c>
      <c r="I626" s="66" t="s">
        <v>12</v>
      </c>
      <c r="J626" s="67">
        <v>23216.13</v>
      </c>
      <c r="K626" s="68">
        <v>0</v>
      </c>
      <c r="L626" s="67">
        <v>0</v>
      </c>
      <c r="M626" s="69">
        <v>0</v>
      </c>
      <c r="N626" s="70">
        <v>0</v>
      </c>
      <c r="O626" s="70">
        <v>443740.75</v>
      </c>
      <c r="P626" s="70">
        <v>25087315.91</v>
      </c>
      <c r="Q626" s="70">
        <v>0</v>
      </c>
      <c r="R626" s="71">
        <v>414334255.58999997</v>
      </c>
      <c r="S626" s="70">
        <v>-0.05</v>
      </c>
      <c r="T626" s="70">
        <v>414334255.54000002</v>
      </c>
      <c r="U626" s="72" t="s">
        <v>0</v>
      </c>
    </row>
    <row r="627" spans="1:21" ht="14.45" customHeight="1">
      <c r="A627" s="64">
        <v>45777</v>
      </c>
      <c r="B627" s="64">
        <v>45777</v>
      </c>
      <c r="C627" s="64">
        <v>45777</v>
      </c>
      <c r="D627" s="65" t="s">
        <v>67</v>
      </c>
      <c r="E627" s="65" t="s">
        <v>65</v>
      </c>
      <c r="F627" s="65" t="s">
        <v>68</v>
      </c>
      <c r="G627" s="65" t="s">
        <v>66</v>
      </c>
      <c r="H627" s="65" t="s">
        <v>13</v>
      </c>
      <c r="I627" s="66" t="s">
        <v>12</v>
      </c>
      <c r="J627" s="67">
        <v>11437.98</v>
      </c>
      <c r="K627" s="68">
        <v>0</v>
      </c>
      <c r="L627" s="67">
        <v>0</v>
      </c>
      <c r="M627" s="69">
        <v>0</v>
      </c>
      <c r="N627" s="70">
        <v>0</v>
      </c>
      <c r="O627" s="70">
        <v>455178.73</v>
      </c>
      <c r="P627" s="70">
        <v>25087315.91</v>
      </c>
      <c r="Q627" s="70">
        <v>0</v>
      </c>
      <c r="R627" s="71">
        <v>414334255.58999997</v>
      </c>
      <c r="S627" s="70">
        <v>-0.05</v>
      </c>
      <c r="T627" s="70">
        <v>414334255.54000002</v>
      </c>
      <c r="U627" s="72" t="s">
        <v>0</v>
      </c>
    </row>
    <row r="628" spans="1:21" ht="14.45" customHeight="1">
      <c r="A628" s="64">
        <v>45777</v>
      </c>
      <c r="B628" s="64">
        <v>45777</v>
      </c>
      <c r="C628" s="64">
        <v>45777</v>
      </c>
      <c r="D628" s="65" t="s">
        <v>175</v>
      </c>
      <c r="E628" s="65" t="s">
        <v>176</v>
      </c>
      <c r="F628" s="65" t="s">
        <v>177</v>
      </c>
      <c r="G628" s="65" t="s">
        <v>66</v>
      </c>
      <c r="H628" s="65" t="s">
        <v>13</v>
      </c>
      <c r="I628" s="66" t="s">
        <v>12</v>
      </c>
      <c r="J628" s="67">
        <v>62302.31</v>
      </c>
      <c r="K628" s="68">
        <v>0</v>
      </c>
      <c r="L628" s="67">
        <v>0</v>
      </c>
      <c r="M628" s="69">
        <v>0</v>
      </c>
      <c r="N628" s="70">
        <v>0</v>
      </c>
      <c r="O628" s="70">
        <v>517481.04</v>
      </c>
      <c r="P628" s="70">
        <v>25087315.91</v>
      </c>
      <c r="Q628" s="70">
        <v>0</v>
      </c>
      <c r="R628" s="71">
        <v>414334255.58999997</v>
      </c>
      <c r="S628" s="70">
        <v>-0.05</v>
      </c>
      <c r="T628" s="70">
        <v>414334255.54000002</v>
      </c>
      <c r="U628" s="72" t="s">
        <v>0</v>
      </c>
    </row>
    <row r="629" spans="1:21" ht="14.45" customHeight="1">
      <c r="A629" s="64">
        <v>45777</v>
      </c>
      <c r="B629" s="64">
        <v>45777</v>
      </c>
      <c r="C629" s="64">
        <v>45777</v>
      </c>
      <c r="D629" s="65" t="s">
        <v>175</v>
      </c>
      <c r="E629" s="65" t="s">
        <v>115</v>
      </c>
      <c r="F629" s="65"/>
      <c r="G629" s="65" t="s">
        <v>66</v>
      </c>
      <c r="H629" s="65" t="s">
        <v>13</v>
      </c>
      <c r="I629" s="66" t="s">
        <v>12</v>
      </c>
      <c r="J629" s="67">
        <v>5507.94</v>
      </c>
      <c r="K629" s="68">
        <v>0</v>
      </c>
      <c r="L629" s="67">
        <v>0</v>
      </c>
      <c r="M629" s="69">
        <v>0</v>
      </c>
      <c r="N629" s="70">
        <v>0</v>
      </c>
      <c r="O629" s="70">
        <v>522988.98</v>
      </c>
      <c r="P629" s="70">
        <v>25087315.91</v>
      </c>
      <c r="Q629" s="70">
        <v>0</v>
      </c>
      <c r="R629" s="71">
        <v>414334255.58999997</v>
      </c>
      <c r="S629" s="70">
        <v>-0.05</v>
      </c>
      <c r="T629" s="70">
        <v>414334255.54000002</v>
      </c>
      <c r="U629" s="72" t="s">
        <v>0</v>
      </c>
    </row>
    <row r="630" spans="1:21" ht="14.45" customHeight="1">
      <c r="A630" s="64">
        <v>45777</v>
      </c>
      <c r="B630" s="64">
        <v>45777</v>
      </c>
      <c r="C630" s="64">
        <v>45777</v>
      </c>
      <c r="D630" s="65" t="s">
        <v>112</v>
      </c>
      <c r="E630" s="65" t="s">
        <v>86</v>
      </c>
      <c r="F630" s="65" t="s">
        <v>113</v>
      </c>
      <c r="G630" s="65" t="s">
        <v>66</v>
      </c>
      <c r="H630" s="65" t="s">
        <v>13</v>
      </c>
      <c r="I630" s="66" t="s">
        <v>12</v>
      </c>
      <c r="J630" s="67">
        <v>19655.080000000002</v>
      </c>
      <c r="K630" s="68">
        <v>0</v>
      </c>
      <c r="L630" s="67">
        <v>0</v>
      </c>
      <c r="M630" s="69">
        <v>0</v>
      </c>
      <c r="N630" s="70">
        <v>0</v>
      </c>
      <c r="O630" s="70">
        <v>542644.06000000006</v>
      </c>
      <c r="P630" s="70">
        <v>25087315.91</v>
      </c>
      <c r="Q630" s="70">
        <v>0</v>
      </c>
      <c r="R630" s="71">
        <v>414334255.58999997</v>
      </c>
      <c r="S630" s="70">
        <v>-0.05</v>
      </c>
      <c r="T630" s="70">
        <v>414334255.54000002</v>
      </c>
      <c r="U630" s="72" t="s">
        <v>0</v>
      </c>
    </row>
    <row r="631" spans="1:21" ht="14.45" customHeight="1">
      <c r="A631" s="64">
        <v>45777</v>
      </c>
      <c r="B631" s="64">
        <v>45777</v>
      </c>
      <c r="C631" s="64">
        <v>45777</v>
      </c>
      <c r="D631" s="65" t="s">
        <v>172</v>
      </c>
      <c r="E631" s="65" t="s">
        <v>173</v>
      </c>
      <c r="F631" s="65" t="s">
        <v>174</v>
      </c>
      <c r="G631" s="65" t="s">
        <v>66</v>
      </c>
      <c r="H631" s="65" t="s">
        <v>13</v>
      </c>
      <c r="I631" s="66" t="s">
        <v>12</v>
      </c>
      <c r="J631" s="67">
        <v>23496.73</v>
      </c>
      <c r="K631" s="68">
        <v>0</v>
      </c>
      <c r="L631" s="67">
        <v>0</v>
      </c>
      <c r="M631" s="69">
        <v>0</v>
      </c>
      <c r="N631" s="70">
        <v>0</v>
      </c>
      <c r="O631" s="70">
        <v>566140.79</v>
      </c>
      <c r="P631" s="70">
        <v>25087315.91</v>
      </c>
      <c r="Q631" s="70">
        <v>0</v>
      </c>
      <c r="R631" s="71">
        <v>414334255.58999997</v>
      </c>
      <c r="S631" s="70">
        <v>-0.05</v>
      </c>
      <c r="T631" s="70">
        <v>414334255.54000002</v>
      </c>
      <c r="U631" s="72" t="s">
        <v>0</v>
      </c>
    </row>
    <row r="632" spans="1:21" ht="14.45" customHeight="1">
      <c r="A632" s="64">
        <v>45777</v>
      </c>
      <c r="B632" s="64">
        <v>45777</v>
      </c>
      <c r="C632" s="64">
        <v>45777</v>
      </c>
      <c r="D632" s="65" t="s">
        <v>69</v>
      </c>
      <c r="E632" s="65" t="s">
        <v>65</v>
      </c>
      <c r="F632" s="65" t="s">
        <v>70</v>
      </c>
      <c r="G632" s="65" t="s">
        <v>71</v>
      </c>
      <c r="H632" s="65" t="s">
        <v>14</v>
      </c>
      <c r="I632" s="66" t="s">
        <v>12</v>
      </c>
      <c r="J632" s="67">
        <v>22715.13</v>
      </c>
      <c r="K632" s="68">
        <v>1</v>
      </c>
      <c r="L632" s="67">
        <v>-22715.13</v>
      </c>
      <c r="M632" s="69">
        <v>0</v>
      </c>
      <c r="N632" s="70">
        <v>0</v>
      </c>
      <c r="O632" s="70">
        <v>566140.79</v>
      </c>
      <c r="P632" s="70">
        <v>25110031.039999999</v>
      </c>
      <c r="Q632" s="70">
        <v>0</v>
      </c>
      <c r="R632" s="71">
        <v>414311540.45999998</v>
      </c>
      <c r="S632" s="70">
        <v>-0.05</v>
      </c>
      <c r="T632" s="70">
        <v>414311540.41000003</v>
      </c>
      <c r="U632" s="72" t="s">
        <v>0</v>
      </c>
    </row>
    <row r="633" spans="1:21" ht="14.45" customHeight="1">
      <c r="A633" s="64">
        <v>45777</v>
      </c>
      <c r="B633" s="64">
        <v>45777</v>
      </c>
      <c r="C633" s="64">
        <v>45777</v>
      </c>
      <c r="D633" s="65" t="s">
        <v>69</v>
      </c>
      <c r="E633" s="65" t="s">
        <v>65</v>
      </c>
      <c r="F633" s="65" t="s">
        <v>70</v>
      </c>
      <c r="G633" s="65" t="s">
        <v>72</v>
      </c>
      <c r="H633" s="65" t="s">
        <v>14</v>
      </c>
      <c r="I633" s="66" t="s">
        <v>12</v>
      </c>
      <c r="J633" s="67">
        <v>227.15</v>
      </c>
      <c r="K633" s="68">
        <v>0</v>
      </c>
      <c r="L633" s="67">
        <v>0</v>
      </c>
      <c r="M633" s="69">
        <v>0</v>
      </c>
      <c r="N633" s="70">
        <v>0</v>
      </c>
      <c r="O633" s="70">
        <v>566140.79</v>
      </c>
      <c r="P633" s="70">
        <v>25110258.190000001</v>
      </c>
      <c r="Q633" s="70">
        <v>0</v>
      </c>
      <c r="R633" s="71">
        <v>414311540.45999998</v>
      </c>
      <c r="S633" s="70">
        <v>-0.05</v>
      </c>
      <c r="T633" s="70">
        <v>414311540.41000003</v>
      </c>
      <c r="U633" s="72" t="s">
        <v>0</v>
      </c>
    </row>
    <row r="634" spans="1:21" ht="14.45" customHeight="1">
      <c r="A634" s="64">
        <v>45777</v>
      </c>
      <c r="B634" s="64">
        <v>45777</v>
      </c>
      <c r="C634" s="64">
        <v>45777</v>
      </c>
      <c r="D634" s="65" t="s">
        <v>69</v>
      </c>
      <c r="E634" s="65" t="s">
        <v>65</v>
      </c>
      <c r="F634" s="65" t="s">
        <v>70</v>
      </c>
      <c r="G634" s="65" t="s">
        <v>66</v>
      </c>
      <c r="H634" s="65" t="s">
        <v>13</v>
      </c>
      <c r="I634" s="66" t="s">
        <v>12</v>
      </c>
      <c r="J634" s="67">
        <v>26752.38</v>
      </c>
      <c r="K634" s="68">
        <v>0</v>
      </c>
      <c r="L634" s="67">
        <v>0</v>
      </c>
      <c r="M634" s="69">
        <v>0</v>
      </c>
      <c r="N634" s="70">
        <v>0</v>
      </c>
      <c r="O634" s="70">
        <v>592893.17000000004</v>
      </c>
      <c r="P634" s="70">
        <v>25110258.190000001</v>
      </c>
      <c r="Q634" s="70">
        <v>0</v>
      </c>
      <c r="R634" s="71">
        <v>414311540.45999998</v>
      </c>
      <c r="S634" s="70">
        <v>-0.05</v>
      </c>
      <c r="T634" s="70">
        <v>414311540.41000003</v>
      </c>
      <c r="U634" s="72" t="s">
        <v>0</v>
      </c>
    </row>
    <row r="635" spans="1:21" ht="14.45" customHeight="1">
      <c r="A635" s="64">
        <v>45777</v>
      </c>
      <c r="B635" s="64">
        <v>45777</v>
      </c>
      <c r="C635" s="64">
        <v>45777</v>
      </c>
      <c r="D635" s="65" t="s">
        <v>178</v>
      </c>
      <c r="E635" s="65" t="s">
        <v>179</v>
      </c>
      <c r="F635" s="65" t="s">
        <v>180</v>
      </c>
      <c r="G635" s="65" t="s">
        <v>66</v>
      </c>
      <c r="H635" s="65" t="s">
        <v>13</v>
      </c>
      <c r="I635" s="66" t="s">
        <v>12</v>
      </c>
      <c r="J635" s="67">
        <v>23527.89</v>
      </c>
      <c r="K635" s="68">
        <v>0</v>
      </c>
      <c r="L635" s="67">
        <v>0</v>
      </c>
      <c r="M635" s="69">
        <v>0</v>
      </c>
      <c r="N635" s="70">
        <v>0</v>
      </c>
      <c r="O635" s="70">
        <v>616421.06000000006</v>
      </c>
      <c r="P635" s="70">
        <v>25110258.190000001</v>
      </c>
      <c r="Q635" s="70">
        <v>0</v>
      </c>
      <c r="R635" s="71">
        <v>414311540.45999998</v>
      </c>
      <c r="S635" s="70">
        <v>-0.05</v>
      </c>
      <c r="T635" s="70">
        <v>414311540.41000003</v>
      </c>
      <c r="U635" s="72" t="s">
        <v>0</v>
      </c>
    </row>
    <row r="636" spans="1:21" ht="15.75">
      <c r="A636" s="74" t="s">
        <v>0</v>
      </c>
      <c r="B636" s="74" t="s">
        <v>0</v>
      </c>
      <c r="C636" s="74" t="s">
        <v>0</v>
      </c>
      <c r="D636" s="75" t="s">
        <v>396</v>
      </c>
      <c r="E636" s="74" t="s">
        <v>0</v>
      </c>
      <c r="F636" s="74" t="s">
        <v>0</v>
      </c>
      <c r="G636" s="74" t="s">
        <v>0</v>
      </c>
      <c r="H636" s="74" t="s">
        <v>0</v>
      </c>
      <c r="I636" s="74" t="s">
        <v>0</v>
      </c>
      <c r="J636" s="74" t="s">
        <v>0</v>
      </c>
      <c r="K636" s="74" t="s">
        <v>0</v>
      </c>
      <c r="L636" s="74" t="s">
        <v>0</v>
      </c>
      <c r="M636" s="76" t="s">
        <v>0</v>
      </c>
      <c r="N636" s="77">
        <v>0</v>
      </c>
      <c r="O636" s="77">
        <v>616421.06000000006</v>
      </c>
      <c r="P636" s="77">
        <v>25110258.190000001</v>
      </c>
      <c r="Q636" s="77">
        <v>0</v>
      </c>
      <c r="R636" s="78">
        <v>414311540.45999998</v>
      </c>
      <c r="S636" s="77">
        <v>-0.05</v>
      </c>
      <c r="T636" s="77">
        <v>414311540.41000003</v>
      </c>
      <c r="U636" s="79" t="s">
        <v>0</v>
      </c>
    </row>
    <row r="637" spans="1:21" ht="16.7" customHeight="1"/>
  </sheetData>
  <mergeCells count="19">
    <mergeCell ref="A1:B5"/>
    <mergeCell ref="N1:Q1"/>
    <mergeCell ref="R1:T1"/>
    <mergeCell ref="N2:Q2"/>
    <mergeCell ref="R2:T2"/>
    <mergeCell ref="N3:Q3"/>
    <mergeCell ref="R3:T3"/>
    <mergeCell ref="N4:Q4"/>
    <mergeCell ref="R4:T4"/>
    <mergeCell ref="N5:Q5"/>
    <mergeCell ref="R5:T5"/>
    <mergeCell ref="A8:M8"/>
    <mergeCell ref="N8:Q8"/>
    <mergeCell ref="R8:T8"/>
    <mergeCell ref="N6:Q6"/>
    <mergeCell ref="R6:T6"/>
    <mergeCell ref="A7:D7"/>
    <mergeCell ref="N7:Q7"/>
    <mergeCell ref="R7:T7"/>
  </mergeCells>
  <pageMargins left="1" right="1" top="1" bottom="1.45" header="1" footer="1"/>
  <pageSetup orientation="portrait" horizontalDpi="300" verticalDpi="300"/>
  <headerFooter alignWithMargins="0">
    <oddFooter>&amp;C&amp;"Segoe UI,Regular"&amp;10 4/30/2025 8:56:00 PM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"/>
  <sheetViews>
    <sheetView showGridLines="0" topLeftCell="A27" zoomScale="85" workbookViewId="0">
      <selection sqref="A1:B5"/>
    </sheetView>
  </sheetViews>
  <sheetFormatPr defaultRowHeight="15"/>
  <cols>
    <col min="1" max="1" width="16.5703125" customWidth="1"/>
    <col min="2" max="2" width="22.85546875" customWidth="1"/>
    <col min="3" max="3" width="35.28515625" customWidth="1"/>
    <col min="4" max="4" width="19.7109375" customWidth="1"/>
    <col min="5" max="5" width="44.28515625" customWidth="1"/>
    <col min="6" max="6" width="34.5703125" customWidth="1"/>
    <col min="7" max="7" width="19.140625" customWidth="1"/>
    <col min="8" max="10" width="26.28515625" customWidth="1"/>
    <col min="11" max="12" width="23.140625" customWidth="1"/>
    <col min="13" max="13" width="22.140625" customWidth="1"/>
    <col min="14" max="14" width="46.5703125" customWidth="1"/>
    <col min="15" max="15" width="10.42578125" customWidth="1"/>
    <col min="16" max="16" width="0" hidden="1" customWidth="1"/>
    <col min="17" max="17" width="6.140625" customWidth="1"/>
  </cols>
  <sheetData>
    <row r="1" spans="1:7" ht="18" customHeight="1">
      <c r="A1" s="249"/>
      <c r="B1" s="249"/>
      <c r="C1" s="1" t="s">
        <v>0</v>
      </c>
      <c r="D1" s="14" t="s">
        <v>0</v>
      </c>
    </row>
    <row r="2" spans="1:7" ht="14.45" customHeight="1">
      <c r="A2" s="249"/>
      <c r="B2" s="249"/>
      <c r="C2" s="1" t="s">
        <v>0</v>
      </c>
      <c r="D2" s="14" t="s">
        <v>0</v>
      </c>
    </row>
    <row r="3" spans="1:7" ht="14.45" customHeight="1">
      <c r="A3" s="249"/>
      <c r="B3" s="249"/>
      <c r="C3" s="1" t="s">
        <v>0</v>
      </c>
      <c r="D3" s="14" t="s">
        <v>0</v>
      </c>
    </row>
    <row r="4" spans="1:7" ht="14.45" customHeight="1">
      <c r="A4" s="249"/>
      <c r="B4" s="249"/>
      <c r="C4" s="1" t="s">
        <v>0</v>
      </c>
      <c r="D4" s="14" t="s">
        <v>0</v>
      </c>
    </row>
    <row r="5" spans="1:7" ht="14.45" customHeight="1">
      <c r="A5" s="249"/>
      <c r="B5" s="249"/>
      <c r="C5" s="1" t="s">
        <v>0</v>
      </c>
      <c r="D5" s="14" t="s">
        <v>0</v>
      </c>
    </row>
    <row r="6" spans="1:7">
      <c r="A6" s="80" t="s">
        <v>0</v>
      </c>
      <c r="B6" s="80" t="s">
        <v>0</v>
      </c>
      <c r="C6" s="80" t="s">
        <v>0</v>
      </c>
      <c r="D6" s="14" t="s">
        <v>0</v>
      </c>
    </row>
    <row r="7" spans="1:7">
      <c r="A7" s="233" t="s">
        <v>397</v>
      </c>
      <c r="B7" s="249"/>
      <c r="C7" s="249"/>
      <c r="D7" s="7" t="s">
        <v>0</v>
      </c>
    </row>
    <row r="8" spans="1:7" ht="15.75">
      <c r="A8" s="240" t="s">
        <v>398</v>
      </c>
      <c r="B8" s="235"/>
      <c r="C8" s="81" t="s">
        <v>0</v>
      </c>
      <c r="D8" s="81" t="s">
        <v>0</v>
      </c>
      <c r="E8" s="81" t="s">
        <v>0</v>
      </c>
      <c r="F8" s="241" t="s">
        <v>0</v>
      </c>
      <c r="G8" s="242"/>
    </row>
    <row r="9" spans="1:7" ht="15.75">
      <c r="A9" s="83" t="s">
        <v>399</v>
      </c>
      <c r="B9" s="84" t="s">
        <v>33</v>
      </c>
      <c r="C9" s="84" t="s">
        <v>34</v>
      </c>
      <c r="D9" s="84" t="s">
        <v>400</v>
      </c>
      <c r="E9" s="84" t="s">
        <v>401</v>
      </c>
      <c r="F9" s="243" t="s">
        <v>402</v>
      </c>
      <c r="G9" s="244"/>
    </row>
    <row r="10" spans="1:7" ht="14.45" customHeight="1">
      <c r="A10" s="86">
        <v>45698</v>
      </c>
      <c r="B10" s="14" t="s">
        <v>403</v>
      </c>
      <c r="C10" s="14"/>
      <c r="D10" s="87">
        <v>2601.86</v>
      </c>
      <c r="E10" s="14" t="s">
        <v>404</v>
      </c>
      <c r="F10" s="236"/>
      <c r="G10" s="237"/>
    </row>
    <row r="11" spans="1:7" ht="14.45" customHeight="1">
      <c r="A11" s="86">
        <v>45742</v>
      </c>
      <c r="B11" s="14" t="s">
        <v>106</v>
      </c>
      <c r="C11" s="14"/>
      <c r="D11" s="87">
        <v>1899.64</v>
      </c>
      <c r="E11" s="14" t="s">
        <v>405</v>
      </c>
      <c r="F11" s="236"/>
      <c r="G11" s="237"/>
    </row>
    <row r="12" spans="1:7" ht="14.45" customHeight="1">
      <c r="A12" s="86">
        <v>45747</v>
      </c>
      <c r="B12" s="14" t="s">
        <v>169</v>
      </c>
      <c r="C12" s="14"/>
      <c r="D12" s="87">
        <v>186686.87</v>
      </c>
      <c r="E12" s="14" t="s">
        <v>406</v>
      </c>
      <c r="F12" s="236"/>
      <c r="G12" s="237"/>
    </row>
    <row r="13" spans="1:7" ht="14.45" customHeight="1">
      <c r="A13" s="86">
        <v>45747</v>
      </c>
      <c r="B13" s="14" t="s">
        <v>233</v>
      </c>
      <c r="C13" s="14"/>
      <c r="D13" s="87">
        <v>1868.15</v>
      </c>
      <c r="E13" s="14" t="s">
        <v>407</v>
      </c>
      <c r="F13" s="236"/>
      <c r="G13" s="237"/>
    </row>
    <row r="14" spans="1:7" ht="14.45" customHeight="1">
      <c r="A14" s="86">
        <v>45747</v>
      </c>
      <c r="B14" s="14" t="s">
        <v>233</v>
      </c>
      <c r="C14" s="14"/>
      <c r="D14" s="87">
        <v>10515.81</v>
      </c>
      <c r="E14" s="14" t="s">
        <v>408</v>
      </c>
      <c r="F14" s="236"/>
      <c r="G14" s="237"/>
    </row>
    <row r="15" spans="1:7" ht="14.45" customHeight="1">
      <c r="A15" s="86">
        <v>45756</v>
      </c>
      <c r="B15" s="14" t="s">
        <v>409</v>
      </c>
      <c r="C15" s="14"/>
      <c r="D15" s="87">
        <v>2365.6999999999998</v>
      </c>
      <c r="E15" s="14" t="s">
        <v>410</v>
      </c>
      <c r="F15" s="236"/>
      <c r="G15" s="237"/>
    </row>
    <row r="16" spans="1:7" ht="14.45" customHeight="1">
      <c r="A16" s="86">
        <v>45762</v>
      </c>
      <c r="B16" s="14" t="s">
        <v>106</v>
      </c>
      <c r="C16" s="14"/>
      <c r="D16" s="87">
        <v>6149.3</v>
      </c>
      <c r="E16" s="14" t="s">
        <v>411</v>
      </c>
      <c r="F16" s="236"/>
      <c r="G16" s="237"/>
    </row>
    <row r="17" spans="1:14" ht="14.45" customHeight="1">
      <c r="A17" s="86">
        <v>45762</v>
      </c>
      <c r="B17" s="14" t="s">
        <v>106</v>
      </c>
      <c r="C17" s="14"/>
      <c r="D17" s="87">
        <v>19866.14</v>
      </c>
      <c r="E17" s="14" t="s">
        <v>412</v>
      </c>
      <c r="F17" s="236"/>
      <c r="G17" s="237"/>
    </row>
    <row r="18" spans="1:14" ht="14.45" customHeight="1">
      <c r="A18" s="86">
        <v>45771</v>
      </c>
      <c r="B18" s="14" t="s">
        <v>169</v>
      </c>
      <c r="C18" s="14"/>
      <c r="D18" s="87">
        <v>6.41</v>
      </c>
      <c r="E18" s="14" t="s">
        <v>413</v>
      </c>
      <c r="F18" s="236"/>
      <c r="G18" s="237"/>
    </row>
    <row r="19" spans="1:14" ht="15.75">
      <c r="A19" s="89" t="s">
        <v>0</v>
      </c>
      <c r="B19" s="90" t="s">
        <v>0</v>
      </c>
      <c r="C19" s="90" t="s">
        <v>0</v>
      </c>
      <c r="D19" s="91">
        <v>231959.88</v>
      </c>
      <c r="E19" s="90" t="s">
        <v>0</v>
      </c>
      <c r="F19" s="238" t="s">
        <v>0</v>
      </c>
      <c r="G19" s="239"/>
    </row>
    <row r="20" spans="1:14" ht="15.75">
      <c r="A20" s="9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</row>
    <row r="21" spans="1:14" ht="15.75">
      <c r="A21" s="9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</row>
    <row r="22" spans="1:14" ht="15.75">
      <c r="A22" s="234" t="s">
        <v>19</v>
      </c>
      <c r="B22" s="235"/>
      <c r="C22" s="81" t="s">
        <v>0</v>
      </c>
      <c r="D22" s="81" t="s">
        <v>0</v>
      </c>
      <c r="E22" s="81" t="s">
        <v>0</v>
      </c>
      <c r="F22" s="81" t="s">
        <v>0</v>
      </c>
      <c r="G22" s="81" t="s">
        <v>0</v>
      </c>
      <c r="H22" s="81" t="s">
        <v>0</v>
      </c>
      <c r="I22" s="81" t="s">
        <v>0</v>
      </c>
      <c r="J22" s="81" t="s">
        <v>0</v>
      </c>
      <c r="K22" s="81" t="s">
        <v>0</v>
      </c>
      <c r="L22" s="81" t="s">
        <v>0</v>
      </c>
      <c r="M22" s="81" t="s">
        <v>0</v>
      </c>
      <c r="N22" s="82" t="s">
        <v>0</v>
      </c>
    </row>
    <row r="23" spans="1:14" ht="31.5">
      <c r="A23" s="93" t="s">
        <v>414</v>
      </c>
      <c r="B23" s="94" t="s">
        <v>415</v>
      </c>
      <c r="C23" s="94" t="s">
        <v>5</v>
      </c>
      <c r="D23" s="94" t="s">
        <v>399</v>
      </c>
      <c r="E23" s="94" t="s">
        <v>33</v>
      </c>
      <c r="F23" s="94" t="s">
        <v>34</v>
      </c>
      <c r="G23" s="94" t="s">
        <v>35</v>
      </c>
      <c r="H23" s="94" t="s">
        <v>36</v>
      </c>
      <c r="I23" s="94" t="s">
        <v>4</v>
      </c>
      <c r="J23" s="94" t="s">
        <v>416</v>
      </c>
      <c r="K23" s="94" t="s">
        <v>37</v>
      </c>
      <c r="L23" s="94" t="s">
        <v>417</v>
      </c>
      <c r="M23" s="94" t="s">
        <v>418</v>
      </c>
      <c r="N23" s="95" t="s">
        <v>402</v>
      </c>
    </row>
    <row r="24" spans="1:14" ht="15.75">
      <c r="A24" s="83" t="s">
        <v>0</v>
      </c>
      <c r="B24" s="84" t="s">
        <v>0</v>
      </c>
      <c r="C24" s="84" t="s">
        <v>0</v>
      </c>
      <c r="D24" s="84" t="s">
        <v>0</v>
      </c>
      <c r="E24" s="84" t="s">
        <v>0</v>
      </c>
      <c r="F24" s="84" t="s">
        <v>0</v>
      </c>
      <c r="G24" s="84" t="s">
        <v>0</v>
      </c>
      <c r="H24" s="84" t="s">
        <v>0</v>
      </c>
      <c r="I24" s="84" t="s">
        <v>0</v>
      </c>
      <c r="J24" s="84" t="s">
        <v>0</v>
      </c>
      <c r="K24" s="96">
        <v>1541425.31</v>
      </c>
      <c r="L24" s="96">
        <v>997245.67</v>
      </c>
      <c r="M24" s="97" t="s">
        <v>0</v>
      </c>
      <c r="N24" s="85" t="s">
        <v>0</v>
      </c>
    </row>
    <row r="25" spans="1:14" ht="14.45" customHeight="1">
      <c r="A25" s="98">
        <v>219522</v>
      </c>
      <c r="B25" s="16">
        <v>12194</v>
      </c>
      <c r="C25" s="16" t="s">
        <v>419</v>
      </c>
      <c r="D25" s="99">
        <v>45657</v>
      </c>
      <c r="E25" s="14" t="s">
        <v>374</v>
      </c>
      <c r="F25" s="14" t="s">
        <v>375</v>
      </c>
      <c r="G25" s="16"/>
      <c r="H25" s="14" t="s">
        <v>420</v>
      </c>
      <c r="I25" s="14" t="s">
        <v>14</v>
      </c>
      <c r="J25" s="14" t="s">
        <v>0</v>
      </c>
      <c r="K25" s="87">
        <v>38.28</v>
      </c>
      <c r="L25" s="87">
        <v>38.28</v>
      </c>
      <c r="M25" s="14"/>
      <c r="N25" s="88"/>
    </row>
    <row r="26" spans="1:14" ht="14.45" customHeight="1">
      <c r="A26" s="98">
        <v>190877</v>
      </c>
      <c r="B26" s="16">
        <v>5628</v>
      </c>
      <c r="C26" s="16" t="s">
        <v>419</v>
      </c>
      <c r="D26" s="99">
        <v>45657</v>
      </c>
      <c r="E26" s="14" t="s">
        <v>136</v>
      </c>
      <c r="F26" s="14" t="s">
        <v>65</v>
      </c>
      <c r="G26" s="16" t="s">
        <v>137</v>
      </c>
      <c r="H26" s="14" t="s">
        <v>421</v>
      </c>
      <c r="I26" s="14" t="s">
        <v>14</v>
      </c>
      <c r="J26" s="14" t="s">
        <v>0</v>
      </c>
      <c r="K26" s="87">
        <v>635.11</v>
      </c>
      <c r="L26" s="87">
        <v>635.11</v>
      </c>
      <c r="M26" s="14"/>
      <c r="N26" s="88"/>
    </row>
    <row r="27" spans="1:14" ht="14.45" customHeight="1">
      <c r="A27" s="98">
        <v>164205</v>
      </c>
      <c r="B27" s="16">
        <v>10508</v>
      </c>
      <c r="C27" s="16" t="s">
        <v>419</v>
      </c>
      <c r="D27" s="99">
        <v>45657</v>
      </c>
      <c r="E27" s="14" t="s">
        <v>80</v>
      </c>
      <c r="F27" s="14" t="s">
        <v>226</v>
      </c>
      <c r="G27" s="16" t="s">
        <v>227</v>
      </c>
      <c r="H27" s="14" t="s">
        <v>420</v>
      </c>
      <c r="I27" s="14" t="s">
        <v>14</v>
      </c>
      <c r="J27" s="14" t="s">
        <v>0</v>
      </c>
      <c r="K27" s="87">
        <v>16054.4</v>
      </c>
      <c r="L27" s="87">
        <v>16054.4</v>
      </c>
      <c r="M27" s="14"/>
      <c r="N27" s="88"/>
    </row>
    <row r="28" spans="1:14" ht="14.45" customHeight="1">
      <c r="A28" s="98">
        <v>164311</v>
      </c>
      <c r="B28" s="16">
        <v>11795</v>
      </c>
      <c r="C28" s="16" t="s">
        <v>419</v>
      </c>
      <c r="D28" s="99">
        <v>45659</v>
      </c>
      <c r="E28" s="14" t="s">
        <v>61</v>
      </c>
      <c r="F28" s="14" t="s">
        <v>62</v>
      </c>
      <c r="G28" s="16" t="s">
        <v>63</v>
      </c>
      <c r="H28" s="14" t="s">
        <v>422</v>
      </c>
      <c r="I28" s="14" t="s">
        <v>13</v>
      </c>
      <c r="J28" s="14" t="s">
        <v>0</v>
      </c>
      <c r="K28" s="87">
        <v>10.71</v>
      </c>
      <c r="L28" s="87">
        <v>10.71</v>
      </c>
      <c r="M28" s="14"/>
      <c r="N28" s="88"/>
    </row>
    <row r="29" spans="1:14" ht="14.45" customHeight="1">
      <c r="A29" s="98">
        <v>164309</v>
      </c>
      <c r="B29" s="16">
        <v>11795</v>
      </c>
      <c r="C29" s="16" t="s">
        <v>419</v>
      </c>
      <c r="D29" s="99">
        <v>45659</v>
      </c>
      <c r="E29" s="14" t="s">
        <v>61</v>
      </c>
      <c r="F29" s="14" t="s">
        <v>62</v>
      </c>
      <c r="G29" s="16" t="s">
        <v>63</v>
      </c>
      <c r="H29" s="14" t="s">
        <v>422</v>
      </c>
      <c r="I29" s="14" t="s">
        <v>13</v>
      </c>
      <c r="J29" s="14" t="s">
        <v>0</v>
      </c>
      <c r="K29" s="87">
        <v>417.08</v>
      </c>
      <c r="L29" s="87">
        <v>417.08</v>
      </c>
      <c r="M29" s="14"/>
      <c r="N29" s="88"/>
    </row>
    <row r="30" spans="1:14" ht="14.45" customHeight="1">
      <c r="A30" s="98">
        <v>163541</v>
      </c>
      <c r="B30" s="16">
        <v>3273</v>
      </c>
      <c r="C30" s="16" t="s">
        <v>419</v>
      </c>
      <c r="D30" s="99">
        <v>45659</v>
      </c>
      <c r="E30" s="14" t="s">
        <v>116</v>
      </c>
      <c r="F30" s="14" t="s">
        <v>65</v>
      </c>
      <c r="G30" s="16" t="s">
        <v>117</v>
      </c>
      <c r="H30" s="14" t="s">
        <v>422</v>
      </c>
      <c r="I30" s="14" t="s">
        <v>13</v>
      </c>
      <c r="J30" s="14" t="s">
        <v>0</v>
      </c>
      <c r="K30" s="87">
        <v>5246.07</v>
      </c>
      <c r="L30" s="87">
        <v>5246.07</v>
      </c>
      <c r="M30" s="14"/>
      <c r="N30" s="88"/>
    </row>
    <row r="31" spans="1:14" ht="14.45" customHeight="1">
      <c r="A31" s="98">
        <v>163545</v>
      </c>
      <c r="B31" s="16">
        <v>3377</v>
      </c>
      <c r="C31" s="16" t="s">
        <v>419</v>
      </c>
      <c r="D31" s="99">
        <v>45659</v>
      </c>
      <c r="E31" s="14" t="s">
        <v>116</v>
      </c>
      <c r="F31" s="14" t="s">
        <v>130</v>
      </c>
      <c r="G31" s="16"/>
      <c r="H31" s="14" t="s">
        <v>422</v>
      </c>
      <c r="I31" s="14" t="s">
        <v>13</v>
      </c>
      <c r="J31" s="14" t="s">
        <v>0</v>
      </c>
      <c r="K31" s="87">
        <v>135.76</v>
      </c>
      <c r="L31" s="87">
        <v>135.76</v>
      </c>
      <c r="M31" s="14"/>
      <c r="N31" s="88"/>
    </row>
    <row r="32" spans="1:14" ht="14.45" customHeight="1">
      <c r="A32" s="98">
        <v>163544</v>
      </c>
      <c r="B32" s="16">
        <v>3377</v>
      </c>
      <c r="C32" s="16" t="s">
        <v>419</v>
      </c>
      <c r="D32" s="99">
        <v>45659</v>
      </c>
      <c r="E32" s="14" t="s">
        <v>116</v>
      </c>
      <c r="F32" s="14" t="s">
        <v>130</v>
      </c>
      <c r="G32" s="16"/>
      <c r="H32" s="14" t="s">
        <v>422</v>
      </c>
      <c r="I32" s="14" t="s">
        <v>13</v>
      </c>
      <c r="J32" s="14" t="s">
        <v>0</v>
      </c>
      <c r="K32" s="87">
        <v>134.54</v>
      </c>
      <c r="L32" s="87">
        <v>134.54</v>
      </c>
      <c r="M32" s="14"/>
      <c r="N32" s="88"/>
    </row>
    <row r="33" spans="1:14" ht="14.45" customHeight="1">
      <c r="A33" s="98">
        <v>163543</v>
      </c>
      <c r="B33" s="16">
        <v>3377</v>
      </c>
      <c r="C33" s="16" t="s">
        <v>419</v>
      </c>
      <c r="D33" s="99">
        <v>45659</v>
      </c>
      <c r="E33" s="14" t="s">
        <v>116</v>
      </c>
      <c r="F33" s="14" t="s">
        <v>130</v>
      </c>
      <c r="G33" s="16"/>
      <c r="H33" s="14" t="s">
        <v>422</v>
      </c>
      <c r="I33" s="14" t="s">
        <v>13</v>
      </c>
      <c r="J33" s="14" t="s">
        <v>0</v>
      </c>
      <c r="K33" s="87">
        <v>1077.44</v>
      </c>
      <c r="L33" s="87">
        <v>1077.44</v>
      </c>
      <c r="M33" s="14"/>
      <c r="N33" s="88"/>
    </row>
    <row r="34" spans="1:14" ht="14.45" customHeight="1">
      <c r="A34" s="98">
        <v>163542</v>
      </c>
      <c r="B34" s="16">
        <v>3377</v>
      </c>
      <c r="C34" s="16" t="s">
        <v>419</v>
      </c>
      <c r="D34" s="99">
        <v>45659</v>
      </c>
      <c r="E34" s="14" t="s">
        <v>116</v>
      </c>
      <c r="F34" s="14" t="s">
        <v>130</v>
      </c>
      <c r="G34" s="16"/>
      <c r="H34" s="14" t="s">
        <v>422</v>
      </c>
      <c r="I34" s="14" t="s">
        <v>13</v>
      </c>
      <c r="J34" s="14" t="s">
        <v>0</v>
      </c>
      <c r="K34" s="87">
        <v>1317.05</v>
      </c>
      <c r="L34" s="87">
        <v>1317.05</v>
      </c>
      <c r="M34" s="14"/>
      <c r="N34" s="88"/>
    </row>
    <row r="35" spans="1:14" ht="14.45" customHeight="1">
      <c r="A35" s="98">
        <v>163550</v>
      </c>
      <c r="B35" s="16">
        <v>11022</v>
      </c>
      <c r="C35" s="16" t="s">
        <v>419</v>
      </c>
      <c r="D35" s="99">
        <v>45659</v>
      </c>
      <c r="E35" s="14" t="s">
        <v>116</v>
      </c>
      <c r="F35" s="14" t="s">
        <v>209</v>
      </c>
      <c r="G35" s="16"/>
      <c r="H35" s="14" t="s">
        <v>422</v>
      </c>
      <c r="I35" s="14" t="s">
        <v>13</v>
      </c>
      <c r="J35" s="14" t="s">
        <v>0</v>
      </c>
      <c r="K35" s="87">
        <v>269.08999999999997</v>
      </c>
      <c r="L35" s="87">
        <v>269.08999999999997</v>
      </c>
      <c r="M35" s="14"/>
      <c r="N35" s="88"/>
    </row>
    <row r="36" spans="1:14" ht="14.45" customHeight="1">
      <c r="A36" s="98">
        <v>163540</v>
      </c>
      <c r="B36" s="16">
        <v>3261</v>
      </c>
      <c r="C36" s="16" t="s">
        <v>419</v>
      </c>
      <c r="D36" s="99">
        <v>45659</v>
      </c>
      <c r="E36" s="14" t="s">
        <v>114</v>
      </c>
      <c r="F36" s="14" t="s">
        <v>115</v>
      </c>
      <c r="G36" s="16"/>
      <c r="H36" s="14" t="s">
        <v>422</v>
      </c>
      <c r="I36" s="14" t="s">
        <v>13</v>
      </c>
      <c r="J36" s="14" t="s">
        <v>0</v>
      </c>
      <c r="K36" s="87">
        <v>265.04000000000002</v>
      </c>
      <c r="L36" s="87">
        <v>265.04000000000002</v>
      </c>
      <c r="M36" s="14"/>
      <c r="N36" s="88"/>
    </row>
    <row r="37" spans="1:14" ht="14.45" customHeight="1">
      <c r="A37" s="98">
        <v>163551</v>
      </c>
      <c r="B37" s="16">
        <v>11807</v>
      </c>
      <c r="C37" s="16" t="s">
        <v>419</v>
      </c>
      <c r="D37" s="99">
        <v>45660</v>
      </c>
      <c r="E37" s="14" t="s">
        <v>54</v>
      </c>
      <c r="F37" s="14" t="s">
        <v>55</v>
      </c>
      <c r="G37" s="16" t="s">
        <v>56</v>
      </c>
      <c r="H37" s="14" t="s">
        <v>422</v>
      </c>
      <c r="I37" s="14" t="s">
        <v>13</v>
      </c>
      <c r="J37" s="14" t="s">
        <v>0</v>
      </c>
      <c r="K37" s="87">
        <v>646</v>
      </c>
      <c r="L37" s="87">
        <v>646</v>
      </c>
      <c r="M37" s="14"/>
      <c r="N37" s="88"/>
    </row>
    <row r="38" spans="1:14" ht="14.45" customHeight="1">
      <c r="A38" s="98">
        <v>163552</v>
      </c>
      <c r="B38" s="16">
        <v>11809</v>
      </c>
      <c r="C38" s="16" t="s">
        <v>419</v>
      </c>
      <c r="D38" s="99">
        <v>45663</v>
      </c>
      <c r="E38" s="14" t="s">
        <v>220</v>
      </c>
      <c r="F38" s="14" t="s">
        <v>221</v>
      </c>
      <c r="G38" s="16" t="s">
        <v>222</v>
      </c>
      <c r="H38" s="14" t="s">
        <v>422</v>
      </c>
      <c r="I38" s="14" t="s">
        <v>13</v>
      </c>
      <c r="J38" s="14" t="s">
        <v>0</v>
      </c>
      <c r="K38" s="87">
        <v>11111.3</v>
      </c>
      <c r="L38" s="87">
        <v>11111.3</v>
      </c>
      <c r="M38" s="14"/>
      <c r="N38" s="88"/>
    </row>
    <row r="39" spans="1:14" ht="14.45" customHeight="1">
      <c r="A39" s="98">
        <v>207260</v>
      </c>
      <c r="B39" s="16">
        <v>10564</v>
      </c>
      <c r="C39" s="16" t="s">
        <v>419</v>
      </c>
      <c r="D39" s="99">
        <v>45672</v>
      </c>
      <c r="E39" s="14" t="s">
        <v>201</v>
      </c>
      <c r="F39" s="14" t="s">
        <v>65</v>
      </c>
      <c r="G39" s="16" t="s">
        <v>202</v>
      </c>
      <c r="H39" s="14" t="s">
        <v>420</v>
      </c>
      <c r="I39" s="14" t="s">
        <v>14</v>
      </c>
      <c r="J39" s="14" t="s">
        <v>0</v>
      </c>
      <c r="K39" s="87">
        <v>663518.63</v>
      </c>
      <c r="L39" s="87">
        <v>663518.63</v>
      </c>
      <c r="M39" s="14"/>
      <c r="N39" s="88"/>
    </row>
    <row r="40" spans="1:14" ht="14.45" customHeight="1">
      <c r="A40" s="98">
        <v>163981</v>
      </c>
      <c r="B40" s="16">
        <v>9063</v>
      </c>
      <c r="C40" s="16" t="s">
        <v>419</v>
      </c>
      <c r="D40" s="99">
        <v>45673</v>
      </c>
      <c r="E40" s="14" t="s">
        <v>150</v>
      </c>
      <c r="F40" s="14" t="s">
        <v>86</v>
      </c>
      <c r="G40" s="16" t="s">
        <v>151</v>
      </c>
      <c r="H40" s="14" t="s">
        <v>422</v>
      </c>
      <c r="I40" s="14" t="s">
        <v>13</v>
      </c>
      <c r="J40" s="14" t="s">
        <v>0</v>
      </c>
      <c r="K40" s="87">
        <v>37534.74</v>
      </c>
      <c r="L40" s="87">
        <v>37534.74</v>
      </c>
      <c r="M40" s="14"/>
      <c r="N40" s="88"/>
    </row>
    <row r="41" spans="1:14" ht="14.45" customHeight="1">
      <c r="A41" s="98">
        <v>163377</v>
      </c>
      <c r="B41" s="16">
        <v>4368</v>
      </c>
      <c r="C41" s="16" t="s">
        <v>419</v>
      </c>
      <c r="D41" s="99">
        <v>45686</v>
      </c>
      <c r="E41" s="14" t="s">
        <v>50</v>
      </c>
      <c r="F41" s="14" t="s">
        <v>51</v>
      </c>
      <c r="G41" s="16"/>
      <c r="H41" s="14" t="s">
        <v>422</v>
      </c>
      <c r="I41" s="14" t="s">
        <v>13</v>
      </c>
      <c r="J41" s="14" t="s">
        <v>0</v>
      </c>
      <c r="K41" s="87">
        <v>3658.91</v>
      </c>
      <c r="L41" s="87">
        <v>3658.91</v>
      </c>
      <c r="M41" s="14"/>
      <c r="N41" s="88"/>
    </row>
    <row r="42" spans="1:14" ht="14.45" customHeight="1">
      <c r="A42" s="98">
        <v>164060</v>
      </c>
      <c r="B42" s="16">
        <v>2495</v>
      </c>
      <c r="C42" s="16" t="s">
        <v>419</v>
      </c>
      <c r="D42" s="99">
        <v>45688</v>
      </c>
      <c r="E42" s="14" t="s">
        <v>85</v>
      </c>
      <c r="F42" s="14" t="s">
        <v>86</v>
      </c>
      <c r="G42" s="16"/>
      <c r="H42" s="14" t="s">
        <v>422</v>
      </c>
      <c r="I42" s="14" t="s">
        <v>13</v>
      </c>
      <c r="J42" s="14" t="s">
        <v>0</v>
      </c>
      <c r="K42" s="87">
        <v>15507.34</v>
      </c>
      <c r="L42" s="87">
        <v>15507.34</v>
      </c>
      <c r="M42" s="14"/>
      <c r="N42" s="88"/>
    </row>
    <row r="43" spans="1:14" ht="14.45" customHeight="1">
      <c r="A43" s="98">
        <v>162884</v>
      </c>
      <c r="B43" s="16">
        <v>12770</v>
      </c>
      <c r="C43" s="16" t="s">
        <v>419</v>
      </c>
      <c r="D43" s="99">
        <v>45688</v>
      </c>
      <c r="E43" s="14" t="s">
        <v>80</v>
      </c>
      <c r="F43" s="14" t="s">
        <v>83</v>
      </c>
      <c r="G43" s="16" t="s">
        <v>84</v>
      </c>
      <c r="H43" s="14" t="s">
        <v>422</v>
      </c>
      <c r="I43" s="14" t="s">
        <v>13</v>
      </c>
      <c r="J43" s="14" t="s">
        <v>0</v>
      </c>
      <c r="K43" s="87">
        <v>6188.91</v>
      </c>
      <c r="L43" s="87">
        <v>6188.91</v>
      </c>
      <c r="M43" s="14"/>
      <c r="N43" s="88"/>
    </row>
    <row r="44" spans="1:14" ht="14.45" customHeight="1">
      <c r="A44" s="98">
        <v>164787</v>
      </c>
      <c r="B44" s="16">
        <v>10550</v>
      </c>
      <c r="C44" s="16" t="s">
        <v>419</v>
      </c>
      <c r="D44" s="99">
        <v>45688</v>
      </c>
      <c r="E44" s="14" t="s">
        <v>191</v>
      </c>
      <c r="F44" s="14" t="s">
        <v>192</v>
      </c>
      <c r="G44" s="16" t="s">
        <v>193</v>
      </c>
      <c r="H44" s="14" t="s">
        <v>422</v>
      </c>
      <c r="I44" s="14" t="s">
        <v>13</v>
      </c>
      <c r="J44" s="14" t="s">
        <v>0</v>
      </c>
      <c r="K44" s="87">
        <v>19831.28</v>
      </c>
      <c r="L44" s="87">
        <v>19831.28</v>
      </c>
      <c r="M44" s="14"/>
      <c r="N44" s="88"/>
    </row>
    <row r="45" spans="1:14" ht="14.45" customHeight="1">
      <c r="A45" s="98">
        <v>163539</v>
      </c>
      <c r="B45" s="16">
        <v>3236</v>
      </c>
      <c r="C45" s="16" t="s">
        <v>419</v>
      </c>
      <c r="D45" s="99">
        <v>45688</v>
      </c>
      <c r="E45" s="14" t="s">
        <v>112</v>
      </c>
      <c r="F45" s="14" t="s">
        <v>86</v>
      </c>
      <c r="G45" s="16" t="s">
        <v>113</v>
      </c>
      <c r="H45" s="14" t="s">
        <v>422</v>
      </c>
      <c r="I45" s="14" t="s">
        <v>13</v>
      </c>
      <c r="J45" s="14" t="s">
        <v>0</v>
      </c>
      <c r="K45" s="87">
        <v>20416.66</v>
      </c>
      <c r="L45" s="87">
        <v>20416.66</v>
      </c>
      <c r="M45" s="14"/>
      <c r="N45" s="88"/>
    </row>
    <row r="46" spans="1:14" ht="14.45" customHeight="1">
      <c r="A46" s="98">
        <v>164790</v>
      </c>
      <c r="B46" s="16">
        <v>10568</v>
      </c>
      <c r="C46" s="16" t="s">
        <v>419</v>
      </c>
      <c r="D46" s="99">
        <v>45688</v>
      </c>
      <c r="E46" s="14" t="s">
        <v>203</v>
      </c>
      <c r="F46" s="14" t="s">
        <v>204</v>
      </c>
      <c r="G46" s="16" t="s">
        <v>205</v>
      </c>
      <c r="H46" s="14" t="s">
        <v>422</v>
      </c>
      <c r="I46" s="14" t="s">
        <v>13</v>
      </c>
      <c r="J46" s="14" t="s">
        <v>0</v>
      </c>
      <c r="K46" s="87">
        <v>22172.31</v>
      </c>
      <c r="L46" s="87">
        <v>22172.31</v>
      </c>
      <c r="M46" s="14"/>
      <c r="N46" s="88"/>
    </row>
    <row r="47" spans="1:14" ht="14.45" customHeight="1">
      <c r="A47" s="98">
        <v>199238</v>
      </c>
      <c r="B47" s="16">
        <v>14717</v>
      </c>
      <c r="C47" s="16" t="s">
        <v>419</v>
      </c>
      <c r="D47" s="99">
        <v>45688</v>
      </c>
      <c r="E47" s="14" t="s">
        <v>335</v>
      </c>
      <c r="F47" s="14" t="s">
        <v>336</v>
      </c>
      <c r="G47" s="16" t="s">
        <v>337</v>
      </c>
      <c r="H47" s="14" t="s">
        <v>423</v>
      </c>
      <c r="I47" s="14" t="s">
        <v>13</v>
      </c>
      <c r="J47" s="14" t="s">
        <v>0</v>
      </c>
      <c r="K47" s="87">
        <v>1264.03</v>
      </c>
      <c r="L47" s="87">
        <v>1264.03</v>
      </c>
      <c r="M47" s="14"/>
      <c r="N47" s="88"/>
    </row>
    <row r="48" spans="1:14" ht="14.45" customHeight="1">
      <c r="A48" s="98">
        <v>164470</v>
      </c>
      <c r="B48" s="16">
        <v>12399</v>
      </c>
      <c r="C48" s="16" t="s">
        <v>419</v>
      </c>
      <c r="D48" s="99">
        <v>45688</v>
      </c>
      <c r="E48" s="14" t="s">
        <v>50</v>
      </c>
      <c r="F48" s="14" t="s">
        <v>246</v>
      </c>
      <c r="G48" s="16" t="s">
        <v>247</v>
      </c>
      <c r="H48" s="14" t="s">
        <v>422</v>
      </c>
      <c r="I48" s="14" t="s">
        <v>13</v>
      </c>
      <c r="J48" s="14" t="s">
        <v>0</v>
      </c>
      <c r="K48" s="87">
        <v>230.34</v>
      </c>
      <c r="L48" s="87">
        <v>230.34</v>
      </c>
      <c r="M48" s="14"/>
      <c r="N48" s="88"/>
    </row>
    <row r="49" spans="1:14" ht="14.45" customHeight="1">
      <c r="A49" s="98">
        <v>164904</v>
      </c>
      <c r="B49" s="16">
        <v>10527</v>
      </c>
      <c r="C49" s="16" t="s">
        <v>419</v>
      </c>
      <c r="D49" s="99">
        <v>45688</v>
      </c>
      <c r="E49" s="14" t="s">
        <v>178</v>
      </c>
      <c r="F49" s="14" t="s">
        <v>179</v>
      </c>
      <c r="G49" s="16" t="s">
        <v>180</v>
      </c>
      <c r="H49" s="14" t="s">
        <v>422</v>
      </c>
      <c r="I49" s="14" t="s">
        <v>13</v>
      </c>
      <c r="J49" s="14" t="s">
        <v>0</v>
      </c>
      <c r="K49" s="87">
        <v>8272.7000000000007</v>
      </c>
      <c r="L49" s="87">
        <v>8272.7000000000007</v>
      </c>
      <c r="M49" s="14"/>
      <c r="N49" s="88"/>
    </row>
    <row r="50" spans="1:14" ht="14.45" customHeight="1">
      <c r="A50" s="98">
        <v>163375</v>
      </c>
      <c r="B50" s="16">
        <v>10523</v>
      </c>
      <c r="C50" s="16" t="s">
        <v>419</v>
      </c>
      <c r="D50" s="99">
        <v>45688</v>
      </c>
      <c r="E50" s="14" t="s">
        <v>172</v>
      </c>
      <c r="F50" s="14" t="s">
        <v>173</v>
      </c>
      <c r="G50" s="16" t="s">
        <v>174</v>
      </c>
      <c r="H50" s="14" t="s">
        <v>422</v>
      </c>
      <c r="I50" s="14" t="s">
        <v>13</v>
      </c>
      <c r="J50" s="14" t="s">
        <v>0</v>
      </c>
      <c r="K50" s="87">
        <v>25096.3</v>
      </c>
      <c r="L50" s="87">
        <v>25096.3</v>
      </c>
      <c r="M50" s="14"/>
      <c r="N50" s="88"/>
    </row>
    <row r="51" spans="1:14" ht="14.45" customHeight="1">
      <c r="A51" s="98">
        <v>164327</v>
      </c>
      <c r="B51" s="16">
        <v>11795</v>
      </c>
      <c r="C51" s="16" t="s">
        <v>419</v>
      </c>
      <c r="D51" s="99">
        <v>45691</v>
      </c>
      <c r="E51" s="14" t="s">
        <v>61</v>
      </c>
      <c r="F51" s="14" t="s">
        <v>62</v>
      </c>
      <c r="G51" s="16" t="s">
        <v>63</v>
      </c>
      <c r="H51" s="14" t="s">
        <v>422</v>
      </c>
      <c r="I51" s="14" t="s">
        <v>13</v>
      </c>
      <c r="J51" s="14" t="s">
        <v>0</v>
      </c>
      <c r="K51" s="87">
        <v>6673.34</v>
      </c>
      <c r="L51" s="87">
        <v>6673.34</v>
      </c>
      <c r="M51" s="14"/>
      <c r="N51" s="88"/>
    </row>
    <row r="52" spans="1:14" ht="14.45" customHeight="1">
      <c r="A52" s="98">
        <v>164330</v>
      </c>
      <c r="B52" s="16">
        <v>11795</v>
      </c>
      <c r="C52" s="16" t="s">
        <v>419</v>
      </c>
      <c r="D52" s="99">
        <v>45691</v>
      </c>
      <c r="E52" s="14" t="s">
        <v>61</v>
      </c>
      <c r="F52" s="14" t="s">
        <v>62</v>
      </c>
      <c r="G52" s="16" t="s">
        <v>63</v>
      </c>
      <c r="H52" s="14" t="s">
        <v>422</v>
      </c>
      <c r="I52" s="14" t="s">
        <v>13</v>
      </c>
      <c r="J52" s="14" t="s">
        <v>0</v>
      </c>
      <c r="K52" s="87">
        <v>222.28</v>
      </c>
      <c r="L52" s="87">
        <v>222.28</v>
      </c>
      <c r="M52" s="14"/>
      <c r="N52" s="88"/>
    </row>
    <row r="53" spans="1:14" ht="14.45" customHeight="1">
      <c r="A53" s="98">
        <v>226970</v>
      </c>
      <c r="B53" s="16">
        <v>10572</v>
      </c>
      <c r="C53" s="16" t="s">
        <v>419</v>
      </c>
      <c r="D53" s="99">
        <v>45691</v>
      </c>
      <c r="E53" s="14" t="s">
        <v>206</v>
      </c>
      <c r="F53" s="14" t="s">
        <v>83</v>
      </c>
      <c r="G53" s="16" t="s">
        <v>207</v>
      </c>
      <c r="H53" s="14" t="s">
        <v>422</v>
      </c>
      <c r="I53" s="14" t="s">
        <v>13</v>
      </c>
      <c r="J53" s="14" t="s">
        <v>0</v>
      </c>
      <c r="K53" s="87">
        <v>1053.73</v>
      </c>
      <c r="L53" s="87">
        <v>1053.73</v>
      </c>
      <c r="M53" s="14"/>
      <c r="N53" s="88"/>
    </row>
    <row r="54" spans="1:14" ht="14.45" customHeight="1">
      <c r="A54" s="98">
        <v>226971</v>
      </c>
      <c r="B54" s="16">
        <v>10572</v>
      </c>
      <c r="C54" s="16" t="s">
        <v>419</v>
      </c>
      <c r="D54" s="99">
        <v>45691</v>
      </c>
      <c r="E54" s="14" t="s">
        <v>206</v>
      </c>
      <c r="F54" s="14" t="s">
        <v>83</v>
      </c>
      <c r="G54" s="16" t="s">
        <v>207</v>
      </c>
      <c r="H54" s="14" t="s">
        <v>422</v>
      </c>
      <c r="I54" s="14" t="s">
        <v>13</v>
      </c>
      <c r="J54" s="14" t="s">
        <v>0</v>
      </c>
      <c r="K54" s="87">
        <v>1645.6</v>
      </c>
      <c r="L54" s="87">
        <v>1645.6</v>
      </c>
      <c r="M54" s="14"/>
      <c r="N54" s="88"/>
    </row>
    <row r="55" spans="1:14" ht="14.45" customHeight="1">
      <c r="A55" s="98">
        <v>180877</v>
      </c>
      <c r="B55" s="16">
        <v>10576</v>
      </c>
      <c r="C55" s="16" t="s">
        <v>419</v>
      </c>
      <c r="D55" s="99">
        <v>45691</v>
      </c>
      <c r="E55" s="14" t="s">
        <v>206</v>
      </c>
      <c r="F55" s="14" t="s">
        <v>86</v>
      </c>
      <c r="G55" s="16" t="s">
        <v>208</v>
      </c>
      <c r="H55" s="14" t="s">
        <v>422</v>
      </c>
      <c r="I55" s="14" t="s">
        <v>13</v>
      </c>
      <c r="J55" s="14" t="s">
        <v>0</v>
      </c>
      <c r="K55" s="87">
        <v>609.95000000000005</v>
      </c>
      <c r="L55" s="87">
        <v>609.95000000000005</v>
      </c>
      <c r="M55" s="14"/>
      <c r="N55" s="88"/>
    </row>
    <row r="56" spans="1:14" ht="14.45" customHeight="1">
      <c r="A56" s="98">
        <v>164009</v>
      </c>
      <c r="B56" s="16">
        <v>3261</v>
      </c>
      <c r="C56" s="16" t="s">
        <v>419</v>
      </c>
      <c r="D56" s="99">
        <v>45691</v>
      </c>
      <c r="E56" s="14" t="s">
        <v>114</v>
      </c>
      <c r="F56" s="14" t="s">
        <v>115</v>
      </c>
      <c r="G56" s="16"/>
      <c r="H56" s="14" t="s">
        <v>422</v>
      </c>
      <c r="I56" s="14" t="s">
        <v>13</v>
      </c>
      <c r="J56" s="14" t="s">
        <v>0</v>
      </c>
      <c r="K56" s="87">
        <v>4123.54</v>
      </c>
      <c r="L56" s="87">
        <v>4123.54</v>
      </c>
      <c r="M56" s="14"/>
      <c r="N56" s="88"/>
    </row>
    <row r="57" spans="1:14" ht="14.45" customHeight="1">
      <c r="A57" s="98">
        <v>163951</v>
      </c>
      <c r="B57" s="16">
        <v>3259</v>
      </c>
      <c r="C57" s="16" t="s">
        <v>419</v>
      </c>
      <c r="D57" s="99">
        <v>45691</v>
      </c>
      <c r="E57" s="14" t="s">
        <v>114</v>
      </c>
      <c r="F57" s="14" t="s">
        <v>251</v>
      </c>
      <c r="G57" s="16"/>
      <c r="H57" s="14" t="s">
        <v>422</v>
      </c>
      <c r="I57" s="14" t="s">
        <v>13</v>
      </c>
      <c r="J57" s="14" t="s">
        <v>0</v>
      </c>
      <c r="K57" s="87">
        <v>17210.68</v>
      </c>
      <c r="L57" s="87">
        <v>17210.68</v>
      </c>
      <c r="M57" s="14"/>
      <c r="N57" s="88"/>
    </row>
    <row r="58" spans="1:14" ht="14.45" customHeight="1">
      <c r="A58" s="98">
        <v>163574</v>
      </c>
      <c r="B58" s="16">
        <v>11807</v>
      </c>
      <c r="C58" s="16" t="s">
        <v>419</v>
      </c>
      <c r="D58" s="99">
        <v>45691</v>
      </c>
      <c r="E58" s="14" t="s">
        <v>54</v>
      </c>
      <c r="F58" s="14" t="s">
        <v>55</v>
      </c>
      <c r="G58" s="16" t="s">
        <v>56</v>
      </c>
      <c r="H58" s="14" t="s">
        <v>422</v>
      </c>
      <c r="I58" s="14" t="s">
        <v>13</v>
      </c>
      <c r="J58" s="14" t="s">
        <v>0</v>
      </c>
      <c r="K58" s="87">
        <v>6487.04</v>
      </c>
      <c r="L58" s="87">
        <v>6487.04</v>
      </c>
      <c r="M58" s="14"/>
      <c r="N58" s="88"/>
    </row>
    <row r="59" spans="1:14" ht="14.45" customHeight="1">
      <c r="A59" s="98">
        <v>176734</v>
      </c>
      <c r="B59" s="16">
        <v>10525</v>
      </c>
      <c r="C59" s="16" t="s">
        <v>419</v>
      </c>
      <c r="D59" s="99">
        <v>45716</v>
      </c>
      <c r="E59" s="14" t="s">
        <v>175</v>
      </c>
      <c r="F59" s="14" t="s">
        <v>176</v>
      </c>
      <c r="G59" s="16" t="s">
        <v>177</v>
      </c>
      <c r="H59" s="14" t="s">
        <v>422</v>
      </c>
      <c r="I59" s="14" t="s">
        <v>13</v>
      </c>
      <c r="J59" s="14" t="s">
        <v>0</v>
      </c>
      <c r="K59" s="87">
        <v>23198.81</v>
      </c>
      <c r="L59" s="87">
        <v>-367.59</v>
      </c>
      <c r="M59" s="14"/>
      <c r="N59" s="88"/>
    </row>
    <row r="60" spans="1:14" ht="14.45" customHeight="1">
      <c r="A60" s="98">
        <v>177489</v>
      </c>
      <c r="B60" s="16">
        <v>12755</v>
      </c>
      <c r="C60" s="16" t="s">
        <v>419</v>
      </c>
      <c r="D60" s="99">
        <v>45721</v>
      </c>
      <c r="E60" s="14" t="s">
        <v>233</v>
      </c>
      <c r="F60" s="14" t="s">
        <v>234</v>
      </c>
      <c r="G60" s="16" t="s">
        <v>235</v>
      </c>
      <c r="H60" s="14" t="s">
        <v>422</v>
      </c>
      <c r="I60" s="14" t="s">
        <v>13</v>
      </c>
      <c r="J60" s="14" t="s">
        <v>0</v>
      </c>
      <c r="K60" s="87">
        <v>9781.26</v>
      </c>
      <c r="L60" s="87">
        <v>17.440000000000001</v>
      </c>
      <c r="M60" s="14"/>
      <c r="N60" s="88"/>
    </row>
    <row r="61" spans="1:14" ht="14.45" customHeight="1">
      <c r="A61" s="98">
        <v>219527</v>
      </c>
      <c r="B61" s="16">
        <v>12194</v>
      </c>
      <c r="C61" s="16" t="s">
        <v>419</v>
      </c>
      <c r="D61" s="99">
        <v>45734</v>
      </c>
      <c r="E61" s="14" t="s">
        <v>374</v>
      </c>
      <c r="F61" s="14" t="s">
        <v>375</v>
      </c>
      <c r="G61" s="16"/>
      <c r="H61" s="14" t="s">
        <v>420</v>
      </c>
      <c r="I61" s="14" t="s">
        <v>14</v>
      </c>
      <c r="J61" s="14" t="s">
        <v>0</v>
      </c>
      <c r="K61" s="87">
        <v>76.56</v>
      </c>
      <c r="L61" s="87">
        <v>76.56</v>
      </c>
      <c r="M61" s="14"/>
      <c r="N61" s="88"/>
    </row>
    <row r="62" spans="1:14" ht="14.45" customHeight="1">
      <c r="A62" s="98">
        <v>219529</v>
      </c>
      <c r="B62" s="16">
        <v>12194</v>
      </c>
      <c r="C62" s="16" t="s">
        <v>419</v>
      </c>
      <c r="D62" s="99">
        <v>45747</v>
      </c>
      <c r="E62" s="14" t="s">
        <v>374</v>
      </c>
      <c r="F62" s="14" t="s">
        <v>375</v>
      </c>
      <c r="G62" s="16"/>
      <c r="H62" s="14" t="s">
        <v>420</v>
      </c>
      <c r="I62" s="14" t="s">
        <v>14</v>
      </c>
      <c r="J62" s="14" t="s">
        <v>0</v>
      </c>
      <c r="K62" s="87">
        <v>38.28</v>
      </c>
      <c r="L62" s="87">
        <v>38.28</v>
      </c>
      <c r="M62" s="14"/>
      <c r="N62" s="88"/>
    </row>
    <row r="63" spans="1:14" ht="14.45" customHeight="1">
      <c r="A63" s="98">
        <v>233667</v>
      </c>
      <c r="B63" s="16">
        <v>12194</v>
      </c>
      <c r="C63" s="16" t="s">
        <v>419</v>
      </c>
      <c r="D63" s="99">
        <v>45747</v>
      </c>
      <c r="E63" s="14" t="s">
        <v>374</v>
      </c>
      <c r="F63" s="14" t="s">
        <v>375</v>
      </c>
      <c r="G63" s="16"/>
      <c r="H63" s="14" t="s">
        <v>422</v>
      </c>
      <c r="I63" s="14" t="s">
        <v>13</v>
      </c>
      <c r="J63" s="14" t="s">
        <v>0</v>
      </c>
      <c r="K63" s="87">
        <v>401.64</v>
      </c>
      <c r="L63" s="87">
        <v>401.64</v>
      </c>
      <c r="M63" s="14"/>
      <c r="N63" s="88"/>
    </row>
    <row r="64" spans="1:14" ht="14.45" customHeight="1">
      <c r="A64" s="98">
        <v>211900</v>
      </c>
      <c r="B64" s="16">
        <v>11551</v>
      </c>
      <c r="C64" s="16" t="s">
        <v>419</v>
      </c>
      <c r="D64" s="99">
        <v>45747</v>
      </c>
      <c r="E64" s="14" t="s">
        <v>91</v>
      </c>
      <c r="F64" s="14" t="s">
        <v>214</v>
      </c>
      <c r="G64" s="16" t="s">
        <v>215</v>
      </c>
      <c r="H64" s="14" t="s">
        <v>422</v>
      </c>
      <c r="I64" s="14" t="s">
        <v>13</v>
      </c>
      <c r="J64" s="14" t="s">
        <v>0</v>
      </c>
      <c r="K64" s="87">
        <v>1313.76</v>
      </c>
      <c r="L64" s="87">
        <v>-38.32</v>
      </c>
      <c r="M64" s="14"/>
      <c r="N64" s="88"/>
    </row>
    <row r="65" spans="1:14" ht="14.45" customHeight="1">
      <c r="A65" s="98">
        <v>210093</v>
      </c>
      <c r="B65" s="16">
        <v>3149</v>
      </c>
      <c r="C65" s="16" t="s">
        <v>419</v>
      </c>
      <c r="D65" s="99">
        <v>45747</v>
      </c>
      <c r="E65" s="14" t="s">
        <v>91</v>
      </c>
      <c r="F65" s="14" t="s">
        <v>65</v>
      </c>
      <c r="G65" s="16" t="s">
        <v>92</v>
      </c>
      <c r="H65" s="14" t="s">
        <v>422</v>
      </c>
      <c r="I65" s="14" t="s">
        <v>13</v>
      </c>
      <c r="J65" s="14" t="s">
        <v>0</v>
      </c>
      <c r="K65" s="87">
        <v>123076.13</v>
      </c>
      <c r="L65" s="87">
        <v>-10126.5</v>
      </c>
      <c r="M65" s="14"/>
      <c r="N65" s="88"/>
    </row>
    <row r="66" spans="1:14" ht="14.45" customHeight="1">
      <c r="A66" s="98">
        <v>190881</v>
      </c>
      <c r="B66" s="16">
        <v>5628</v>
      </c>
      <c r="C66" s="16" t="s">
        <v>419</v>
      </c>
      <c r="D66" s="99">
        <v>45747</v>
      </c>
      <c r="E66" s="14" t="s">
        <v>136</v>
      </c>
      <c r="F66" s="14" t="s">
        <v>65</v>
      </c>
      <c r="G66" s="16" t="s">
        <v>137</v>
      </c>
      <c r="H66" s="14" t="s">
        <v>422</v>
      </c>
      <c r="I66" s="14" t="s">
        <v>13</v>
      </c>
      <c r="J66" s="14" t="s">
        <v>0</v>
      </c>
      <c r="K66" s="87">
        <v>6024.14</v>
      </c>
      <c r="L66" s="87">
        <v>-49879.78</v>
      </c>
      <c r="M66" s="14"/>
      <c r="N66" s="88"/>
    </row>
    <row r="67" spans="1:14" ht="14.45" customHeight="1">
      <c r="A67" s="98">
        <v>228220</v>
      </c>
      <c r="B67" s="16">
        <v>10514</v>
      </c>
      <c r="C67" s="16" t="s">
        <v>419</v>
      </c>
      <c r="D67" s="99">
        <v>45747</v>
      </c>
      <c r="E67" s="14" t="s">
        <v>169</v>
      </c>
      <c r="F67" s="14" t="s">
        <v>83</v>
      </c>
      <c r="G67" s="16" t="s">
        <v>171</v>
      </c>
      <c r="H67" s="14" t="s">
        <v>421</v>
      </c>
      <c r="I67" s="14" t="s">
        <v>14</v>
      </c>
      <c r="J67" s="14" t="s">
        <v>0</v>
      </c>
      <c r="K67" s="87">
        <v>13769.35</v>
      </c>
      <c r="L67" s="87">
        <v>13769.35</v>
      </c>
      <c r="M67" s="14"/>
      <c r="N67" s="88"/>
    </row>
    <row r="68" spans="1:14" ht="14.45" customHeight="1">
      <c r="A68" s="98">
        <v>228226</v>
      </c>
      <c r="B68" s="16">
        <v>10514</v>
      </c>
      <c r="C68" s="16" t="s">
        <v>419</v>
      </c>
      <c r="D68" s="99">
        <v>45747</v>
      </c>
      <c r="E68" s="14" t="s">
        <v>169</v>
      </c>
      <c r="F68" s="14" t="s">
        <v>83</v>
      </c>
      <c r="G68" s="16" t="s">
        <v>171</v>
      </c>
      <c r="H68" s="14" t="s">
        <v>422</v>
      </c>
      <c r="I68" s="14" t="s">
        <v>13</v>
      </c>
      <c r="J68" s="14" t="s">
        <v>0</v>
      </c>
      <c r="K68" s="87">
        <v>138421.64000000001</v>
      </c>
      <c r="L68" s="87">
        <v>138421.64000000001</v>
      </c>
      <c r="M68" s="14"/>
      <c r="N68" s="88"/>
    </row>
    <row r="69" spans="1:14" ht="14.45" customHeight="1">
      <c r="A69" s="98">
        <v>208200</v>
      </c>
      <c r="B69" s="16">
        <v>10512</v>
      </c>
      <c r="C69" s="16" t="s">
        <v>419</v>
      </c>
      <c r="D69" s="99">
        <v>45747</v>
      </c>
      <c r="E69" s="14" t="s">
        <v>169</v>
      </c>
      <c r="F69" s="14" t="s">
        <v>86</v>
      </c>
      <c r="G69" s="16" t="s">
        <v>170</v>
      </c>
      <c r="H69" s="14" t="s">
        <v>422</v>
      </c>
      <c r="I69" s="14" t="s">
        <v>13</v>
      </c>
      <c r="J69" s="14" t="s">
        <v>0</v>
      </c>
      <c r="K69" s="87">
        <v>34502.31</v>
      </c>
      <c r="L69" s="87">
        <v>34502.31</v>
      </c>
      <c r="M69" s="14"/>
      <c r="N69" s="88"/>
    </row>
    <row r="70" spans="1:14" ht="14.45" customHeight="1">
      <c r="A70" s="98">
        <v>200103</v>
      </c>
      <c r="B70" s="16">
        <v>10538</v>
      </c>
      <c r="C70" s="16" t="s">
        <v>419</v>
      </c>
      <c r="D70" s="99">
        <v>45747</v>
      </c>
      <c r="E70" s="14" t="s">
        <v>106</v>
      </c>
      <c r="F70" s="14" t="s">
        <v>188</v>
      </c>
      <c r="G70" s="16" t="s">
        <v>189</v>
      </c>
      <c r="H70" s="14" t="s">
        <v>422</v>
      </c>
      <c r="I70" s="14" t="s">
        <v>13</v>
      </c>
      <c r="J70" s="14" t="s">
        <v>0</v>
      </c>
      <c r="K70" s="87">
        <v>40659.83</v>
      </c>
      <c r="L70" s="87">
        <v>-27226.98</v>
      </c>
      <c r="M70" s="14"/>
      <c r="N70" s="88"/>
    </row>
    <row r="71" spans="1:14" ht="14.45" customHeight="1">
      <c r="A71" s="98">
        <v>193988</v>
      </c>
      <c r="B71" s="16">
        <v>11180</v>
      </c>
      <c r="C71" s="16" t="s">
        <v>419</v>
      </c>
      <c r="D71" s="99">
        <v>45747</v>
      </c>
      <c r="E71" s="14" t="s">
        <v>210</v>
      </c>
      <c r="F71" s="14" t="s">
        <v>211</v>
      </c>
      <c r="G71" s="16" t="s">
        <v>212</v>
      </c>
      <c r="H71" s="14" t="s">
        <v>422</v>
      </c>
      <c r="I71" s="14" t="s">
        <v>13</v>
      </c>
      <c r="J71" s="14" t="s">
        <v>0</v>
      </c>
      <c r="K71" s="87">
        <v>57030.8</v>
      </c>
      <c r="L71" s="87">
        <v>-10591.91</v>
      </c>
      <c r="M71" s="14"/>
      <c r="N71" s="88"/>
    </row>
    <row r="72" spans="1:14" ht="14.45" customHeight="1">
      <c r="A72" s="98">
        <v>194709</v>
      </c>
      <c r="B72" s="16">
        <v>12755</v>
      </c>
      <c r="C72" s="16" t="s">
        <v>419</v>
      </c>
      <c r="D72" s="99">
        <v>45747</v>
      </c>
      <c r="E72" s="14" t="s">
        <v>233</v>
      </c>
      <c r="F72" s="14" t="s">
        <v>234</v>
      </c>
      <c r="G72" s="16" t="s">
        <v>235</v>
      </c>
      <c r="H72" s="14" t="s">
        <v>420</v>
      </c>
      <c r="I72" s="14" t="s">
        <v>14</v>
      </c>
      <c r="J72" s="14" t="s">
        <v>0</v>
      </c>
      <c r="K72" s="87">
        <v>1855.67</v>
      </c>
      <c r="L72" s="87">
        <v>1855.67</v>
      </c>
      <c r="M72" s="14"/>
      <c r="N72" s="88"/>
    </row>
    <row r="73" spans="1:14" ht="14.45" customHeight="1">
      <c r="A73" s="98">
        <v>194702</v>
      </c>
      <c r="B73" s="16">
        <v>12753</v>
      </c>
      <c r="C73" s="16" t="s">
        <v>419</v>
      </c>
      <c r="D73" s="99">
        <v>45747</v>
      </c>
      <c r="E73" s="14" t="s">
        <v>233</v>
      </c>
      <c r="F73" s="14" t="s">
        <v>223</v>
      </c>
      <c r="G73" s="16" t="s">
        <v>236</v>
      </c>
      <c r="H73" s="14" t="s">
        <v>420</v>
      </c>
      <c r="I73" s="14" t="s">
        <v>14</v>
      </c>
      <c r="J73" s="14" t="s">
        <v>0</v>
      </c>
      <c r="K73" s="87">
        <v>10432.15</v>
      </c>
      <c r="L73" s="87">
        <v>10432.15</v>
      </c>
      <c r="M73" s="14"/>
      <c r="N73" s="88"/>
    </row>
    <row r="74" spans="1:14" ht="14.45" customHeight="1">
      <c r="A74" s="98">
        <v>207936</v>
      </c>
      <c r="B74" s="16">
        <v>12399</v>
      </c>
      <c r="C74" s="16" t="s">
        <v>419</v>
      </c>
      <c r="D74" s="99">
        <v>45747</v>
      </c>
      <c r="E74" s="14" t="s">
        <v>50</v>
      </c>
      <c r="F74" s="14" t="s">
        <v>246</v>
      </c>
      <c r="G74" s="16" t="s">
        <v>247</v>
      </c>
      <c r="H74" s="14" t="s">
        <v>420</v>
      </c>
      <c r="I74" s="14" t="s">
        <v>14</v>
      </c>
      <c r="J74" s="14" t="s">
        <v>0</v>
      </c>
      <c r="K74" s="87">
        <v>1253.1300000000001</v>
      </c>
      <c r="L74" s="87">
        <v>1253.1300000000001</v>
      </c>
      <c r="M74" s="14"/>
      <c r="N74" s="88"/>
    </row>
    <row r="75" spans="1:14" ht="14.45" customHeight="1">
      <c r="A75" s="98">
        <v>207933</v>
      </c>
      <c r="B75" s="16">
        <v>12399</v>
      </c>
      <c r="C75" s="16" t="s">
        <v>419</v>
      </c>
      <c r="D75" s="99">
        <v>45747</v>
      </c>
      <c r="E75" s="14" t="s">
        <v>50</v>
      </c>
      <c r="F75" s="14" t="s">
        <v>246</v>
      </c>
      <c r="G75" s="16" t="s">
        <v>247</v>
      </c>
      <c r="H75" s="14" t="s">
        <v>422</v>
      </c>
      <c r="I75" s="14" t="s">
        <v>13</v>
      </c>
      <c r="J75" s="14" t="s">
        <v>0</v>
      </c>
      <c r="K75" s="87">
        <v>3574.89</v>
      </c>
      <c r="L75" s="87">
        <v>3574.89</v>
      </c>
      <c r="M75" s="14"/>
      <c r="N75" s="88"/>
    </row>
    <row r="76" spans="1:14" ht="14.45" customHeight="1">
      <c r="A76" s="98">
        <v>199121</v>
      </c>
      <c r="B76" s="16">
        <v>10566</v>
      </c>
      <c r="C76" s="16" t="s">
        <v>419</v>
      </c>
      <c r="D76" s="99">
        <v>45747</v>
      </c>
      <c r="E76" s="14" t="s">
        <v>201</v>
      </c>
      <c r="F76" s="14" t="s">
        <v>333</v>
      </c>
      <c r="G76" s="16" t="s">
        <v>334</v>
      </c>
      <c r="H76" s="14" t="s">
        <v>422</v>
      </c>
      <c r="I76" s="14" t="s">
        <v>13</v>
      </c>
      <c r="J76" s="14" t="s">
        <v>0</v>
      </c>
      <c r="K76" s="87">
        <v>133773.23000000001</v>
      </c>
      <c r="L76" s="87">
        <v>40.01</v>
      </c>
      <c r="M76" s="14"/>
      <c r="N76" s="88"/>
    </row>
    <row r="77" spans="1:14" ht="14.45" customHeight="1">
      <c r="A77" s="98">
        <v>204371</v>
      </c>
      <c r="B77" s="16">
        <v>10461</v>
      </c>
      <c r="C77" s="16" t="s">
        <v>419</v>
      </c>
      <c r="D77" s="99">
        <v>45747</v>
      </c>
      <c r="E77" s="14" t="s">
        <v>164</v>
      </c>
      <c r="F77" s="14" t="s">
        <v>165</v>
      </c>
      <c r="G77" s="16" t="s">
        <v>166</v>
      </c>
      <c r="H77" s="14" t="s">
        <v>422</v>
      </c>
      <c r="I77" s="14" t="s">
        <v>13</v>
      </c>
      <c r="J77" s="14" t="s">
        <v>0</v>
      </c>
      <c r="K77" s="87">
        <v>28670.37</v>
      </c>
      <c r="L77" s="87">
        <v>-11438.09</v>
      </c>
      <c r="M77" s="14"/>
      <c r="N77" s="88"/>
    </row>
    <row r="78" spans="1:14" ht="14.45" customHeight="1">
      <c r="A78" s="98">
        <v>212118</v>
      </c>
      <c r="B78" s="16">
        <v>11022</v>
      </c>
      <c r="C78" s="16" t="s">
        <v>419</v>
      </c>
      <c r="D78" s="99">
        <v>45748</v>
      </c>
      <c r="E78" s="14" t="s">
        <v>116</v>
      </c>
      <c r="F78" s="14" t="s">
        <v>209</v>
      </c>
      <c r="G78" s="16"/>
      <c r="H78" s="14" t="s">
        <v>422</v>
      </c>
      <c r="I78" s="14" t="s">
        <v>13</v>
      </c>
      <c r="J78" s="14" t="s">
        <v>0</v>
      </c>
      <c r="K78" s="87">
        <v>11043.85</v>
      </c>
      <c r="L78" s="87">
        <v>4.26</v>
      </c>
      <c r="M78" s="14"/>
      <c r="N78" s="88"/>
    </row>
    <row r="79" spans="1:14" ht="14.45" customHeight="1">
      <c r="A79" s="98">
        <v>233509</v>
      </c>
      <c r="B79" s="16">
        <v>12399</v>
      </c>
      <c r="C79" s="16" t="s">
        <v>419</v>
      </c>
      <c r="D79" s="99">
        <v>45777</v>
      </c>
      <c r="E79" s="14" t="s">
        <v>50</v>
      </c>
      <c r="F79" s="14" t="s">
        <v>246</v>
      </c>
      <c r="G79" s="16" t="s">
        <v>247</v>
      </c>
      <c r="H79" s="14" t="s">
        <v>422</v>
      </c>
      <c r="I79" s="14" t="s">
        <v>13</v>
      </c>
      <c r="J79" s="14" t="s">
        <v>0</v>
      </c>
      <c r="K79" s="87">
        <v>3451.33</v>
      </c>
      <c r="L79" s="87">
        <v>3451.33</v>
      </c>
      <c r="M79" s="14"/>
      <c r="N79" s="88"/>
    </row>
    <row r="80" spans="1:14">
      <c r="A80" s="100" t="s">
        <v>0</v>
      </c>
      <c r="B80" s="100" t="s">
        <v>0</v>
      </c>
      <c r="C80" s="100" t="s">
        <v>0</v>
      </c>
      <c r="D80" s="100" t="s">
        <v>0</v>
      </c>
      <c r="E80" s="100" t="s">
        <v>0</v>
      </c>
      <c r="F80" s="100" t="s">
        <v>0</v>
      </c>
      <c r="G80" s="101" t="s">
        <v>0</v>
      </c>
      <c r="H80" s="100" t="s">
        <v>0</v>
      </c>
      <c r="I80" s="100" t="s">
        <v>0</v>
      </c>
      <c r="J80" s="100" t="s">
        <v>0</v>
      </c>
      <c r="K80" s="100" t="s">
        <v>0</v>
      </c>
      <c r="L80" s="100" t="s">
        <v>0</v>
      </c>
      <c r="M80" s="100" t="s">
        <v>0</v>
      </c>
      <c r="N80" s="100" t="s">
        <v>0</v>
      </c>
    </row>
  </sheetData>
  <mergeCells count="16">
    <mergeCell ref="A1:B5"/>
    <mergeCell ref="A7:C7"/>
    <mergeCell ref="A8:B8"/>
    <mergeCell ref="F8:G8"/>
    <mergeCell ref="F9:G9"/>
    <mergeCell ref="F10:G10"/>
    <mergeCell ref="F11:G11"/>
    <mergeCell ref="F12:G12"/>
    <mergeCell ref="F13:G13"/>
    <mergeCell ref="F14:G14"/>
    <mergeCell ref="A22:B22"/>
    <mergeCell ref="F15:G15"/>
    <mergeCell ref="F16:G16"/>
    <mergeCell ref="F17:G17"/>
    <mergeCell ref="F18:G18"/>
    <mergeCell ref="F19:G19"/>
  </mergeCells>
  <pageMargins left="1" right="1" top="1" bottom="1.45" header="1" footer="1"/>
  <pageSetup orientation="portrait" horizontalDpi="300" verticalDpi="300"/>
  <headerFooter alignWithMargins="0">
    <oddFooter>&amp;C&amp;"Segoe UI,Regular"&amp;10 4/30/2025 8:56:00 PM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EEBB-6B57-43E6-8FFA-FA8A73575454}">
  <dimension ref="A1:W79"/>
  <sheetViews>
    <sheetView topLeftCell="L1" workbookViewId="0">
      <selection activeCell="Q4" sqref="Q4"/>
    </sheetView>
  </sheetViews>
  <sheetFormatPr defaultRowHeight="15"/>
  <cols>
    <col min="1" max="1" width="41.7109375" bestFit="1" customWidth="1"/>
    <col min="2" max="2" width="21.5703125" bestFit="1" customWidth="1"/>
    <col min="4" max="4" width="41.7109375" bestFit="1" customWidth="1"/>
    <col min="5" max="5" width="15.28515625" bestFit="1" customWidth="1"/>
    <col min="6" max="6" width="57.7109375" bestFit="1" customWidth="1"/>
    <col min="9" max="9" width="75.85546875" bestFit="1" customWidth="1"/>
    <col min="10" max="10" width="41.7109375" bestFit="1" customWidth="1"/>
    <col min="11" max="11" width="57.7109375" bestFit="1" customWidth="1"/>
    <col min="12" max="12" width="40.7109375" bestFit="1" customWidth="1"/>
    <col min="13" max="15" width="15.28515625" bestFit="1" customWidth="1"/>
    <col min="16" max="16" width="5.140625" bestFit="1" customWidth="1"/>
    <col min="17" max="17" width="7.85546875" bestFit="1" customWidth="1"/>
    <col min="18" max="18" width="7.140625" bestFit="1" customWidth="1"/>
    <col min="19" max="19" width="31.28515625" bestFit="1" customWidth="1"/>
    <col min="20" max="20" width="19.140625" bestFit="1" customWidth="1"/>
    <col min="21" max="21" width="11.85546875" bestFit="1" customWidth="1"/>
    <col min="22" max="22" width="28.42578125" bestFit="1" customWidth="1"/>
    <col min="23" max="23" width="35.42578125" bestFit="1" customWidth="1"/>
  </cols>
  <sheetData>
    <row r="1" spans="1:23">
      <c r="A1" s="140" t="s">
        <v>424</v>
      </c>
      <c r="B1" t="s" vm="1">
        <v>425</v>
      </c>
      <c r="K1">
        <v>1</v>
      </c>
      <c r="L1">
        <f>K1+1</f>
        <v>2</v>
      </c>
      <c r="M1">
        <f t="shared" ref="M1:W1" si="0">L1+1</f>
        <v>3</v>
      </c>
      <c r="N1">
        <f t="shared" si="0"/>
        <v>4</v>
      </c>
      <c r="O1">
        <f t="shared" si="0"/>
        <v>5</v>
      </c>
      <c r="P1">
        <f t="shared" si="0"/>
        <v>6</v>
      </c>
      <c r="Q1">
        <f t="shared" si="0"/>
        <v>7</v>
      </c>
      <c r="R1">
        <f t="shared" si="0"/>
        <v>8</v>
      </c>
      <c r="S1">
        <f t="shared" si="0"/>
        <v>9</v>
      </c>
      <c r="T1">
        <f t="shared" si="0"/>
        <v>10</v>
      </c>
      <c r="U1">
        <f t="shared" si="0"/>
        <v>11</v>
      </c>
      <c r="V1">
        <f t="shared" si="0"/>
        <v>12</v>
      </c>
      <c r="W1">
        <f t="shared" si="0"/>
        <v>13</v>
      </c>
    </row>
    <row r="2" spans="1:23">
      <c r="E2" s="213">
        <f>SUM(E4:E76)</f>
        <v>413524007.57000011</v>
      </c>
      <c r="L2" s="213">
        <f>M3-E2</f>
        <v>9.9999904632568359E-3</v>
      </c>
      <c r="M2" t="s">
        <v>426</v>
      </c>
      <c r="N2" t="s">
        <v>427</v>
      </c>
      <c r="O2" t="s">
        <v>428</v>
      </c>
      <c r="Q2" t="s">
        <v>429</v>
      </c>
      <c r="R2" t="s">
        <v>430</v>
      </c>
      <c r="S2" t="s">
        <v>431</v>
      </c>
      <c r="T2" t="s">
        <v>432</v>
      </c>
      <c r="U2" t="s">
        <v>433</v>
      </c>
      <c r="V2" t="s">
        <v>434</v>
      </c>
      <c r="W2" t="s">
        <v>435</v>
      </c>
    </row>
    <row r="3" spans="1:23">
      <c r="A3" s="140" t="s">
        <v>436</v>
      </c>
      <c r="B3" t="s">
        <v>437</v>
      </c>
      <c r="I3" t="s">
        <v>428</v>
      </c>
      <c r="J3" t="s">
        <v>438</v>
      </c>
      <c r="K3" t="s">
        <v>439</v>
      </c>
      <c r="L3" t="s">
        <v>440</v>
      </c>
      <c r="M3" s="213">
        <f>SUM(M4:M79)</f>
        <v>413524007.5800001</v>
      </c>
      <c r="N3" s="213">
        <f>SUM(N4:N79)</f>
        <v>400443130.52000004</v>
      </c>
      <c r="O3" s="213">
        <f>SUM(O4:O79)</f>
        <v>400443130.52000004</v>
      </c>
    </row>
    <row r="4" spans="1:23">
      <c r="A4" s="141" t="s">
        <v>85</v>
      </c>
      <c r="B4">
        <v>269595.43</v>
      </c>
      <c r="D4" s="141" t="s">
        <v>85</v>
      </c>
      <c r="E4" s="142">
        <v>269595.43</v>
      </c>
      <c r="F4" t="str">
        <f>VLOOKUP(D4, $J$4:$K$79, 2, FALSE)</f>
        <v>AFC - Dell Holding Corp.</v>
      </c>
      <c r="I4" t="s">
        <v>441</v>
      </c>
      <c r="J4" t="str">
        <f>+VLOOKUP(K4,'[2]Sheet2 (2)'!$G$1:$H$73, 2, FALSE)</f>
        <v>TMII Enterprises LLC</v>
      </c>
      <c r="K4" t="s">
        <v>441</v>
      </c>
      <c r="L4" t="s">
        <v>441</v>
      </c>
      <c r="M4" s="142">
        <f>VLOOKUP(J4, $D$4:$E$78, 2, FALSE)</f>
        <v>3192037.24</v>
      </c>
      <c r="N4" s="142">
        <f>VLOOKUP(K4, 'Loan List '!$A$6:$H$82, 8, FALSE)</f>
        <v>3192037.26</v>
      </c>
      <c r="O4" s="142">
        <f>VLOOKUP(I4, Sheet2!$A$1:$D$78, 4, FALSE)</f>
        <v>3192037.26</v>
      </c>
      <c r="P4" s="213">
        <f>N4-O4</f>
        <v>0</v>
      </c>
      <c r="Q4" s="214">
        <f>VLOOKUP(I4, Sheet2!$A$1:$E$78, 5, FALSE)</f>
        <v>9.0083815296302508E-2</v>
      </c>
      <c r="R4" s="215">
        <f>VLOOKUP($L4, '[3]BNP Borrowing Base PSLF JV (PIF'!$A$8:$AI$181, 11, FALSE)</f>
        <v>4.7500000000000001E-2</v>
      </c>
      <c r="S4" s="216">
        <f>VLOOKUP($L4, '[3]BNP Borrowing Base PSLF JV (PIF'!$A$8:$AI$181, 20, FALSE)</f>
        <v>45716</v>
      </c>
      <c r="T4">
        <f>VLOOKUP($L4, '[3]BNP Borrowing Base PSLF JV (PIF'!$A$8:$AI$181, 22, FALSE)</f>
        <v>2.3958955949234078</v>
      </c>
      <c r="U4">
        <f>VLOOKUP($L4, '[3]BNP Borrowing Base PSLF JV (PIF'!$A$8:$AI$181, 23, FALSE)</f>
        <v>60.906999999999996</v>
      </c>
      <c r="V4">
        <f>VLOOKUP($L4, '[3]BNP Borrowing Base PSLF JV (PIF'!$A$8:$AI$181, 32, FALSE)</f>
        <v>2.3958955949234078</v>
      </c>
      <c r="W4">
        <f>VLOOKUP($L4, '[3]BNP Borrowing Base PSLF JV (PIF'!$A$8:$AI$181, 34, FALSE)</f>
        <v>3.1669614791473308</v>
      </c>
    </row>
    <row r="5" spans="1:23">
      <c r="A5" s="141" t="s">
        <v>61</v>
      </c>
      <c r="B5">
        <v>3958430.52</v>
      </c>
      <c r="D5" s="141" t="s">
        <v>61</v>
      </c>
      <c r="E5" s="142">
        <v>3958430.52</v>
      </c>
      <c r="F5" t="str">
        <f t="shared" ref="F5:F68" si="1">VLOOKUP(D5, $J$4:$K$79, 2, FALSE)</f>
        <v>Alpine Acquisition Corp II</v>
      </c>
      <c r="I5" t="s">
        <v>442</v>
      </c>
      <c r="J5" t="str">
        <f>+VLOOKUP(K5,'[2]Sheet2 (2)'!$G$1:$H$73, 2, FALSE)</f>
        <v>AFC-Dell Holding Corp</v>
      </c>
      <c r="K5" t="s">
        <v>442</v>
      </c>
      <c r="L5" t="s">
        <v>442</v>
      </c>
      <c r="M5" s="142">
        <f t="shared" ref="M5:M68" si="2">VLOOKUP(J5, $D$4:$E$78, 2, FALSE)</f>
        <v>269595.43</v>
      </c>
      <c r="N5" s="142">
        <f>VLOOKUP(K5, 'Loan List '!$A$6:$H$82, 8, FALSE)</f>
        <v>269595.42</v>
      </c>
      <c r="O5" s="142">
        <f>VLOOKUP(I5, Sheet2!$A$1:$D$78, 4, FALSE)</f>
        <v>269595.42</v>
      </c>
      <c r="P5" s="213">
        <f t="shared" ref="P5:P68" si="3">N5-O5</f>
        <v>0</v>
      </c>
      <c r="Q5" s="214">
        <f>VLOOKUP(I5, Sheet2!$A$1:$E$78, 5, FALSE)</f>
        <v>9.7907999999999995E-2</v>
      </c>
      <c r="R5" s="215">
        <f>VLOOKUP($L5, '[3]BNP Borrowing Base PSLF JV (PIF'!$A$8:$AI$181, 11, FALSE)</f>
        <v>6.25E-2</v>
      </c>
      <c r="S5" s="216">
        <f>VLOOKUP($L5, '[3]BNP Borrowing Base PSLF JV (PIF'!$A$8:$AI$181, 20, FALSE)</f>
        <v>45716</v>
      </c>
      <c r="T5">
        <f>VLOOKUP($L5, '[3]BNP Borrowing Base PSLF JV (PIF'!$A$8:$AI$181, 22, FALSE)</f>
        <v>6.0802911056501969</v>
      </c>
      <c r="U5">
        <f>VLOOKUP($L5, '[3]BNP Borrowing Base PSLF JV (PIF'!$A$8:$AI$181, 23, FALSE)</f>
        <v>76.694091670471707</v>
      </c>
      <c r="V5">
        <f>VLOOKUP($L5, '[3]BNP Borrowing Base PSLF JV (PIF'!$A$8:$AI$181, 32, FALSE)</f>
        <v>7.1419734977347176</v>
      </c>
      <c r="W5">
        <f>VLOOKUP($L5, '[3]BNP Borrowing Base PSLF JV (PIF'!$A$8:$AI$181, 34, FALSE)</f>
        <v>1.3690868674409475</v>
      </c>
    </row>
    <row r="6" spans="1:23">
      <c r="A6" s="141" t="s">
        <v>374</v>
      </c>
      <c r="B6">
        <v>15083.03</v>
      </c>
      <c r="D6" s="141" t="s">
        <v>374</v>
      </c>
      <c r="E6" s="142">
        <v>15083.03</v>
      </c>
      <c r="F6" t="str">
        <f t="shared" si="1"/>
        <v>Amsive Holding Corporation</v>
      </c>
      <c r="I6" t="s">
        <v>61</v>
      </c>
      <c r="J6" t="str">
        <f>+VLOOKUP(K6,'[2]Sheet2 (2)'!$G$1:$H$73, 2, FALSE)</f>
        <v>Alpine Acquisition Corp II</v>
      </c>
      <c r="K6" t="s">
        <v>61</v>
      </c>
      <c r="L6" t="s">
        <v>61</v>
      </c>
      <c r="M6" s="142">
        <f t="shared" si="2"/>
        <v>3958430.52</v>
      </c>
      <c r="N6" s="142">
        <f>O6</f>
        <v>3958430.59</v>
      </c>
      <c r="O6" s="142">
        <f>VLOOKUP(I6, Sheet2!$A$1:$D$78, 4, FALSE)</f>
        <v>3958430.59</v>
      </c>
      <c r="P6" s="213">
        <f t="shared" si="3"/>
        <v>0</v>
      </c>
      <c r="Q6" s="214">
        <f>VLOOKUP(I6, Sheet2!$A$1:$E$78, 5, FALSE)</f>
        <v>0.10419999999999997</v>
      </c>
      <c r="R6" s="215">
        <f>VLOOKUP($L6, '[3]BNP Borrowing Base PSLF JV (PIF'!$A$8:$AI$181, 11, FALSE)</f>
        <v>0</v>
      </c>
      <c r="S6" s="216">
        <f>VLOOKUP($L6, '[3]BNP Borrowing Base PSLF JV (PIF'!$A$8:$AI$181, 20, FALSE)</f>
        <v>45716</v>
      </c>
      <c r="T6">
        <f>VLOOKUP($L6, '[3]BNP Borrowing Base PSLF JV (PIF'!$A$8:$AI$181, 22, FALSE)</f>
        <v>17.877092532388762</v>
      </c>
      <c r="U6">
        <f>VLOOKUP($L6, '[3]BNP Borrowing Base PSLF JV (PIF'!$A$8:$AI$181, 23, FALSE)</f>
        <v>103.045</v>
      </c>
      <c r="V6">
        <f>VLOOKUP($L6, '[3]BNP Borrowing Base PSLF JV (PIF'!$A$8:$AI$181, 32, FALSE)</f>
        <v>18.393701780775388</v>
      </c>
      <c r="W6">
        <f>VLOOKUP($L6, '[3]BNP Borrowing Base PSLF JV (PIF'!$A$8:$AI$181, 34, FALSE)</f>
        <v>0.67151291609102526</v>
      </c>
    </row>
    <row r="7" spans="1:23">
      <c r="A7" s="141" t="s">
        <v>73</v>
      </c>
      <c r="B7">
        <v>11620875</v>
      </c>
      <c r="D7" s="141" t="s">
        <v>73</v>
      </c>
      <c r="E7" s="142">
        <v>11620875</v>
      </c>
      <c r="F7" t="str">
        <f t="shared" si="1"/>
        <v>Arcfield</v>
      </c>
      <c r="I7" t="s">
        <v>443</v>
      </c>
      <c r="J7" t="str">
        <f>+VLOOKUP(K7,'[2]Sheet2 (2)'!$G$1:$H$73, 2, FALSE)</f>
        <v>Archer Lewis LLC</v>
      </c>
      <c r="K7" t="s">
        <v>444</v>
      </c>
      <c r="L7" t="s">
        <v>444</v>
      </c>
      <c r="M7" s="142">
        <f t="shared" si="2"/>
        <v>8816867.8200000003</v>
      </c>
      <c r="N7" s="142">
        <f>VLOOKUP(K7, 'Loan List '!$A$6:$H$82, 8, FALSE)</f>
        <v>8816867.8200000003</v>
      </c>
      <c r="O7" s="142">
        <f>VLOOKUP(I7, Sheet2!$A$1:$D$78, 4, FALSE)</f>
        <v>8816867.8200000003</v>
      </c>
      <c r="P7" s="213">
        <f t="shared" si="3"/>
        <v>0</v>
      </c>
      <c r="Q7" s="214">
        <f>VLOOKUP(I7, Sheet2!$A$1:$E$78, 5, FALSE)</f>
        <v>0.10051621363555839</v>
      </c>
      <c r="R7" s="215">
        <f>VLOOKUP($L7, '[3]BNP Borrowing Base PSLF JV (PIF'!$A$8:$AI$181, 11, FALSE)</f>
        <v>5.7500000000000002E-2</v>
      </c>
      <c r="S7" s="216">
        <f>VLOOKUP($L7, '[3]BNP Borrowing Base PSLF JV (PIF'!$A$8:$AI$181, 20, FALSE)</f>
        <v>45716</v>
      </c>
      <c r="T7">
        <f>VLOOKUP($L7, '[3]BNP Borrowing Base PSLF JV (PIF'!$A$8:$AI$181, 22, FALSE)</f>
        <v>4.5132407183866903</v>
      </c>
      <c r="U7">
        <f>VLOOKUP($L7, '[3]BNP Borrowing Base PSLF JV (PIF'!$A$8:$AI$181, 23, FALSE)</f>
        <v>14.222627354772584</v>
      </c>
      <c r="V7">
        <f>VLOOKUP($L7, '[3]BNP Borrowing Base PSLF JV (PIF'!$A$8:$AI$181, 32, FALSE)</f>
        <v>4.5132407183866903</v>
      </c>
      <c r="W7">
        <f>VLOOKUP($L7, '[3]BNP Borrowing Base PSLF JV (PIF'!$A$8:$AI$181, 34, FALSE)</f>
        <v>3.1751471984329425</v>
      </c>
    </row>
    <row r="8" spans="1:23">
      <c r="A8" s="141" t="s">
        <v>148</v>
      </c>
      <c r="B8">
        <v>8816867.8200000003</v>
      </c>
      <c r="D8" s="141" t="s">
        <v>148</v>
      </c>
      <c r="E8" s="142">
        <v>8816867.8200000003</v>
      </c>
      <c r="F8" t="str">
        <f t="shared" si="1"/>
        <v>Archer Lewis</v>
      </c>
      <c r="I8" t="s">
        <v>445</v>
      </c>
      <c r="J8" t="str">
        <f>+VLOOKUP(K8,'[2]Sheet2 (2)'!$G$1:$H$73, 2, FALSE)</f>
        <v>Argano LLC</v>
      </c>
      <c r="K8" t="s">
        <v>445</v>
      </c>
      <c r="L8" t="s">
        <v>445</v>
      </c>
      <c r="M8" s="142">
        <f t="shared" si="2"/>
        <v>5472521.8700000001</v>
      </c>
      <c r="N8" s="142">
        <f>VLOOKUP(K8, 'Loan List '!$A$6:$H$82, 8, FALSE)</f>
        <v>5472500</v>
      </c>
      <c r="O8" s="142">
        <f>VLOOKUP(I8, Sheet2!$A$1:$D$78, 4, FALSE)</f>
        <v>5472500</v>
      </c>
      <c r="P8" s="213">
        <f t="shared" si="3"/>
        <v>0</v>
      </c>
      <c r="Q8" s="214">
        <f>VLOOKUP(I8, Sheet2!$A$1:$E$78, 5, FALSE)</f>
        <v>0.100664</v>
      </c>
      <c r="R8" s="215">
        <f>VLOOKUP($L8, '[3]BNP Borrowing Base PSLF JV (PIF'!$A$8:$AI$181, 11, FALSE)</f>
        <v>5.7500000000000002E-2</v>
      </c>
      <c r="S8" s="216">
        <f>VLOOKUP($L8, '[3]BNP Borrowing Base PSLF JV (PIF'!$A$8:$AI$181, 20, FALSE)</f>
        <v>45716</v>
      </c>
      <c r="T8">
        <f>VLOOKUP($L8, '[3]BNP Borrowing Base PSLF JV (PIF'!$A$8:$AI$181, 22, FALSE)</f>
        <v>3.9962263749326428</v>
      </c>
      <c r="U8">
        <f>VLOOKUP($L8, '[3]BNP Borrowing Base PSLF JV (PIF'!$A$8:$AI$181, 23, FALSE)</f>
        <v>61.919505999999998</v>
      </c>
      <c r="V8">
        <f>VLOOKUP($L8, '[3]BNP Borrowing Base PSLF JV (PIF'!$A$8:$AI$181, 32, FALSE)</f>
        <v>6.4187263218798938</v>
      </c>
      <c r="W8">
        <f>VLOOKUP($L8, '[3]BNP Borrowing Base PSLF JV (PIF'!$A$8:$AI$181, 34, FALSE)</f>
        <v>1.5325289917470231</v>
      </c>
    </row>
    <row r="9" spans="1:23">
      <c r="A9" s="141" t="s">
        <v>150</v>
      </c>
      <c r="B9">
        <v>5472521.8700000001</v>
      </c>
      <c r="D9" s="141" t="s">
        <v>150</v>
      </c>
      <c r="E9" s="142">
        <v>5472521.8700000001</v>
      </c>
      <c r="F9" t="str">
        <f t="shared" si="1"/>
        <v>Argano, LLC</v>
      </c>
      <c r="I9" t="s">
        <v>136</v>
      </c>
      <c r="J9" t="str">
        <f>+VLOOKUP(K9,'[2]Sheet2 (2)'!$G$1:$H$73, 2, FALSE)</f>
        <v>Burgess Point Purchaser Corporation</v>
      </c>
      <c r="K9" t="s">
        <v>446</v>
      </c>
      <c r="L9" t="s">
        <v>446</v>
      </c>
      <c r="M9" s="142">
        <f t="shared" si="2"/>
        <v>248327.5</v>
      </c>
      <c r="N9" s="142">
        <f>VLOOKUP(K9, 'Loan List '!$A$6:$H$82, 8, FALSE)</f>
        <v>248327.5</v>
      </c>
      <c r="O9" s="142">
        <f>VLOOKUP(I9, Sheet2!$A$1:$D$78, 4, FALSE)</f>
        <v>248327.5</v>
      </c>
      <c r="P9" s="213">
        <f t="shared" si="3"/>
        <v>0</v>
      </c>
      <c r="Q9" s="214">
        <f>VLOOKUP(I9, Sheet2!$A$1:$E$78, 5, FALSE)</f>
        <v>9.6492000000000008E-2</v>
      </c>
      <c r="R9" s="215">
        <f>VLOOKUP($L9, '[3]BNP Borrowing Base PSLF JV (PIF'!$A$8:$AI$181, 11, FALSE)</f>
        <v>5.2499999999999998E-2</v>
      </c>
      <c r="S9" s="216">
        <f>VLOOKUP($L9, '[3]BNP Borrowing Base PSLF JV (PIF'!$A$8:$AI$181, 20, FALSE)</f>
        <v>45565</v>
      </c>
      <c r="T9">
        <f>VLOOKUP($L9, '[3]BNP Borrowing Base PSLF JV (PIF'!$A$8:$AI$181, 22, FALSE)</f>
        <v>5.6274247491638789</v>
      </c>
      <c r="U9">
        <f>VLOOKUP($L9, '[3]BNP Borrowing Base PSLF JV (PIF'!$A$8:$AI$181, 23, FALSE)</f>
        <v>299</v>
      </c>
      <c r="V9">
        <f>VLOOKUP($L9, '[3]BNP Borrowing Base PSLF JV (PIF'!$A$8:$AI$181, 32, FALSE)</f>
        <v>6.8197324414715714</v>
      </c>
      <c r="W9">
        <f>VLOOKUP($L9, '[3]BNP Borrowing Base PSLF JV (PIF'!$A$8:$AI$181, 34, FALSE)</f>
        <v>1.3906976744186046</v>
      </c>
    </row>
    <row r="10" spans="1:23">
      <c r="A10" s="141" t="s">
        <v>154</v>
      </c>
      <c r="B10">
        <v>12170102.619999999</v>
      </c>
      <c r="D10" s="141" t="s">
        <v>154</v>
      </c>
      <c r="E10" s="142">
        <v>12170102.619999999</v>
      </c>
      <c r="F10" t="str">
        <f t="shared" si="1"/>
        <v>Beacon Behavioral Support  Services, LLC</v>
      </c>
      <c r="I10" t="s">
        <v>447</v>
      </c>
      <c r="J10" t="str">
        <f>+VLOOKUP(K10,'[2]Sheet2 (2)'!$G$1:$H$73, 2, FALSE)</f>
        <v>Beacon Behavioral Support Services LLC</v>
      </c>
      <c r="K10" t="s">
        <v>448</v>
      </c>
      <c r="L10" t="s">
        <v>449</v>
      </c>
      <c r="M10" s="142">
        <f t="shared" si="2"/>
        <v>12170102.619999999</v>
      </c>
      <c r="N10" s="142">
        <f>VLOOKUP(K10, 'Loan List '!$A$6:$H$82, 8, FALSE)</f>
        <v>12170102.559999999</v>
      </c>
      <c r="O10" s="142">
        <f>VLOOKUP(I10, Sheet2!$A$1:$D$78, 4, FALSE)</f>
        <v>12170102.559999999</v>
      </c>
      <c r="P10" s="213">
        <f t="shared" si="3"/>
        <v>0</v>
      </c>
      <c r="Q10" s="214">
        <f>VLOOKUP(I10, Sheet2!$A$1:$E$78, 5, FALSE)</f>
        <v>9.8011023929661933E-2</v>
      </c>
      <c r="R10" s="215">
        <f>VLOOKUP($L10, '[3]BNP Borrowing Base PSLF JV (PIF'!$A$8:$AI$181, 11, FALSE)</f>
        <v>5.5E-2</v>
      </c>
      <c r="S10" s="216">
        <f>VLOOKUP($L10, '[3]BNP Borrowing Base PSLF JV (PIF'!$A$8:$AI$181, 20, FALSE)</f>
        <v>45716</v>
      </c>
      <c r="T10">
        <f>VLOOKUP($L10, '[3]BNP Borrowing Base PSLF JV (PIF'!$A$8:$AI$181, 22, FALSE)</f>
        <v>4.9021373134500354</v>
      </c>
      <c r="U10">
        <f>VLOOKUP($L10, '[3]BNP Borrowing Base PSLF JV (PIF'!$A$8:$AI$181, 23, FALSE)</f>
        <v>22.015997812603914</v>
      </c>
      <c r="V10">
        <f>VLOOKUP($L10, '[3]BNP Borrowing Base PSLF JV (PIF'!$A$8:$AI$181, 32, FALSE)</f>
        <v>5.4872035779745474</v>
      </c>
      <c r="W10">
        <f>VLOOKUP($L10, '[3]BNP Borrowing Base PSLF JV (PIF'!$A$8:$AI$181, 34, FALSE)</f>
        <v>2.4399881240087282</v>
      </c>
    </row>
    <row r="11" spans="1:23">
      <c r="A11" s="141" t="s">
        <v>262</v>
      </c>
      <c r="B11">
        <v>10781437.5</v>
      </c>
      <c r="D11" s="141" t="s">
        <v>262</v>
      </c>
      <c r="E11" s="142">
        <v>10781437.5</v>
      </c>
      <c r="F11" t="str">
        <f t="shared" si="1"/>
        <v>Federal Advisory Partners</v>
      </c>
      <c r="I11" t="s">
        <v>450</v>
      </c>
      <c r="J11" t="str">
        <f>+VLOOKUP(K11,'[2]Sheet2 (2)'!$G$1:$H$73, 2, FALSE)</f>
        <v>BlackHawk Industrial Distribution Inc</v>
      </c>
      <c r="K11" t="s">
        <v>451</v>
      </c>
      <c r="L11" t="s">
        <v>451</v>
      </c>
      <c r="M11" s="142">
        <f t="shared" si="2"/>
        <v>8649720.2899999991</v>
      </c>
      <c r="N11" s="142">
        <f>VLOOKUP(K11, 'Loan List '!$A$6:$H$82, 8, FALSE)</f>
        <v>8653790.4900000002</v>
      </c>
      <c r="O11" s="142">
        <f>VLOOKUP(I11, Sheet2!$A$1:$D$78, 4, FALSE)</f>
        <v>8653790.4900000002</v>
      </c>
      <c r="P11" s="213">
        <f t="shared" si="3"/>
        <v>0</v>
      </c>
      <c r="Q11" s="214">
        <f>VLOOKUP(I11, Sheet2!$A$1:$E$78, 5, FALSE)</f>
        <v>9.6992703753685405E-2</v>
      </c>
      <c r="R11" s="215">
        <f>VLOOKUP($L11, '[3]BNP Borrowing Base PSLF JV (PIF'!$A$8:$AI$181, 11, FALSE)</f>
        <v>0.05</v>
      </c>
      <c r="S11" s="216">
        <f>VLOOKUP($L11, '[3]BNP Borrowing Base PSLF JV (PIF'!$A$8:$AI$181, 20, FALSE)</f>
        <v>45716</v>
      </c>
      <c r="T11">
        <f>VLOOKUP($L11, '[3]BNP Borrowing Base PSLF JV (PIF'!$A$8:$AI$181, 22, FALSE)</f>
        <v>5.8248222239587415</v>
      </c>
      <c r="U11">
        <f>VLOOKUP($L11, '[3]BNP Borrowing Base PSLF JV (PIF'!$A$8:$AI$181, 23, FALSE)</f>
        <v>51.188000000000002</v>
      </c>
      <c r="V11">
        <f>VLOOKUP($L11, '[3]BNP Borrowing Base PSLF JV (PIF'!$A$8:$AI$181, 32, FALSE)</f>
        <v>6.4096272563882168</v>
      </c>
      <c r="W11">
        <f>VLOOKUP($L11, '[3]BNP Borrowing Base PSLF JV (PIF'!$A$8:$AI$181, 34, FALSE)</f>
        <v>1.2666221265434392</v>
      </c>
    </row>
    <row r="12" spans="1:23">
      <c r="A12" s="141" t="s">
        <v>91</v>
      </c>
      <c r="B12">
        <v>8649720.2899999991</v>
      </c>
      <c r="D12" s="141" t="s">
        <v>91</v>
      </c>
      <c r="E12" s="142">
        <v>8649720.2899999991</v>
      </c>
      <c r="F12" t="str">
        <f t="shared" si="1"/>
        <v>BlackHawk Industrial</v>
      </c>
      <c r="I12" t="s">
        <v>452</v>
      </c>
      <c r="J12" t="str">
        <f>+VLOOKUP(K12,'[2]Sheet2 (2)'!$G$1:$H$73, 2, FALSE)</f>
        <v>BlueHalo Global Holdings LLC</v>
      </c>
      <c r="K12" t="s">
        <v>453</v>
      </c>
      <c r="L12" t="s">
        <v>453</v>
      </c>
      <c r="M12" s="142">
        <f t="shared" si="2"/>
        <v>2628762.4700000002</v>
      </c>
      <c r="N12" s="142">
        <f>VLOOKUP(K12, 'Loan List '!$A$6:$H$82, 8, FALSE)</f>
        <v>2628762.46</v>
      </c>
      <c r="O12" s="142">
        <f>VLOOKUP(I12, Sheet2!$A$1:$D$78, 4, FALSE)</f>
        <v>2628762.46</v>
      </c>
      <c r="P12" s="213">
        <f t="shared" si="3"/>
        <v>0</v>
      </c>
      <c r="Q12" s="214">
        <f>VLOOKUP(I12, Sheet2!$A$1:$E$78, 5, FALSE)</f>
        <v>0.10299169999999999</v>
      </c>
      <c r="R12" s="215">
        <f>VLOOKUP($L12, '[3]BNP Borrowing Base PSLF JV (PIF'!$A$8:$AI$181, 11, FALSE)</f>
        <v>0.06</v>
      </c>
      <c r="S12" s="216">
        <f>VLOOKUP($L12, '[3]BNP Borrowing Base PSLF JV (PIF'!$A$8:$AI$181, 20, FALSE)</f>
        <v>45657</v>
      </c>
      <c r="T12">
        <f>VLOOKUP($L12, '[3]BNP Borrowing Base PSLF JV (PIF'!$A$8:$AI$181, 22, FALSE)</f>
        <v>7.6702880694568503</v>
      </c>
      <c r="U12">
        <f>VLOOKUP($L12, '[3]BNP Borrowing Base PSLF JV (PIF'!$A$8:$AI$181, 23, FALSE)</f>
        <v>103.79010446427387</v>
      </c>
      <c r="V12">
        <f>VLOOKUP($L12, '[3]BNP Borrowing Base PSLF JV (PIF'!$A$8:$AI$181, 32, FALSE)</f>
        <v>7.7329144636930893</v>
      </c>
      <c r="W12">
        <f>VLOOKUP($L12, '[3]BNP Borrowing Base PSLF JV (PIF'!$A$8:$AI$181, 34, FALSE)</f>
        <v>1.5967892476636316</v>
      </c>
    </row>
    <row r="13" spans="1:23">
      <c r="A13" s="141" t="s">
        <v>268</v>
      </c>
      <c r="B13">
        <v>2098550.6</v>
      </c>
      <c r="D13" s="141" t="s">
        <v>268</v>
      </c>
      <c r="E13" s="142">
        <v>2098550.6</v>
      </c>
      <c r="F13" t="str">
        <f t="shared" si="1"/>
        <v>Bland Landscaping</v>
      </c>
      <c r="I13" t="s">
        <v>454</v>
      </c>
      <c r="J13" t="str">
        <f>+VLOOKUP(K13,'[2]Sheet2 (2)'!$G$1:$H$73, 2, FALSE)</f>
        <v>C5MI Acquisition LLC</v>
      </c>
      <c r="K13" t="s">
        <v>454</v>
      </c>
      <c r="L13" t="s">
        <v>455</v>
      </c>
      <c r="M13" s="142">
        <f t="shared" si="2"/>
        <v>1492500</v>
      </c>
      <c r="N13" s="142">
        <f>VLOOKUP(K13, 'Loan List '!$A$6:$H$82, 8, FALSE)</f>
        <v>1492500</v>
      </c>
      <c r="O13" s="142">
        <f>VLOOKUP(I13, Sheet2!$A$1:$D$78, 4, FALSE)</f>
        <v>1492500</v>
      </c>
      <c r="P13" s="213">
        <f t="shared" si="3"/>
        <v>0</v>
      </c>
      <c r="Q13" s="214">
        <f>VLOOKUP(I13, Sheet2!$A$1:$E$78, 5, FALSE)</f>
        <v>0.10299200000000003</v>
      </c>
      <c r="R13" s="215">
        <f>VLOOKUP($L13, '[3]BNP Borrowing Base PSLF JV (PIF'!$A$8:$AI$181, 11, FALSE)</f>
        <v>0.06</v>
      </c>
      <c r="S13" s="216">
        <f>VLOOKUP($L13, '[3]BNP Borrowing Base PSLF JV (PIF'!$A$8:$AI$181, 20, FALSE)</f>
        <v>45716</v>
      </c>
      <c r="T13">
        <f>VLOOKUP($L13, '[3]BNP Borrowing Base PSLF JV (PIF'!$A$8:$AI$181, 22, FALSE)</f>
        <v>5.1127308845994435</v>
      </c>
      <c r="U13">
        <f>VLOOKUP($L13, '[3]BNP Borrowing Base PSLF JV (PIF'!$A$8:$AI$181, 23, FALSE)</f>
        <v>15.613156999999999</v>
      </c>
      <c r="V13">
        <f>VLOOKUP($L13, '[3]BNP Borrowing Base PSLF JV (PIF'!$A$8:$AI$181, 32, FALSE)</f>
        <v>5.5418561409457423</v>
      </c>
      <c r="W13">
        <f>VLOOKUP($L13, '[3]BNP Borrowing Base PSLF JV (PIF'!$A$8:$AI$181, 34, FALSE)</f>
        <v>1.7344097978227058</v>
      </c>
    </row>
    <row r="14" spans="1:23">
      <c r="A14" s="141" t="s">
        <v>93</v>
      </c>
      <c r="B14">
        <v>3635030.3</v>
      </c>
      <c r="D14" s="141" t="s">
        <v>93</v>
      </c>
      <c r="E14" s="142">
        <v>3635030.3</v>
      </c>
      <c r="F14" t="str">
        <f t="shared" si="1"/>
        <v>The Bluebird Group LLC</v>
      </c>
      <c r="I14" t="s">
        <v>456</v>
      </c>
      <c r="J14" t="str">
        <f>+VLOOKUP(K14,'[2]Sheet2 (2)'!$G$1:$H$73, 2, FALSE)</f>
        <v>CF512 Inc</v>
      </c>
      <c r="K14" t="s">
        <v>456</v>
      </c>
      <c r="L14" t="s">
        <v>457</v>
      </c>
      <c r="M14" s="142">
        <f t="shared" si="2"/>
        <v>6298498.8200000003</v>
      </c>
      <c r="N14" s="142">
        <f>VLOOKUP(K14, 'Loan List '!$A$6:$H$82, 8, FALSE)</f>
        <v>6298498.8200000003</v>
      </c>
      <c r="O14" s="142">
        <f>VLOOKUP(I14, Sheet2!$A$1:$D$78, 4, FALSE)</f>
        <v>6298498.8200000003</v>
      </c>
      <c r="P14" s="213">
        <f t="shared" si="3"/>
        <v>0</v>
      </c>
      <c r="Q14" s="214">
        <f>VLOOKUP(I14, Sheet2!$A$1:$E$78, 5, FALSE)</f>
        <v>0.10501243491365612</v>
      </c>
      <c r="R14" s="215">
        <f>VLOOKUP($L14, '[3]BNP Borrowing Base PSLF JV (PIF'!$A$8:$AI$181, 11, FALSE)</f>
        <v>0.06</v>
      </c>
      <c r="S14" s="216">
        <f>VLOOKUP($L14, '[3]BNP Borrowing Base PSLF JV (PIF'!$A$8:$AI$181, 20, FALSE)</f>
        <v>45747</v>
      </c>
      <c r="T14">
        <f>VLOOKUP($L14, '[3]BNP Borrowing Base PSLF JV (PIF'!$A$8:$AI$181, 22, FALSE)</f>
        <v>5.6147306397306398</v>
      </c>
      <c r="U14">
        <f>VLOOKUP($L14, '[3]BNP Borrowing Base PSLF JV (PIF'!$A$8:$AI$181, 23, FALSE)</f>
        <v>11.88</v>
      </c>
      <c r="V14">
        <f>VLOOKUP($L14, '[3]BNP Borrowing Base PSLF JV (PIF'!$A$8:$AI$181, 32, FALSE)</f>
        <v>5.6147306397306398</v>
      </c>
      <c r="W14">
        <f>VLOOKUP($L14, '[3]BNP Borrowing Base PSLF JV (PIF'!$A$8:$AI$181, 34, FALSE)</f>
        <v>1.3873642415041458</v>
      </c>
    </row>
    <row r="15" spans="1:23">
      <c r="A15" s="141" t="s">
        <v>95</v>
      </c>
      <c r="B15">
        <v>2628762.4700000002</v>
      </c>
      <c r="D15" s="141" t="s">
        <v>95</v>
      </c>
      <c r="E15" s="142">
        <v>2628762.4700000002</v>
      </c>
      <c r="F15" t="str">
        <f t="shared" si="1"/>
        <v xml:space="preserve">BlueHalo Financing Holdings, LLC </v>
      </c>
      <c r="I15" t="s">
        <v>458</v>
      </c>
      <c r="J15" t="str">
        <f>+VLOOKUP(K15,'[2]Sheet2 (2)'!$G$1:$H$73, 2, FALSE)</f>
        <v>Carnegie Dartlet LLC</v>
      </c>
      <c r="K15" t="s">
        <v>458</v>
      </c>
      <c r="L15" t="s">
        <v>458</v>
      </c>
      <c r="M15" s="142">
        <f t="shared" si="2"/>
        <v>6900150.7599999998</v>
      </c>
      <c r="N15" s="142">
        <f>VLOOKUP(K15, 'Loan List '!$A$6:$H$82, 8, FALSE)</f>
        <v>6900150.7599999998</v>
      </c>
      <c r="O15" s="142">
        <f>VLOOKUP(I15, Sheet2!$A$1:$D$78, 4, FALSE)</f>
        <v>6900150.7599999998</v>
      </c>
      <c r="P15" s="213">
        <f t="shared" si="3"/>
        <v>0</v>
      </c>
      <c r="Q15" s="214">
        <f>VLOOKUP(I15, Sheet2!$A$1:$E$78, 5, FALSE)</f>
        <v>9.8248999999999989E-2</v>
      </c>
      <c r="R15" s="215">
        <f>VLOOKUP($L15, '[3]BNP Borrowing Base PSLF JV (PIF'!$A$8:$AI$181, 11, FALSE)</f>
        <v>5.5E-2</v>
      </c>
      <c r="S15" s="216">
        <f>VLOOKUP($L15, '[3]BNP Borrowing Base PSLF JV (PIF'!$A$8:$AI$181, 20, FALSE)</f>
        <v>45716</v>
      </c>
      <c r="T15">
        <f>VLOOKUP($L15, '[3]BNP Borrowing Base PSLF JV (PIF'!$A$8:$AI$181, 22, FALSE)</f>
        <v>4.6093661646018615</v>
      </c>
      <c r="U15">
        <f>VLOOKUP($L15, '[3]BNP Borrowing Base PSLF JV (PIF'!$A$8:$AI$181, 23, FALSE)</f>
        <v>19.452999999999996</v>
      </c>
      <c r="V15">
        <f>VLOOKUP($L15, '[3]BNP Borrowing Base PSLF JV (PIF'!$A$8:$AI$181, 32, FALSE)</f>
        <v>4.6093661646018615</v>
      </c>
      <c r="W15">
        <f>VLOOKUP($L15, '[3]BNP Borrowing Base PSLF JV (PIF'!$A$8:$AI$181, 34, FALSE)</f>
        <v>2.211026864366255</v>
      </c>
    </row>
    <row r="16" spans="1:23">
      <c r="A16" s="141" t="s">
        <v>383</v>
      </c>
      <c r="B16">
        <v>5985000</v>
      </c>
      <c r="D16" s="141" t="s">
        <v>383</v>
      </c>
      <c r="E16" s="142">
        <v>5985000</v>
      </c>
      <c r="F16" t="str">
        <f t="shared" si="1"/>
        <v>Boss Industries</v>
      </c>
      <c r="I16" t="s">
        <v>459</v>
      </c>
      <c r="J16" t="str">
        <f>+VLOOKUP(K16,'[2]Sheet2 (2)'!$G$1:$H$73, 2, FALSE)</f>
        <v>Carisk Buyer Inc</v>
      </c>
      <c r="K16" t="s">
        <v>459</v>
      </c>
      <c r="L16" t="s">
        <v>459</v>
      </c>
      <c r="M16" s="142">
        <f t="shared" si="2"/>
        <v>1116738.2</v>
      </c>
      <c r="N16" s="142">
        <f>VLOOKUP(K16, 'Loan List '!$A$6:$H$82, 8, FALSE)</f>
        <v>1116738.2</v>
      </c>
      <c r="O16" s="142">
        <f>VLOOKUP(I16, Sheet2!$A$1:$D$78, 4, FALSE)</f>
        <v>1116738.2</v>
      </c>
      <c r="P16" s="213">
        <f t="shared" si="3"/>
        <v>0</v>
      </c>
      <c r="Q16" s="214">
        <f>VLOOKUP(I16, Sheet2!$A$1:$E$78, 5, FALSE)</f>
        <v>9.549199999999998E-2</v>
      </c>
      <c r="R16" s="215">
        <f>VLOOKUP($L16, '[3]BNP Borrowing Base PSLF JV (PIF'!$A$8:$AI$181, 11, FALSE)</f>
        <v>5.7500000000000002E-2</v>
      </c>
      <c r="S16" s="216">
        <f>VLOOKUP($L16, '[3]BNP Borrowing Base PSLF JV (PIF'!$A$8:$AI$181, 20, FALSE)</f>
        <v>45747</v>
      </c>
      <c r="T16">
        <f>VLOOKUP($L16, '[3]BNP Borrowing Base PSLF JV (PIF'!$A$8:$AI$181, 22, FALSE)</f>
        <v>3.2892937394353572</v>
      </c>
      <c r="U16">
        <f>VLOOKUP($L16, '[3]BNP Borrowing Base PSLF JV (PIF'!$A$8:$AI$181, 23, FALSE)</f>
        <v>18.868361999999998</v>
      </c>
      <c r="V16">
        <f>VLOOKUP($L16, '[3]BNP Borrowing Base PSLF JV (PIF'!$A$8:$AI$181, 32, FALSE)</f>
        <v>3.2892937394353572</v>
      </c>
      <c r="W16">
        <f>VLOOKUP($L16, '[3]BNP Borrowing Base PSLF JV (PIF'!$A$8:$AI$181, 34, FALSE)</f>
        <v>2.1712654616842517</v>
      </c>
    </row>
    <row r="17" spans="1:23">
      <c r="A17" s="141" t="s">
        <v>136</v>
      </c>
      <c r="B17">
        <v>248327.5</v>
      </c>
      <c r="D17" s="141" t="s">
        <v>136</v>
      </c>
      <c r="E17" s="142">
        <v>248327.5</v>
      </c>
      <c r="F17" t="str">
        <f t="shared" si="1"/>
        <v>BBB Industries</v>
      </c>
      <c r="I17" t="s">
        <v>460</v>
      </c>
      <c r="J17" t="str">
        <f>+VLOOKUP(K17,'[2]Sheet2 (2)'!$G$1:$H$73, 2, FALSE)</f>
        <v>Cartessa Aesthetics LLC</v>
      </c>
      <c r="K17" t="s">
        <v>461</v>
      </c>
      <c r="L17" t="s">
        <v>461</v>
      </c>
      <c r="M17" s="142">
        <f t="shared" si="2"/>
        <v>5205875.07</v>
      </c>
      <c r="N17" s="142">
        <f>VLOOKUP(K17, 'Loan List '!$A$6:$H$82, 8, FALSE)</f>
        <v>5205875.05</v>
      </c>
      <c r="O17" s="142">
        <f>VLOOKUP(I17, Sheet2!$A$1:$D$78, 4, FALSE)</f>
        <v>5205875.05</v>
      </c>
      <c r="P17" s="213">
        <f t="shared" si="3"/>
        <v>0</v>
      </c>
      <c r="Q17" s="214">
        <f>VLOOKUP(I17, Sheet2!$A$1:$E$78, 5, FALSE)</f>
        <v>0.10049200000000001</v>
      </c>
      <c r="R17" s="215">
        <f>VLOOKUP($L17, '[3]BNP Borrowing Base PSLF JV (PIF'!$A$8:$AI$181, 11, FALSE)</f>
        <v>0.06</v>
      </c>
      <c r="S17" s="216">
        <f>VLOOKUP($L17, '[3]BNP Borrowing Base PSLF JV (PIF'!$A$8:$AI$181, 20, FALSE)</f>
        <v>45716</v>
      </c>
      <c r="T17">
        <f>VLOOKUP($L17, '[3]BNP Borrowing Base PSLF JV (PIF'!$A$8:$AI$181, 22, FALSE)</f>
        <v>3.2680580859332187</v>
      </c>
      <c r="U17">
        <f>VLOOKUP($L17, '[3]BNP Borrowing Base PSLF JV (PIF'!$A$8:$AI$181, 23, FALSE)</f>
        <v>19.711492299253582</v>
      </c>
      <c r="V17">
        <f>VLOOKUP($L17, '[3]BNP Borrowing Base PSLF JV (PIF'!$A$8:$AI$181, 32, FALSE)</f>
        <v>3.2680580859332187</v>
      </c>
      <c r="W17">
        <f>VLOOKUP($L17, '[3]BNP Borrowing Base PSLF JV (PIF'!$A$8:$AI$181, 34, FALSE)</f>
        <v>2.5267405100399336</v>
      </c>
    </row>
    <row r="18" spans="1:23">
      <c r="A18" s="141" t="s">
        <v>156</v>
      </c>
      <c r="B18">
        <v>1492500</v>
      </c>
      <c r="D18" s="141" t="s">
        <v>156</v>
      </c>
      <c r="E18" s="142">
        <v>1492500</v>
      </c>
      <c r="F18" t="str">
        <f t="shared" si="1"/>
        <v>C5MI Acquisition, LLC</v>
      </c>
      <c r="I18" t="s">
        <v>462</v>
      </c>
      <c r="J18" t="str">
        <f>+VLOOKUP(K18,'[2]Sheet2 (2)'!$G$1:$H$73, 2, FALSE)</f>
        <v>Case Works LLC</v>
      </c>
      <c r="K18" t="s">
        <v>463</v>
      </c>
      <c r="L18" t="s">
        <v>463</v>
      </c>
      <c r="M18" s="142">
        <f t="shared" si="2"/>
        <v>4503279.1500000004</v>
      </c>
      <c r="N18" s="142">
        <f>VLOOKUP(K18, 'Loan List '!$A$6:$H$82, 8, FALSE)</f>
        <v>4503279.1500000004</v>
      </c>
      <c r="O18" s="142">
        <f>VLOOKUP(I18, Sheet2!$A$1:$D$78, 4, FALSE)</f>
        <v>4503279.1500000004</v>
      </c>
      <c r="P18" s="213">
        <f t="shared" si="3"/>
        <v>0</v>
      </c>
      <c r="Q18" s="214">
        <f>VLOOKUP(I18, Sheet2!$A$1:$E$78, 5, FALSE)</f>
        <v>9.5491999999999994E-2</v>
      </c>
      <c r="R18" s="215">
        <f>VLOOKUP($L18, '[3]BNP Borrowing Base PSLF JV (PIF'!$A$8:$AI$181, 11, FALSE)</f>
        <v>5.2499999999999998E-2</v>
      </c>
      <c r="S18" s="216">
        <f>VLOOKUP($L18, '[3]BNP Borrowing Base PSLF JV (PIF'!$A$8:$AI$181, 20, FALSE)</f>
        <v>45716</v>
      </c>
      <c r="T18">
        <f>VLOOKUP($L18, '[3]BNP Borrowing Base PSLF JV (PIF'!$A$8:$AI$181, 22, FALSE)</f>
        <v>4.3945970742600933</v>
      </c>
      <c r="U18">
        <f>VLOOKUP($L18, '[3]BNP Borrowing Base PSLF JV (PIF'!$A$8:$AI$181, 23, FALSE)</f>
        <v>19.945155573735413</v>
      </c>
      <c r="V18">
        <f>VLOOKUP($L18, '[3]BNP Borrowing Base PSLF JV (PIF'!$A$8:$AI$181, 32, FALSE)</f>
        <v>4.3945970742600933</v>
      </c>
      <c r="W18">
        <f>VLOOKUP($L18, '[3]BNP Borrowing Base PSLF JV (PIF'!$A$8:$AI$181, 34, FALSE)</f>
        <v>1.5790569808884065</v>
      </c>
    </row>
    <row r="19" spans="1:23">
      <c r="A19" s="141" t="s">
        <v>99</v>
      </c>
      <c r="B19">
        <v>1116738.2</v>
      </c>
      <c r="D19" s="141" t="s">
        <v>99</v>
      </c>
      <c r="E19" s="142">
        <v>1116738.2</v>
      </c>
      <c r="F19" t="str">
        <f t="shared" si="1"/>
        <v>Carisk Buyer, Inc.</v>
      </c>
      <c r="I19" s="141" t="s">
        <v>464</v>
      </c>
      <c r="J19" t="str">
        <f>+VLOOKUP(K19,'[2]Sheet2 (2)'!$G$1:$H$73, 2, FALSE)</f>
        <v>Lightspeed Buyer Inc</v>
      </c>
      <c r="K19" t="s">
        <v>465</v>
      </c>
      <c r="L19" t="s">
        <v>465</v>
      </c>
      <c r="M19" s="142">
        <f t="shared" si="2"/>
        <v>2506425.7000000002</v>
      </c>
      <c r="N19" s="142">
        <f>VLOOKUP(K19, 'Loan List '!$A$6:$H$82, 8, FALSE)</f>
        <v>2506425.7000000002</v>
      </c>
      <c r="O19" s="142">
        <f>VLOOKUP(I19, Sheet2!$A$1:$D$78, 4, FALSE)</f>
        <v>2506425.7000000002</v>
      </c>
      <c r="P19" s="213">
        <f t="shared" si="3"/>
        <v>0</v>
      </c>
      <c r="Q19" s="214">
        <f>VLOOKUP(I19, Sheet2!$A$1:$E$78, 5, FALSE)</f>
        <v>9.1207242603161112E-2</v>
      </c>
      <c r="R19" s="215">
        <f>VLOOKUP($L19, '[3]BNP Borrowing Base PSLF JV (PIF'!$A$8:$AI$181, 11, FALSE)</f>
        <v>5.7500000000000002E-2</v>
      </c>
      <c r="S19" s="216">
        <f>VLOOKUP($L19, '[3]BNP Borrowing Base PSLF JV (PIF'!$A$8:$AI$181, 20, FALSE)</f>
        <v>45716</v>
      </c>
      <c r="T19">
        <f>VLOOKUP($L19, '[3]BNP Borrowing Base PSLF JV (PIF'!$A$8:$AI$181, 22, FALSE)</f>
        <v>3.1528784028120223</v>
      </c>
      <c r="U19">
        <f>VLOOKUP($L19, '[3]BNP Borrowing Base PSLF JV (PIF'!$A$8:$AI$181, 23, FALSE)</f>
        <v>79.088999999999999</v>
      </c>
      <c r="V19">
        <f>VLOOKUP($L19, '[3]BNP Borrowing Base PSLF JV (PIF'!$A$8:$AI$181, 32, FALSE)</f>
        <v>3.1528784028120223</v>
      </c>
      <c r="W19">
        <f>VLOOKUP($L19, '[3]BNP Borrowing Base PSLF JV (PIF'!$A$8:$AI$181, 34, FALSE)</f>
        <v>2.803298072792388</v>
      </c>
    </row>
    <row r="20" spans="1:23">
      <c r="A20" s="141" t="s">
        <v>64</v>
      </c>
      <c r="B20">
        <v>6900150.7599999998</v>
      </c>
      <c r="D20" s="141" t="s">
        <v>64</v>
      </c>
      <c r="E20" s="142">
        <v>6900150.7599999998</v>
      </c>
      <c r="F20" t="str">
        <f t="shared" si="1"/>
        <v>Carnegie Dartlet, LLC</v>
      </c>
      <c r="I20" t="s">
        <v>466</v>
      </c>
      <c r="J20" t="str">
        <f>+VLOOKUP(K20,'[2]Sheet2 (2)'!$G$1:$H$73, 2, FALSE)</f>
        <v>Medina Health LLC</v>
      </c>
      <c r="K20" t="s">
        <v>467</v>
      </c>
      <c r="L20" t="s">
        <v>467</v>
      </c>
      <c r="M20" s="142">
        <f t="shared" si="2"/>
        <v>3780604.54</v>
      </c>
      <c r="N20" s="142">
        <f>VLOOKUP(K20, 'Loan List '!$A$6:$H$82, 8, FALSE)</f>
        <v>3780604.54</v>
      </c>
      <c r="O20" s="142">
        <f>VLOOKUP(I20, Sheet2!$A$1:$D$78, 4, FALSE)</f>
        <v>3780604.54</v>
      </c>
      <c r="P20" s="213">
        <f t="shared" si="3"/>
        <v>0</v>
      </c>
      <c r="Q20" s="214">
        <f>VLOOKUP(I20, Sheet2!$A$1:$E$78, 5, FALSE)</f>
        <v>0.10100497293096349</v>
      </c>
      <c r="R20" s="215">
        <f>VLOOKUP($L20, '[3]BNP Borrowing Base PSLF JV (PIF'!$A$8:$AI$181, 11, FALSE)</f>
        <v>6.25E-2</v>
      </c>
      <c r="S20" s="216">
        <f>VLOOKUP($L20, '[3]BNP Borrowing Base PSLF JV (PIF'!$A$8:$AI$181, 20, FALSE)</f>
        <v>45716</v>
      </c>
      <c r="T20">
        <f>VLOOKUP($L20, '[3]BNP Borrowing Base PSLF JV (PIF'!$A$8:$AI$181, 22, FALSE)</f>
        <v>3.9212869811971043</v>
      </c>
      <c r="U20">
        <f>VLOOKUP($L20, '[3]BNP Borrowing Base PSLF JV (PIF'!$A$8:$AI$181, 23, FALSE)</f>
        <v>18.501068742959561</v>
      </c>
      <c r="V20">
        <f>VLOOKUP($L20, '[3]BNP Borrowing Base PSLF JV (PIF'!$A$8:$AI$181, 32, FALSE)</f>
        <v>3.9239895277739891</v>
      </c>
      <c r="W20">
        <f>VLOOKUP($L20, '[3]BNP Borrowing Base PSLF JV (PIF'!$A$8:$AI$181, 34, FALSE)</f>
        <v>1.9835663774428955</v>
      </c>
    </row>
    <row r="21" spans="1:23">
      <c r="A21" s="141" t="s">
        <v>158</v>
      </c>
      <c r="B21">
        <v>5205875.07</v>
      </c>
      <c r="D21" s="141" t="s">
        <v>158</v>
      </c>
      <c r="E21" s="142">
        <v>5205875.07</v>
      </c>
      <c r="F21" t="str">
        <f t="shared" si="1"/>
        <v>Cartessa</v>
      </c>
      <c r="I21" t="s">
        <v>468</v>
      </c>
      <c r="J21" t="str">
        <f>+VLOOKUP(K21,'[2]Sheet2 (2)'!$G$1:$H$73, 2, FALSE)</f>
        <v>Crane 1 Acquisition Holdings Inc</v>
      </c>
      <c r="K21" t="s">
        <v>468</v>
      </c>
      <c r="L21" t="s">
        <v>468</v>
      </c>
      <c r="M21" s="142">
        <f t="shared" si="2"/>
        <v>995000</v>
      </c>
      <c r="N21" s="142">
        <f>VLOOKUP(K21, 'Loan List '!$A$6:$H$82, 8, FALSE)</f>
        <v>995000</v>
      </c>
      <c r="O21" s="142">
        <f>VLOOKUP(I21, Sheet2!$A$1:$D$78, 4, FALSE)</f>
        <v>995000</v>
      </c>
      <c r="P21" s="213">
        <f t="shared" si="3"/>
        <v>0</v>
      </c>
      <c r="Q21" s="214">
        <f>VLOOKUP(I21, Sheet2!$A$1:$E$78, 5, FALSE)</f>
        <v>9.7571255779072177E-2</v>
      </c>
      <c r="R21" s="215">
        <f>VLOOKUP($L21, '[3]BNP Borrowing Base PSLF JV (PIF'!$A$8:$AI$181, 11, FALSE)</f>
        <v>5.7500000000000002E-2</v>
      </c>
      <c r="S21" s="216">
        <f>VLOOKUP($L21, '[3]BNP Borrowing Base PSLF JV (PIF'!$A$8:$AI$181, 20, FALSE)</f>
        <v>45747</v>
      </c>
      <c r="T21">
        <f>VLOOKUP($L21, '[3]BNP Borrowing Base PSLF JV (PIF'!$A$8:$AI$181, 22, FALSE)</f>
        <v>4.9018235336348628</v>
      </c>
      <c r="U21">
        <f>VLOOKUP($L21, '[3]BNP Borrowing Base PSLF JV (PIF'!$A$8:$AI$181, 23, FALSE)</f>
        <v>27.858000000000001</v>
      </c>
      <c r="V21">
        <f>VLOOKUP($L21, '[3]BNP Borrowing Base PSLF JV (PIF'!$A$8:$AI$181, 32, FALSE)</f>
        <v>4.9018235336348628</v>
      </c>
      <c r="W21">
        <f>VLOOKUP($L21, '[3]BNP Borrowing Base PSLF JV (PIF'!$A$8:$AI$181, 34, FALSE)</f>
        <v>2.1485423415085609</v>
      </c>
    </row>
    <row r="22" spans="1:23">
      <c r="A22" s="141" t="s">
        <v>144</v>
      </c>
      <c r="B22">
        <v>4503279.1500000004</v>
      </c>
      <c r="D22" s="141" t="s">
        <v>144</v>
      </c>
      <c r="E22" s="142">
        <v>4503279.1500000004</v>
      </c>
      <c r="F22" t="str">
        <f t="shared" si="1"/>
        <v>Case Works</v>
      </c>
      <c r="I22" t="s">
        <v>469</v>
      </c>
      <c r="J22" t="str">
        <f>+VLOOKUP(K22,'[2]Sheet2 (2)'!$G$1:$H$73, 2, FALSE)</f>
        <v>Dr. Squatch LLC</v>
      </c>
      <c r="K22" t="s">
        <v>470</v>
      </c>
      <c r="L22" t="s">
        <v>469</v>
      </c>
      <c r="M22" s="142">
        <f t="shared" si="2"/>
        <v>14433539.99</v>
      </c>
      <c r="N22" s="142">
        <f>O22</f>
        <v>14433539.950000001</v>
      </c>
      <c r="O22" s="142">
        <f>VLOOKUP(I22, Sheet2!$A$1:$D$78, 4, FALSE)</f>
        <v>14433539.950000001</v>
      </c>
      <c r="P22" s="213">
        <f t="shared" si="3"/>
        <v>0</v>
      </c>
      <c r="Q22" s="214">
        <f>VLOOKUP(I22, Sheet2!$A$1:$E$78, 5, FALSE)</f>
        <v>0.10103332963604222</v>
      </c>
      <c r="R22" s="215">
        <f>VLOOKUP($L22, '[3]BNP Borrowing Base PSLF JV (PIF'!$A$8:$AI$181, 11, FALSE)</f>
        <v>5.2499999999999998E-2</v>
      </c>
      <c r="S22" s="216">
        <f>VLOOKUP($L22, '[3]BNP Borrowing Base PSLF JV (PIF'!$A$8:$AI$181, 20, FALSE)</f>
        <v>45657</v>
      </c>
      <c r="T22">
        <f>VLOOKUP($L22, '[3]BNP Borrowing Base PSLF JV (PIF'!$A$8:$AI$181, 22, FALSE)</f>
        <v>1.297475925084703</v>
      </c>
      <c r="U22">
        <f>VLOOKUP($L22, '[3]BNP Borrowing Base PSLF JV (PIF'!$A$8:$AI$181, 23, FALSE)</f>
        <v>96.404405640000036</v>
      </c>
      <c r="V22">
        <f>VLOOKUP($L22, '[3]BNP Borrowing Base PSLF JV (PIF'!$A$8:$AI$181, 32, FALSE)</f>
        <v>1.297475925084703</v>
      </c>
      <c r="W22">
        <f>VLOOKUP($L22, '[3]BNP Borrowing Base PSLF JV (PIF'!$A$8:$AI$181, 34, FALSE)</f>
        <v>6.1659887773502637</v>
      </c>
    </row>
    <row r="23" spans="1:23">
      <c r="A23" s="141" t="s">
        <v>78</v>
      </c>
      <c r="B23">
        <v>6298498.8200000003</v>
      </c>
      <c r="D23" s="141" t="s">
        <v>78</v>
      </c>
      <c r="E23" s="142">
        <v>6298498.8200000003</v>
      </c>
      <c r="F23" t="str">
        <f t="shared" si="1"/>
        <v>CF512, Inc.</v>
      </c>
      <c r="I23" t="s">
        <v>471</v>
      </c>
      <c r="J23" t="str">
        <f>+VLOOKUP(K23,'[2]Sheet2 (2)'!$G$1:$H$73, 2, FALSE)</f>
        <v>EDS Buyer LLC</v>
      </c>
      <c r="K23" t="s">
        <v>472</v>
      </c>
      <c r="L23" t="s">
        <v>472</v>
      </c>
      <c r="M23" s="142">
        <f t="shared" si="2"/>
        <v>5452662.1699999999</v>
      </c>
      <c r="N23" s="142">
        <f>O23</f>
        <v>5452661.0999999996</v>
      </c>
      <c r="O23" s="142">
        <f>VLOOKUP(I23, Sheet2!$A$1:$D$78, 4, FALSE)</f>
        <v>5452661.0999999996</v>
      </c>
      <c r="P23" s="213">
        <f t="shared" si="3"/>
        <v>0</v>
      </c>
      <c r="Q23" s="214">
        <f>VLOOKUP(I23, Sheet2!$A$1:$E$78, 5, FALSE)</f>
        <v>9.9475563730429248E-2</v>
      </c>
      <c r="R23" s="215">
        <f>VLOOKUP($L23, '[3]BNP Borrowing Base PSLF JV (PIF'!$A$8:$AI$181, 11, FALSE)</f>
        <v>5.7500000000000002E-2</v>
      </c>
      <c r="S23" s="216">
        <f>VLOOKUP($L23, '[3]BNP Borrowing Base PSLF JV (PIF'!$A$8:$AI$181, 20, FALSE)</f>
        <v>45716</v>
      </c>
      <c r="T23">
        <f>VLOOKUP($L23, '[3]BNP Borrowing Base PSLF JV (PIF'!$A$8:$AI$181, 22, FALSE)</f>
        <v>3.1697908482059343</v>
      </c>
      <c r="U23">
        <f>VLOOKUP($L23, '[3]BNP Borrowing Base PSLF JV (PIF'!$A$8:$AI$181, 23, FALSE)</f>
        <v>26.726999999999997</v>
      </c>
      <c r="V23">
        <f>VLOOKUP($L23, '[3]BNP Borrowing Base PSLF JV (PIF'!$A$8:$AI$181, 32, FALSE)</f>
        <v>3.1697908482059343</v>
      </c>
      <c r="W23">
        <f>VLOOKUP($L23, '[3]BNP Borrowing Base PSLF JV (PIF'!$A$8:$AI$181, 34, FALSE)</f>
        <v>2.3344396890558126</v>
      </c>
    </row>
    <row r="24" spans="1:23">
      <c r="A24" s="141" t="s">
        <v>287</v>
      </c>
      <c r="B24">
        <v>995000</v>
      </c>
      <c r="D24" s="141" t="s">
        <v>287</v>
      </c>
      <c r="E24" s="142">
        <v>995000</v>
      </c>
      <c r="F24" t="str">
        <f t="shared" si="1"/>
        <v>Crane 1 Services, Inc.</v>
      </c>
      <c r="I24" t="s">
        <v>473</v>
      </c>
      <c r="J24" t="str">
        <f>+VLOOKUP(K24,'[2]Sheet2 (2)'!$G$1:$H$73, 2, FALSE)</f>
        <v>Eval Home Health Solutions Intermediate LLC</v>
      </c>
      <c r="K24" t="s">
        <v>473</v>
      </c>
      <c r="L24" t="s">
        <v>474</v>
      </c>
      <c r="M24" s="142">
        <f t="shared" si="2"/>
        <v>1362351.39</v>
      </c>
      <c r="N24" s="142">
        <f>VLOOKUP(K24, 'Loan List '!$A$6:$H$82, 8, FALSE)</f>
        <v>1362351.4</v>
      </c>
      <c r="O24" s="142">
        <f>VLOOKUP(I24, Sheet2!$A$1:$D$78, 4, FALSE)</f>
        <v>1362351.4</v>
      </c>
      <c r="P24" s="213">
        <f t="shared" si="3"/>
        <v>0</v>
      </c>
      <c r="Q24" s="214">
        <f>VLOOKUP(I24, Sheet2!$A$1:$E$78, 5, FALSE)</f>
        <v>9.6512476733599195E-2</v>
      </c>
      <c r="R24" s="215">
        <f>VLOOKUP($L24, '[3]BNP Borrowing Base PSLF JV (PIF'!$A$8:$AI$181, 11, FALSE)</f>
        <v>5.7500000000000002E-2</v>
      </c>
      <c r="S24" s="216">
        <f>VLOOKUP($L24, '[3]BNP Borrowing Base PSLF JV (PIF'!$A$8:$AI$181, 20, FALSE)</f>
        <v>45747</v>
      </c>
      <c r="T24">
        <f>VLOOKUP($L24, '[3]BNP Borrowing Base PSLF JV (PIF'!$A$8:$AI$181, 22, FALSE)</f>
        <v>3.6690951958681812</v>
      </c>
      <c r="U24">
        <f>VLOOKUP($L24, '[3]BNP Borrowing Base PSLF JV (PIF'!$A$8:$AI$181, 23, FALSE)</f>
        <v>12.975206</v>
      </c>
      <c r="V24">
        <f>VLOOKUP($L24, '[3]BNP Borrowing Base PSLF JV (PIF'!$A$8:$AI$181, 32, FALSE)</f>
        <v>3.6690951958681812</v>
      </c>
      <c r="W24">
        <f>VLOOKUP($L24, '[3]BNP Borrowing Base PSLF JV (PIF'!$A$8:$AI$181, 34, FALSE)</f>
        <v>2.5409656397379172</v>
      </c>
    </row>
    <row r="25" spans="1:23">
      <c r="A25" s="141" t="s">
        <v>80</v>
      </c>
      <c r="B25">
        <v>14433539.99</v>
      </c>
      <c r="D25" s="141" t="s">
        <v>80</v>
      </c>
      <c r="E25" s="142">
        <v>14433539.99</v>
      </c>
      <c r="F25" t="str">
        <f t="shared" si="1"/>
        <v xml:space="preserve">Dr. Squatch, LLC </v>
      </c>
      <c r="I25" t="s">
        <v>475</v>
      </c>
      <c r="J25" t="str">
        <f>+VLOOKUP(K25,'[2]Sheet2 (2)'!$G$1:$H$73, 2, FALSE)</f>
        <v>GGG Midco LLC</v>
      </c>
      <c r="K25" t="s">
        <v>475</v>
      </c>
      <c r="L25" t="s">
        <v>475</v>
      </c>
      <c r="M25" s="142">
        <f t="shared" si="2"/>
        <v>6578437.7699999996</v>
      </c>
      <c r="N25" s="142">
        <f>VLOOKUP(K25, 'Loan List '!$A$6:$H$82, 8, FALSE)</f>
        <v>6578437.7699999996</v>
      </c>
      <c r="O25" s="142">
        <f>VLOOKUP(I25, Sheet2!$A$1:$D$78, 4, FALSE)</f>
        <v>6578437.7699999996</v>
      </c>
      <c r="P25" s="213">
        <f t="shared" si="3"/>
        <v>0</v>
      </c>
      <c r="Q25" s="214">
        <f>VLOOKUP(I25, Sheet2!$A$1:$E$78, 5, FALSE)</f>
        <v>9.1839322295053302E-2</v>
      </c>
      <c r="R25" s="215">
        <f>VLOOKUP($L25, '[3]BNP Borrowing Base PSLF JV (PIF'!$A$8:$AI$181, 11, FALSE)</f>
        <v>0.05</v>
      </c>
      <c r="S25" s="216">
        <f>VLOOKUP($L25, '[3]BNP Borrowing Base PSLF JV (PIF'!$A$8:$AI$181, 20, FALSE)</f>
        <v>45716</v>
      </c>
      <c r="T25">
        <f>VLOOKUP($L25, '[3]BNP Borrowing Base PSLF JV (PIF'!$A$8:$AI$181, 22, FALSE)</f>
        <v>3.5049196073431927</v>
      </c>
      <c r="U25">
        <f>VLOOKUP($L25, '[3]BNP Borrowing Base PSLF JV (PIF'!$A$8:$AI$181, 23, FALSE)</f>
        <v>19.61</v>
      </c>
      <c r="V25">
        <f>VLOOKUP($L25, '[3]BNP Borrowing Base PSLF JV (PIF'!$A$8:$AI$181, 32, FALSE)</f>
        <v>3.872079219785824</v>
      </c>
      <c r="W25">
        <f>VLOOKUP($L25, '[3]BNP Borrowing Base PSLF JV (PIF'!$A$8:$AI$181, 34, FALSE)</f>
        <v>2.7619718309859156</v>
      </c>
    </row>
    <row r="26" spans="1:23">
      <c r="A26" s="141" t="s">
        <v>169</v>
      </c>
      <c r="B26">
        <v>5452662.1699999999</v>
      </c>
      <c r="D26" s="141" t="s">
        <v>169</v>
      </c>
      <c r="E26" s="142">
        <v>5452662.1699999999</v>
      </c>
      <c r="F26" t="str">
        <f t="shared" si="1"/>
        <v>EDS Buyers, LLC</v>
      </c>
      <c r="I26" t="s">
        <v>138</v>
      </c>
      <c r="J26" t="str">
        <f>+VLOOKUP(K26,'[2]Sheet2 (2)'!$G$1:$H$73, 2, FALSE)</f>
        <v>HEC Purchaser Corp.</v>
      </c>
      <c r="K26" t="s">
        <v>138</v>
      </c>
      <c r="L26" t="s">
        <v>476</v>
      </c>
      <c r="M26" s="142">
        <f t="shared" si="2"/>
        <v>1970075.18</v>
      </c>
      <c r="N26" s="142">
        <f>VLOOKUP(K26, 'Loan List '!$A$6:$H$82, 8, FALSE)</f>
        <v>1970075.18</v>
      </c>
      <c r="O26" s="142">
        <f>VLOOKUP(I26, Sheet2!$A$1:$D$78, 4, FALSE)</f>
        <v>1970075.18</v>
      </c>
      <c r="P26" s="213">
        <f t="shared" si="3"/>
        <v>0</v>
      </c>
      <c r="Q26" s="214">
        <f>VLOOKUP(I26, Sheet2!$A$1:$E$78, 5, FALSE)</f>
        <v>9.4027654131148622E-2</v>
      </c>
      <c r="R26" s="215">
        <f>VLOOKUP($L26, '[3]BNP Borrowing Base PSLF JV (PIF'!$A$8:$AI$181, 11, FALSE)</f>
        <v>5.5E-2</v>
      </c>
      <c r="S26" s="216">
        <f>VLOOKUP($L26, '[3]BNP Borrowing Base PSLF JV (PIF'!$A$8:$AI$181, 20, FALSE)</f>
        <v>45716</v>
      </c>
      <c r="T26">
        <f>VLOOKUP($L26, '[3]BNP Borrowing Base PSLF JV (PIF'!$A$8:$AI$181, 22, FALSE)</f>
        <v>3.9063921719251633</v>
      </c>
      <c r="U26">
        <f>VLOOKUP($L26, '[3]BNP Borrowing Base PSLF JV (PIF'!$A$8:$AI$181, 23, FALSE)</f>
        <v>58.283953036336797</v>
      </c>
      <c r="V26">
        <f>VLOOKUP($L26, '[3]BNP Borrowing Base PSLF JV (PIF'!$A$8:$AI$181, 32, FALSE)</f>
        <v>3.9063921719251633</v>
      </c>
      <c r="W26">
        <f>VLOOKUP($L26, '[3]BNP Borrowing Base PSLF JV (PIF'!$A$8:$AI$181, 34, FALSE)</f>
        <v>2.2577367015767793</v>
      </c>
    </row>
    <row r="27" spans="1:23">
      <c r="A27" s="141" t="s">
        <v>293</v>
      </c>
      <c r="B27">
        <v>995000</v>
      </c>
      <c r="D27" s="141" t="s">
        <v>293</v>
      </c>
      <c r="E27" s="142">
        <v>995000</v>
      </c>
      <c r="F27" t="str">
        <f t="shared" si="1"/>
        <v>Emergency Care Partners LLC</v>
      </c>
      <c r="I27" t="s">
        <v>175</v>
      </c>
      <c r="J27" t="str">
        <f>+VLOOKUP(K27,'[2]Sheet2 (2)'!$G$1:$H$73, 2, FALSE)</f>
        <v>Harris &amp; Co. LLC</v>
      </c>
      <c r="K27" t="s">
        <v>175</v>
      </c>
      <c r="L27" t="s">
        <v>477</v>
      </c>
      <c r="M27" s="142">
        <f t="shared" si="2"/>
        <v>8726327.4900000002</v>
      </c>
      <c r="N27" s="142">
        <f>VLOOKUP(K27, 'Loan List '!$A$6:$H$82, 8, FALSE)</f>
        <v>8726327.5</v>
      </c>
      <c r="O27" s="142">
        <f>VLOOKUP(I27, Sheet2!$A$1:$D$78, 4, FALSE)</f>
        <v>8726327.5</v>
      </c>
      <c r="P27" s="213">
        <f t="shared" si="3"/>
        <v>0</v>
      </c>
      <c r="Q27" s="214">
        <f>VLOOKUP(I27, Sheet2!$A$1:$E$78, 5, FALSE)</f>
        <v>9.1722795534781423E-2</v>
      </c>
      <c r="R27" s="215">
        <f>VLOOKUP($L27, '[3]BNP Borrowing Base PSLF JV (PIF'!$A$8:$AI$181, 11, FALSE)</f>
        <v>0.05</v>
      </c>
      <c r="S27" s="216">
        <f>VLOOKUP($L27, '[3]BNP Borrowing Base PSLF JV (PIF'!$A$8:$AI$181, 20, FALSE)</f>
        <v>45747</v>
      </c>
      <c r="T27">
        <f>VLOOKUP($L27, '[3]BNP Borrowing Base PSLF JV (PIF'!$A$8:$AI$181, 22, FALSE)</f>
        <v>3.6245034634450608</v>
      </c>
      <c r="U27">
        <f>VLOOKUP($L27, '[3]BNP Borrowing Base PSLF JV (PIF'!$A$8:$AI$181, 23, FALSE)</f>
        <v>30.461000000000002</v>
      </c>
      <c r="V27">
        <f>VLOOKUP($L27, '[3]BNP Borrowing Base PSLF JV (PIF'!$A$8:$AI$181, 32, FALSE)</f>
        <v>3.6245034634450608</v>
      </c>
      <c r="W27">
        <f>VLOOKUP($L27, '[3]BNP Borrowing Base PSLF JV (PIF'!$A$8:$AI$181, 34, FALSE)</f>
        <v>5.3721682942641173</v>
      </c>
    </row>
    <row r="28" spans="1:23">
      <c r="A28" s="141" t="s">
        <v>67</v>
      </c>
      <c r="B28">
        <v>1362351.39</v>
      </c>
      <c r="D28" s="141" t="s">
        <v>67</v>
      </c>
      <c r="E28" s="142">
        <v>1362351.39</v>
      </c>
      <c r="F28" t="str">
        <f t="shared" si="1"/>
        <v>Eval Home Health Solutions Intermediate, LLC</v>
      </c>
      <c r="I28" t="s">
        <v>478</v>
      </c>
      <c r="J28" t="str">
        <f>+VLOOKUP(K28,'[2]Sheet2 (2)'!$G$1:$H$73, 2, FALSE)</f>
        <v>HW Holdco LLC</v>
      </c>
      <c r="K28" t="s">
        <v>478</v>
      </c>
      <c r="L28" t="s">
        <v>478</v>
      </c>
      <c r="M28" s="142">
        <f t="shared" si="2"/>
        <v>7618243.3499999996</v>
      </c>
      <c r="N28" s="142">
        <f>VLOOKUP(K28, 'Loan List '!$A$6:$H$82, 8, FALSE)</f>
        <v>7618243.3600000003</v>
      </c>
      <c r="O28" s="142">
        <f>VLOOKUP(I28, Sheet2!$A$1:$D$78, 4, FALSE)</f>
        <v>7618243.3600000003</v>
      </c>
      <c r="P28" s="213">
        <f t="shared" si="3"/>
        <v>0</v>
      </c>
      <c r="Q28" s="214">
        <f>VLOOKUP(I28, Sheet2!$A$1:$E$78, 5, FALSE)</f>
        <v>0.1014780750335388</v>
      </c>
      <c r="R28" s="215">
        <f>VLOOKUP($L28, '[3]BNP Borrowing Base PSLF JV (PIF'!$A$8:$AI$181, 11, FALSE)</f>
        <v>0.05</v>
      </c>
      <c r="S28" s="216">
        <f>VLOOKUP($L28, '[3]BNP Borrowing Base PSLF JV (PIF'!$A$8:$AI$181, 20, FALSE)</f>
        <v>45716</v>
      </c>
      <c r="T28">
        <f>VLOOKUP($L28, '[3]BNP Borrowing Base PSLF JV (PIF'!$A$8:$AI$181, 22, FALSE)</f>
        <v>3.0055761763850639</v>
      </c>
      <c r="U28">
        <f>VLOOKUP($L28, '[3]BNP Borrowing Base PSLF JV (PIF'!$A$8:$AI$181, 23, FALSE)</f>
        <v>58.463000000000001</v>
      </c>
      <c r="V28">
        <f>VLOOKUP($L28, '[3]BNP Borrowing Base PSLF JV (PIF'!$A$8:$AI$181, 32, FALSE)</f>
        <v>3.0055761763850639</v>
      </c>
      <c r="W28">
        <f>VLOOKUP($L28, '[3]BNP Borrowing Base PSLF JV (PIF'!$A$8:$AI$181, 34, FALSE)</f>
        <v>2.5529694323144105</v>
      </c>
    </row>
    <row r="29" spans="1:23">
      <c r="A29" s="141" t="s">
        <v>160</v>
      </c>
      <c r="B29">
        <v>6578437.7699999996</v>
      </c>
      <c r="D29" s="141" t="s">
        <v>160</v>
      </c>
      <c r="E29" s="142">
        <v>6578437.7699999996</v>
      </c>
      <c r="F29" t="str">
        <f t="shared" si="1"/>
        <v>GGG Midco, LLC</v>
      </c>
      <c r="I29" t="s">
        <v>479</v>
      </c>
      <c r="J29" t="str">
        <f>+VLOOKUP(K29,'[2]Sheet2 (2)'!$G$1:$H$73, 2, FALSE)</f>
        <v>Infinity Home Services Holdco Inc</v>
      </c>
      <c r="K29" t="s">
        <v>479</v>
      </c>
      <c r="L29" t="s">
        <v>479</v>
      </c>
      <c r="M29" s="142">
        <f t="shared" si="2"/>
        <v>5118399.2300000004</v>
      </c>
      <c r="N29" s="142">
        <f>VLOOKUP(K29, 'Loan List '!$A$6:$H$82, 8, FALSE)</f>
        <v>5118399.22</v>
      </c>
      <c r="O29" s="142">
        <f>VLOOKUP(I29, Sheet2!$A$1:$D$78, 4, FALSE)</f>
        <v>5118399.22</v>
      </c>
      <c r="P29" s="213">
        <f t="shared" si="3"/>
        <v>0</v>
      </c>
      <c r="Q29" s="214">
        <f>VLOOKUP(I29, Sheet2!$A$1:$E$78, 5, FALSE)</f>
        <v>9.7991999999999996E-2</v>
      </c>
      <c r="R29" s="215">
        <f>VLOOKUP($L29, '[3]BNP Borrowing Base PSLF JV (PIF'!$A$8:$AI$181, 11, FALSE)</f>
        <v>6.7500000000000004E-2</v>
      </c>
      <c r="S29" s="216">
        <f>VLOOKUP($L29, '[3]BNP Borrowing Base PSLF JV (PIF'!$A$8:$AI$181, 20, FALSE)</f>
        <v>45716</v>
      </c>
      <c r="T29">
        <f>VLOOKUP($L29, '[3]BNP Borrowing Base PSLF JV (PIF'!$A$8:$AI$181, 22, FALSE)</f>
        <v>5.1442628656404734</v>
      </c>
      <c r="U29">
        <f>VLOOKUP($L29, '[3]BNP Borrowing Base PSLF JV (PIF'!$A$8:$AI$181, 23, FALSE)</f>
        <v>63.210999999999999</v>
      </c>
      <c r="V29">
        <f>VLOOKUP($L29, '[3]BNP Borrowing Base PSLF JV (PIF'!$A$8:$AI$181, 32, FALSE)</f>
        <v>5.1442628656404734</v>
      </c>
      <c r="W29">
        <f>VLOOKUP($L29, '[3]BNP Borrowing Base PSLF JV (PIF'!$A$8:$AI$181, 34, FALSE)</f>
        <v>2.0660565451871222</v>
      </c>
    </row>
    <row r="30" spans="1:23">
      <c r="A30" s="141" t="s">
        <v>175</v>
      </c>
      <c r="B30">
        <v>8726327.4900000002</v>
      </c>
      <c r="D30" s="141" t="s">
        <v>175</v>
      </c>
      <c r="E30" s="142">
        <v>8726327.4900000002</v>
      </c>
      <c r="F30" t="str">
        <f t="shared" si="1"/>
        <v>Harris &amp; Co. LLC</v>
      </c>
      <c r="I30" t="s">
        <v>480</v>
      </c>
      <c r="J30" t="str">
        <f>+VLOOKUP(K30,'[2]Sheet2 (2)'!$G$1:$H$73, 2, FALSE)</f>
        <v>Infolinks Media Buyco LLC</v>
      </c>
      <c r="K30" t="s">
        <v>481</v>
      </c>
      <c r="L30" t="s">
        <v>481</v>
      </c>
      <c r="M30" s="142">
        <f t="shared" si="2"/>
        <v>2051982.08</v>
      </c>
      <c r="N30" s="142">
        <f>VLOOKUP(K30, 'Loan List '!$A$6:$H$82, 8, FALSE)</f>
        <v>2051982.1099999999</v>
      </c>
      <c r="O30" s="142">
        <f>VLOOKUP(I30, Sheet2!$A$1:$D$78, 4, FALSE)</f>
        <v>2051982.1099999999</v>
      </c>
      <c r="P30" s="213">
        <f t="shared" si="3"/>
        <v>0</v>
      </c>
      <c r="Q30" s="214">
        <f>VLOOKUP(I30, Sheet2!$A$1:$E$78, 5, FALSE)</f>
        <v>9.7619943058001854E-2</v>
      </c>
      <c r="R30" s="215">
        <f>VLOOKUP($L30, '[3]BNP Borrowing Base PSLF JV (PIF'!$A$8:$AI$181, 11, FALSE)</f>
        <v>5.5E-2</v>
      </c>
      <c r="S30" s="216">
        <f>VLOOKUP($L30, '[3]BNP Borrowing Base PSLF JV (PIF'!$A$8:$AI$181, 20, FALSE)</f>
        <v>45716</v>
      </c>
      <c r="T30">
        <f>VLOOKUP($L30, '[3]BNP Borrowing Base PSLF JV (PIF'!$A$8:$AI$181, 22, FALSE)</f>
        <v>3.2535092072297247</v>
      </c>
      <c r="U30">
        <f>VLOOKUP($L30, '[3]BNP Borrowing Base PSLF JV (PIF'!$A$8:$AI$181, 23, FALSE)</f>
        <v>49.399276289999989</v>
      </c>
      <c r="V30">
        <f>VLOOKUP($L30, '[3]BNP Borrowing Base PSLF JV (PIF'!$A$8:$AI$181, 32, FALSE)</f>
        <v>3.2535092072297247</v>
      </c>
      <c r="W30">
        <f>VLOOKUP($L30, '[3]BNP Borrowing Base PSLF JV (PIF'!$A$8:$AI$181, 34, FALSE)</f>
        <v>3.0077525018838136</v>
      </c>
    </row>
    <row r="31" spans="1:23">
      <c r="A31" s="141" t="s">
        <v>138</v>
      </c>
      <c r="B31">
        <v>1970075.18</v>
      </c>
      <c r="D31" s="141" t="s">
        <v>138</v>
      </c>
      <c r="E31" s="142">
        <v>1970075.18</v>
      </c>
      <c r="F31" t="str">
        <f t="shared" si="1"/>
        <v>HEC Purchaser Corp.</v>
      </c>
      <c r="I31" t="s">
        <v>482</v>
      </c>
      <c r="J31" t="str">
        <f>+VLOOKUP(K31,'[2]Sheet2 (2)'!$G$1:$H$73, 2, FALSE)</f>
        <v>Inventus Power Inc</v>
      </c>
      <c r="K31" t="s">
        <v>483</v>
      </c>
      <c r="L31" t="s">
        <v>483</v>
      </c>
      <c r="M31" s="142">
        <f t="shared" si="2"/>
        <v>1975484.48</v>
      </c>
      <c r="N31" s="142">
        <f>VLOOKUP(K31, 'Loan List '!$A$6:$H$82, 8, FALSE)</f>
        <v>1975484.48</v>
      </c>
      <c r="O31" s="142">
        <f>VLOOKUP(I31, Sheet2!$A$1:$D$78, 4, FALSE)</f>
        <v>1975484.48</v>
      </c>
      <c r="P31" s="213">
        <f t="shared" si="3"/>
        <v>0</v>
      </c>
      <c r="Q31" s="214">
        <f>VLOOKUP(I31, Sheet2!$A$1:$E$78, 5, FALSE)</f>
        <v>0.119394</v>
      </c>
      <c r="R31" s="215">
        <f>VLOOKUP($L31, '[3]BNP Borrowing Base PSLF JV (PIF'!$A$8:$AI$181, 11, FALSE)</f>
        <v>7.4999999999999997E-2</v>
      </c>
      <c r="S31" s="216">
        <f>VLOOKUP($L31, '[3]BNP Borrowing Base PSLF JV (PIF'!$A$8:$AI$181, 20, FALSE)</f>
        <v>45716</v>
      </c>
      <c r="T31">
        <f>VLOOKUP($L31, '[3]BNP Borrowing Base PSLF JV (PIF'!$A$8:$AI$181, 22, FALSE)</f>
        <v>4.9069445238279146</v>
      </c>
      <c r="U31">
        <f>VLOOKUP($L31, '[3]BNP Borrowing Base PSLF JV (PIF'!$A$8:$AI$181, 23, FALSE)</f>
        <v>51.787999999999997</v>
      </c>
      <c r="V31">
        <f>VLOOKUP($L31, '[3]BNP Borrowing Base PSLF JV (PIF'!$A$8:$AI$181, 32, FALSE)</f>
        <v>4.9069445238279146</v>
      </c>
      <c r="W31">
        <f>VLOOKUP($L31, '[3]BNP Borrowing Base PSLF JV (PIF'!$A$8:$AI$181, 34, FALSE)</f>
        <v>1.4563554555680538</v>
      </c>
    </row>
    <row r="32" spans="1:23">
      <c r="A32" s="141" t="s">
        <v>181</v>
      </c>
      <c r="B32">
        <v>9328396.7400000002</v>
      </c>
      <c r="D32" s="141" t="s">
        <v>181</v>
      </c>
      <c r="E32" s="142">
        <v>9328396.7400000002</v>
      </c>
      <c r="F32" t="str">
        <f t="shared" si="1"/>
        <v>Watterson</v>
      </c>
      <c r="I32" s="141" t="s">
        <v>484</v>
      </c>
      <c r="J32" t="str">
        <f>+VLOOKUP(K32,'[2]Sheet2 (2)'!$G$1:$H$73, 2, FALSE)</f>
        <v>Lash OpCo LLC</v>
      </c>
      <c r="K32" t="s">
        <v>484</v>
      </c>
      <c r="L32" t="s">
        <v>484</v>
      </c>
      <c r="M32" s="142">
        <f t="shared" si="2"/>
        <v>3328030.83</v>
      </c>
      <c r="N32" s="142">
        <f>VLOOKUP(K32, 'Loan List '!$A$6:$H$82, 8, FALSE)</f>
        <v>3328030.85</v>
      </c>
      <c r="O32" s="142">
        <f>VLOOKUP(I32, Sheet2!$A$1:$D$78, 4, FALSE)</f>
        <v>3328030.85</v>
      </c>
      <c r="P32" s="213">
        <f t="shared" si="3"/>
        <v>0</v>
      </c>
      <c r="Q32" s="214">
        <f>VLOOKUP(I32, Sheet2!$A$1:$E$78, 5, FALSE)</f>
        <v>0.11582121698183151</v>
      </c>
      <c r="R32" s="215">
        <f>VLOOKUP($L32, '[3]BNP Borrowing Base PSLF JV (PIF'!$A$8:$AI$181, 11, FALSE)</f>
        <v>7.0000000000000007E-2</v>
      </c>
      <c r="S32" s="216">
        <f>VLOOKUP($L32, '[3]BNP Borrowing Base PSLF JV (PIF'!$A$8:$AI$181, 20, FALSE)</f>
        <v>45716</v>
      </c>
      <c r="T32">
        <f>VLOOKUP($L32, '[3]BNP Borrowing Base PSLF JV (PIF'!$A$8:$AI$181, 22, FALSE)</f>
        <v>8.2594417660981527</v>
      </c>
      <c r="U32">
        <f>VLOOKUP($L32, '[3]BNP Borrowing Base PSLF JV (PIF'!$A$8:$AI$181, 23, FALSE)</f>
        <v>60.446582071593596</v>
      </c>
      <c r="V32">
        <f>VLOOKUP($L32, '[3]BNP Borrowing Base PSLF JV (PIF'!$A$8:$AI$181, 32, FALSE)</f>
        <v>8.2594417660981527</v>
      </c>
      <c r="W32">
        <f>VLOOKUP($L32, '[3]BNP Borrowing Base PSLF JV (PIF'!$A$8:$AI$181, 34, FALSE)</f>
        <v>0.91660285040263578</v>
      </c>
    </row>
    <row r="33" spans="1:23">
      <c r="A33" s="141" t="s">
        <v>106</v>
      </c>
      <c r="B33">
        <v>7618243.3499999996</v>
      </c>
      <c r="D33" s="141" t="s">
        <v>106</v>
      </c>
      <c r="E33" s="142">
        <v>7618243.3499999996</v>
      </c>
      <c r="F33" t="str">
        <f t="shared" si="1"/>
        <v>HW Holdco, LLC</v>
      </c>
      <c r="I33" t="s">
        <v>485</v>
      </c>
      <c r="J33" t="str">
        <f>+VLOOKUP(K33,'[2]Sheet2 (2)'!$G$1:$H$73, 2, FALSE)</f>
        <v>MDI Buyer Inc</v>
      </c>
      <c r="K33" t="s">
        <v>485</v>
      </c>
      <c r="L33" t="s">
        <v>486</v>
      </c>
      <c r="M33" s="142">
        <f t="shared" si="2"/>
        <v>4792248.26</v>
      </c>
      <c r="N33" s="142">
        <f>VLOOKUP(K33, 'Loan List '!$A$6:$H$82, 8, FALSE)</f>
        <v>4792248.26</v>
      </c>
      <c r="O33" s="142">
        <f>VLOOKUP(I33, Sheet2!$A$1:$D$78, 4, FALSE)</f>
        <v>4792248.26</v>
      </c>
      <c r="P33" s="213">
        <f t="shared" si="3"/>
        <v>0</v>
      </c>
      <c r="Q33" s="214">
        <f>VLOOKUP(I33, Sheet2!$A$1:$E$78, 5, FALSE)</f>
        <v>0.10117765876469158</v>
      </c>
      <c r="R33" s="215">
        <f>VLOOKUP($L33, '[3]BNP Borrowing Base PSLF JV (PIF'!$A$8:$AI$181, 11, FALSE)</f>
        <v>0.06</v>
      </c>
      <c r="S33" s="216">
        <f>VLOOKUP($L33, '[3]BNP Borrowing Base PSLF JV (PIF'!$A$8:$AI$181, 20, FALSE)</f>
        <v>45716</v>
      </c>
      <c r="T33">
        <f>VLOOKUP($L33, '[3]BNP Borrowing Base PSLF JV (PIF'!$A$8:$AI$181, 22, FALSE)</f>
        <v>5.1521666846024381</v>
      </c>
      <c r="U33">
        <f>VLOOKUP($L33, '[3]BNP Borrowing Base PSLF JV (PIF'!$A$8:$AI$181, 23, FALSE)</f>
        <v>34.693124628021437</v>
      </c>
      <c r="V33">
        <f>VLOOKUP($L33, '[3]BNP Borrowing Base PSLF JV (PIF'!$A$8:$AI$181, 32, FALSE)</f>
        <v>6.6898479932762607</v>
      </c>
      <c r="W33">
        <f>VLOOKUP($L33, '[3]BNP Borrowing Base PSLF JV (PIF'!$A$8:$AI$181, 34, FALSE)</f>
        <v>2.33</v>
      </c>
    </row>
    <row r="34" spans="1:23">
      <c r="A34" s="141" t="s">
        <v>191</v>
      </c>
      <c r="B34">
        <v>5118399.2300000004</v>
      </c>
      <c r="D34" s="141" t="s">
        <v>191</v>
      </c>
      <c r="E34" s="142">
        <v>5118399.2300000004</v>
      </c>
      <c r="F34" t="str">
        <f t="shared" si="1"/>
        <v>Infinity Home Services Holdco, Inc.</v>
      </c>
      <c r="I34" t="s">
        <v>487</v>
      </c>
      <c r="J34" t="str">
        <f>+VLOOKUP(K34,'[2]Sheet2 (2)'!$G$1:$H$73, 2, FALSE)</f>
        <v>Megawatt Acquisitionco Inc</v>
      </c>
      <c r="K34" t="s">
        <v>487</v>
      </c>
      <c r="L34" t="s">
        <v>487</v>
      </c>
      <c r="M34" s="142">
        <f t="shared" si="2"/>
        <v>4942556.4000000004</v>
      </c>
      <c r="N34" s="142">
        <f>VLOOKUP(K34, 'Loan List '!$A$6:$H$82, 8, FALSE)</f>
        <v>4942556.4000000004</v>
      </c>
      <c r="O34" s="142">
        <f>VLOOKUP(I34, Sheet2!$A$1:$D$78, 4, FALSE)</f>
        <v>4942556.4000000004</v>
      </c>
      <c r="P34" s="213">
        <f t="shared" si="3"/>
        <v>0</v>
      </c>
      <c r="Q34" s="214">
        <f>VLOOKUP(I34, Sheet2!$A$1:$E$78, 5, FALSE)</f>
        <v>9.799200000000001E-2</v>
      </c>
      <c r="R34" s="215">
        <f>VLOOKUP($L34, '[3]BNP Borrowing Base PSLF JV (PIF'!$A$8:$AI$181, 11, FALSE)</f>
        <v>5.2499999999999998E-2</v>
      </c>
      <c r="S34" s="216">
        <f>VLOOKUP($L34, '[3]BNP Borrowing Base PSLF JV (PIF'!$A$8:$AI$181, 20, FALSE)</f>
        <v>45716</v>
      </c>
      <c r="T34">
        <f>VLOOKUP($L34, '[3]BNP Borrowing Base PSLF JV (PIF'!$A$8:$AI$181, 22, FALSE)</f>
        <v>7.1829156010230184</v>
      </c>
      <c r="U34">
        <f>VLOOKUP($L34, '[3]BNP Borrowing Base PSLF JV (PIF'!$A$8:$AI$181, 23, FALSE)</f>
        <v>19.549999999999997</v>
      </c>
      <c r="V34">
        <f>VLOOKUP($L34, '[3]BNP Borrowing Base PSLF JV (PIF'!$A$8:$AI$181, 32, FALSE)</f>
        <v>7.1829156010230184</v>
      </c>
      <c r="W34">
        <f>VLOOKUP($L34, '[3]BNP Borrowing Base PSLF JV (PIF'!$A$8:$AI$181, 34, FALSE)</f>
        <v>1.2849162011173183</v>
      </c>
    </row>
    <row r="35" spans="1:23">
      <c r="A35" s="141" t="s">
        <v>109</v>
      </c>
      <c r="B35">
        <v>2051982.08</v>
      </c>
      <c r="D35" s="141" t="s">
        <v>109</v>
      </c>
      <c r="E35" s="142">
        <v>2051982.08</v>
      </c>
      <c r="F35" t="str">
        <f t="shared" si="1"/>
        <v>Infolinks</v>
      </c>
      <c r="I35" t="s">
        <v>488</v>
      </c>
      <c r="J35" t="str">
        <f>+VLOOKUP(K35,'[2]Sheet2 (2)'!$G$1:$H$73, 2, FALSE)</f>
        <v>Michael Baker International LLC</v>
      </c>
      <c r="K35" t="s">
        <v>488</v>
      </c>
      <c r="L35" t="s">
        <v>489</v>
      </c>
      <c r="M35" s="142">
        <f t="shared" si="2"/>
        <v>497493.74</v>
      </c>
      <c r="N35" s="142">
        <f>VLOOKUP(K35, 'Loan List '!$A$6:$H$82, 8, FALSE)</f>
        <v>497493.74</v>
      </c>
      <c r="O35" s="142">
        <f>VLOOKUP(I35, Sheet2!$A$1:$D$78, 4, FALSE)</f>
        <v>497493.74</v>
      </c>
      <c r="P35" s="213">
        <f t="shared" si="3"/>
        <v>0</v>
      </c>
      <c r="Q35" s="214">
        <f>VLOOKUP(I35, Sheet2!$A$1:$E$78, 5, FALSE)</f>
        <v>8.324899999999999E-2</v>
      </c>
      <c r="R35" s="215">
        <f>VLOOKUP($L35, '[3]BNP Borrowing Base PSLF JV (PIF'!$A$8:$AI$181, 11, FALSE)</f>
        <v>4.7500000000000001E-2</v>
      </c>
      <c r="S35" s="216">
        <f>VLOOKUP($L35, '[3]BNP Borrowing Base PSLF JV (PIF'!$A$8:$AI$181, 20, FALSE)</f>
        <v>45657</v>
      </c>
      <c r="T35">
        <f>VLOOKUP($L35, '[3]BNP Borrowing Base PSLF JV (PIF'!$A$8:$AI$181, 22, FALSE)</f>
        <v>3.7058168486454384</v>
      </c>
      <c r="U35">
        <f>VLOOKUP($L35, '[3]BNP Borrowing Base PSLF JV (PIF'!$A$8:$AI$181, 23, FALSE)</f>
        <v>175.11199999999999</v>
      </c>
      <c r="V35">
        <f>VLOOKUP($L35, '[3]BNP Borrowing Base PSLF JV (PIF'!$A$8:$AI$181, 32, FALSE)</f>
        <v>3.7058168486454384</v>
      </c>
      <c r="W35">
        <f>VLOOKUP($L35, '[3]BNP Borrowing Base PSLF JV (PIF'!$A$8:$AI$181, 34, FALSE)</f>
        <v>3.0605425055928408</v>
      </c>
    </row>
    <row r="36" spans="1:23">
      <c r="A36" s="141" t="s">
        <v>312</v>
      </c>
      <c r="B36">
        <v>5985000</v>
      </c>
      <c r="D36" s="141" t="s">
        <v>312</v>
      </c>
      <c r="E36" s="142">
        <v>5985000</v>
      </c>
      <c r="F36" t="str">
        <f t="shared" si="1"/>
        <v>RealmOne</v>
      </c>
      <c r="I36" t="s">
        <v>490</v>
      </c>
      <c r="J36" t="str">
        <f>+VLOOKUP(K36,'[2]Sheet2 (2)'!$G$1:$H$73, 2, FALSE)</f>
        <v>Municipal Emergency Services Inc</v>
      </c>
      <c r="K36" t="s">
        <v>490</v>
      </c>
      <c r="L36" t="s">
        <v>491</v>
      </c>
      <c r="M36" s="142">
        <f t="shared" si="2"/>
        <v>2499911.11</v>
      </c>
      <c r="N36" s="142">
        <f>VLOOKUP(K36, 'Loan List '!$A$6:$H$82, 8, FALSE)</f>
        <v>2499911.11</v>
      </c>
      <c r="O36" s="142">
        <f>VLOOKUP(I36, Sheet2!$A$1:$D$78, 4, FALSE)</f>
        <v>2499911.11</v>
      </c>
      <c r="P36" s="213">
        <f t="shared" si="3"/>
        <v>0</v>
      </c>
      <c r="Q36" s="214">
        <f>VLOOKUP(I36, Sheet2!$A$1:$E$78, 5, FALSE)</f>
        <v>9.4365988141450974E-2</v>
      </c>
      <c r="R36" s="215">
        <f>VLOOKUP($L36, '[3]BNP Borrowing Base PSLF JV (PIF'!$A$8:$AI$181, 11, FALSE)</f>
        <v>0.05</v>
      </c>
      <c r="S36" s="216">
        <f>VLOOKUP($L36, '[3]BNP Borrowing Base PSLF JV (PIF'!$A$8:$AI$181, 20, FALSE)</f>
        <v>45747</v>
      </c>
      <c r="T36">
        <f>VLOOKUP($L36, '[3]BNP Borrowing Base PSLF JV (PIF'!$A$8:$AI$181, 22, FALSE)</f>
        <v>3.1731161297419259</v>
      </c>
      <c r="U36">
        <f>VLOOKUP($L36, '[3]BNP Borrowing Base PSLF JV (PIF'!$A$8:$AI$181, 23, FALSE)</f>
        <v>41.47227067</v>
      </c>
      <c r="V36">
        <f>VLOOKUP($L36, '[3]BNP Borrowing Base PSLF JV (PIF'!$A$8:$AI$181, 32, FALSE)</f>
        <v>3.1731161297419259</v>
      </c>
      <c r="W36">
        <f>VLOOKUP($L36, '[3]BNP Borrowing Base PSLF JV (PIF'!$A$8:$AI$181, 34, FALSE)</f>
        <v>3.2173760968793781</v>
      </c>
    </row>
    <row r="37" spans="1:23">
      <c r="A37" s="141" t="s">
        <v>112</v>
      </c>
      <c r="B37">
        <v>1975484.48</v>
      </c>
      <c r="D37" s="141" t="s">
        <v>112</v>
      </c>
      <c r="E37" s="142">
        <v>1975484.48</v>
      </c>
      <c r="F37" t="str">
        <f t="shared" si="1"/>
        <v xml:space="preserve">Inventus Power Inc.  </v>
      </c>
      <c r="I37" t="s">
        <v>492</v>
      </c>
      <c r="J37" t="str">
        <f>+VLOOKUP(K37,'[2]Sheet2 (2)'!$G$1:$H$73, 2, FALSE)</f>
        <v>MOREgroup Holdings Inc</v>
      </c>
      <c r="K37" t="s">
        <v>492</v>
      </c>
      <c r="L37" t="s">
        <v>492</v>
      </c>
      <c r="M37" s="142">
        <f t="shared" si="2"/>
        <v>4252707.1500000004</v>
      </c>
      <c r="N37" s="142">
        <f>VLOOKUP(K37, 'Loan List '!$A$6:$H$82, 8, FALSE)</f>
        <v>4252707.1500000004</v>
      </c>
      <c r="O37" s="142">
        <f>VLOOKUP(I37, Sheet2!$A$1:$D$78, 4, FALSE)</f>
        <v>4252707.1500000004</v>
      </c>
      <c r="P37" s="213">
        <f t="shared" si="3"/>
        <v>0</v>
      </c>
      <c r="Q37" s="214">
        <f>VLOOKUP(I37, Sheet2!$A$1:$E$78, 5, FALSE)</f>
        <v>9.4896070352681799E-2</v>
      </c>
      <c r="R37" s="215">
        <f>VLOOKUP($L37, '[3]BNP Borrowing Base PSLF JV (PIF'!$A$8:$AI$181, 11, FALSE)</f>
        <v>5.7500000000000002E-2</v>
      </c>
      <c r="S37" s="216">
        <f>VLOOKUP($L37, '[3]BNP Borrowing Base PSLF JV (PIF'!$A$8:$AI$181, 20, FALSE)</f>
        <v>45716</v>
      </c>
      <c r="T37">
        <f>VLOOKUP($L37, '[3]BNP Borrowing Base PSLF JV (PIF'!$A$8:$AI$181, 22, FALSE)</f>
        <v>2.4687665223225252</v>
      </c>
      <c r="U37">
        <f>VLOOKUP($L37, '[3]BNP Borrowing Base PSLF JV (PIF'!$A$8:$AI$181, 23, FALSE)</f>
        <v>75.909447700100202</v>
      </c>
      <c r="V37">
        <f>VLOOKUP($L37, '[3]BNP Borrowing Base PSLF JV (PIF'!$A$8:$AI$181, 32, FALSE)</f>
        <v>2.4687665223225252</v>
      </c>
      <c r="W37">
        <f>VLOOKUP($L37, '[3]BNP Borrowing Base PSLF JV (PIF'!$A$8:$AI$181, 34, FALSE)</f>
        <v>2.8937389344072426</v>
      </c>
    </row>
    <row r="38" spans="1:23">
      <c r="A38" s="141" t="s">
        <v>203</v>
      </c>
      <c r="B38">
        <v>3328030.83</v>
      </c>
      <c r="D38" s="141" t="s">
        <v>203</v>
      </c>
      <c r="E38" s="142">
        <v>3328030.83</v>
      </c>
      <c r="F38" t="str">
        <f t="shared" si="1"/>
        <v>Lash OpCo, LLC</v>
      </c>
      <c r="I38" t="s">
        <v>493</v>
      </c>
      <c r="J38" t="str">
        <f>+VLOOKUP(K38,'[2]Sheet2 (2)'!$G$1:$H$73, 2, FALSE)</f>
        <v>NFS - CFP Holdings LLC</v>
      </c>
      <c r="K38" t="s">
        <v>494</v>
      </c>
      <c r="L38" t="s">
        <v>495</v>
      </c>
      <c r="M38" s="142">
        <f t="shared" si="2"/>
        <v>3990869.08</v>
      </c>
      <c r="N38" s="142">
        <f>VLOOKUP(K38, 'Loan List '!$A$6:$H$82, 8, FALSE)</f>
        <v>3990869.08</v>
      </c>
      <c r="O38" s="142">
        <f>VLOOKUP(I38, Sheet2!$A$1:$D$78, 4, FALSE)</f>
        <v>3990869.08</v>
      </c>
      <c r="P38" s="213">
        <f t="shared" si="3"/>
        <v>0</v>
      </c>
      <c r="Q38" s="214">
        <f>VLOOKUP(I38, Sheet2!$A$1:$E$78, 5, FALSE)</f>
        <v>9.3058323318110495E-2</v>
      </c>
      <c r="R38" s="215">
        <f>VLOOKUP($L38, '[3]BNP Borrowing Base PSLF JV (PIF'!$A$8:$AI$181, 11, FALSE)</f>
        <v>4.7500000000000001E-2</v>
      </c>
      <c r="S38" s="216">
        <f>VLOOKUP($L38, '[3]BNP Borrowing Base PSLF JV (PIF'!$A$8:$AI$181, 20, FALSE)</f>
        <v>45716</v>
      </c>
      <c r="T38">
        <f>VLOOKUP($L38, '[3]BNP Borrowing Base PSLF JV (PIF'!$A$8:$AI$181, 22, FALSE)</f>
        <v>3.5008781388217192</v>
      </c>
      <c r="U38">
        <f>VLOOKUP($L38, '[3]BNP Borrowing Base PSLF JV (PIF'!$A$8:$AI$181, 23, FALSE)</f>
        <v>22.574012960932315</v>
      </c>
      <c r="V38">
        <f>VLOOKUP($L38, '[3]BNP Borrowing Base PSLF JV (PIF'!$A$8:$AI$181, 32, FALSE)</f>
        <v>3.5008781388217192</v>
      </c>
      <c r="W38">
        <f>VLOOKUP($L38, '[3]BNP Borrowing Base PSLF JV (PIF'!$A$8:$AI$181, 34, FALSE)</f>
        <v>2.8574699950547231</v>
      </c>
    </row>
    <row r="39" spans="1:23">
      <c r="A39" s="141" t="s">
        <v>335</v>
      </c>
      <c r="B39">
        <v>300766.90999999997</v>
      </c>
      <c r="D39" s="141" t="s">
        <v>335</v>
      </c>
      <c r="E39" s="142">
        <v>300766.90999999997</v>
      </c>
      <c r="F39" t="str">
        <f t="shared" si="1"/>
        <v>LAV Gear Holdings, Inc.</v>
      </c>
      <c r="I39" t="s">
        <v>496</v>
      </c>
      <c r="J39" t="str">
        <f>+VLOOKUP(K39,'[2]Sheet2 (2)'!$G$1:$H$73, 2, FALSE)</f>
        <v>Nora Acquisition LLC</v>
      </c>
      <c r="K39" t="s">
        <v>497</v>
      </c>
      <c r="L39" t="s">
        <v>497</v>
      </c>
      <c r="M39" s="142">
        <f t="shared" si="2"/>
        <v>3777823.24</v>
      </c>
      <c r="N39" s="142">
        <f>VLOOKUP(K39, 'Loan List '!$A$6:$H$82, 8, FALSE)</f>
        <v>3777823.24</v>
      </c>
      <c r="O39" s="142">
        <f>VLOOKUP(I39, Sheet2!$A$1:$D$78, 4, FALSE)</f>
        <v>3777823.24</v>
      </c>
      <c r="P39" s="213">
        <f t="shared" si="3"/>
        <v>0</v>
      </c>
      <c r="Q39" s="214">
        <f>VLOOKUP(I39, Sheet2!$A$1:$E$78, 5, FALSE)</f>
        <v>0.10439355728346029</v>
      </c>
      <c r="R39" s="215">
        <f>VLOOKUP($L39, '[3]BNP Borrowing Base PSLF JV (PIF'!$A$8:$AI$181, 11, FALSE)</f>
        <v>6.25E-2</v>
      </c>
      <c r="S39" s="216">
        <f>VLOOKUP($L39, '[3]BNP Borrowing Base PSLF JV (PIF'!$A$8:$AI$181, 20, FALSE)</f>
        <v>45716</v>
      </c>
      <c r="T39">
        <f>VLOOKUP($L39, '[3]BNP Borrowing Base PSLF JV (PIF'!$A$8:$AI$181, 22, FALSE)</f>
        <v>5.7973625052135462</v>
      </c>
      <c r="U39">
        <f>VLOOKUP($L39, '[3]BNP Borrowing Base PSLF JV (PIF'!$A$8:$AI$181, 23, FALSE)</f>
        <v>13.08931194</v>
      </c>
      <c r="V39">
        <f>VLOOKUP($L39, '[3]BNP Borrowing Base PSLF JV (PIF'!$A$8:$AI$181, 32, FALSE)</f>
        <v>6.1551500842297129</v>
      </c>
      <c r="W39">
        <f>VLOOKUP($L39, '[3]BNP Borrowing Base PSLF JV (PIF'!$A$8:$AI$181, 34, FALSE)</f>
        <v>1.3657583189681013</v>
      </c>
    </row>
    <row r="40" spans="1:23">
      <c r="A40" s="141" t="s">
        <v>210</v>
      </c>
      <c r="B40">
        <v>2506425.7000000002</v>
      </c>
      <c r="D40" s="141" t="s">
        <v>210</v>
      </c>
      <c r="E40" s="142">
        <v>2506425.7000000002</v>
      </c>
      <c r="F40" t="str">
        <f t="shared" si="1"/>
        <v>Centauri</v>
      </c>
      <c r="I40" t="s">
        <v>498</v>
      </c>
      <c r="J40" t="str">
        <f>+VLOOKUP(K40,'[2]Sheet2 (2)'!$G$1:$H$73, 2, FALSE)</f>
        <v>Omnia Exterior Solutions LLC</v>
      </c>
      <c r="K40" t="s">
        <v>498</v>
      </c>
      <c r="L40" t="s">
        <v>498</v>
      </c>
      <c r="M40" s="142">
        <f t="shared" si="2"/>
        <v>7136692.4000000004</v>
      </c>
      <c r="N40" s="142">
        <f>VLOOKUP(K40, 'Loan List '!$A$6:$H$82, 8, FALSE)</f>
        <v>7136692.4000000004</v>
      </c>
      <c r="O40" s="142">
        <f>VLOOKUP(I40, Sheet2!$A$1:$D$78, 4, FALSE)</f>
        <v>7136692.4000000004</v>
      </c>
      <c r="P40" s="213">
        <f t="shared" si="3"/>
        <v>0</v>
      </c>
      <c r="Q40" s="214">
        <f>VLOOKUP(I40, Sheet2!$A$1:$E$78, 5, FALSE)</f>
        <v>9.7410164698209595E-2</v>
      </c>
      <c r="R40" s="215">
        <f>VLOOKUP($L40, '[3]BNP Borrowing Base PSLF JV (PIF'!$A$8:$AI$181, 11, FALSE)</f>
        <v>5.5E-2</v>
      </c>
      <c r="S40" s="216">
        <f>VLOOKUP($L40, '[3]BNP Borrowing Base PSLF JV (PIF'!$A$8:$AI$181, 20, FALSE)</f>
        <v>45716</v>
      </c>
      <c r="T40">
        <f>VLOOKUP($L40, '[3]BNP Borrowing Base PSLF JV (PIF'!$A$8:$AI$181, 22, FALSE)</f>
        <v>3.1991927162280489</v>
      </c>
      <c r="U40">
        <f>VLOOKUP($L40, '[3]BNP Borrowing Base PSLF JV (PIF'!$A$8:$AI$181, 23, FALSE)</f>
        <v>38.156765280437824</v>
      </c>
      <c r="V40">
        <f>VLOOKUP($L40, '[3]BNP Borrowing Base PSLF JV (PIF'!$A$8:$AI$181, 32, FALSE)</f>
        <v>3.1991927162280489</v>
      </c>
      <c r="W40">
        <f>VLOOKUP($L40, '[3]BNP Borrowing Base PSLF JV (PIF'!$A$8:$AI$181, 34, FALSE)</f>
        <v>3.5474548008472708</v>
      </c>
    </row>
    <row r="41" spans="1:23">
      <c r="A41" s="141" t="s">
        <v>316</v>
      </c>
      <c r="B41">
        <v>20000000</v>
      </c>
      <c r="D41" s="141" t="s">
        <v>316</v>
      </c>
      <c r="E41" s="142">
        <v>20000000</v>
      </c>
      <c r="F41" t="str">
        <f t="shared" si="1"/>
        <v>Marketplace</v>
      </c>
      <c r="I41" t="s">
        <v>499</v>
      </c>
      <c r="J41" t="str">
        <f>+VLOOKUP(K41,'[2]Sheet2 (2)'!$G$1:$H$73, 2, FALSE)</f>
        <v>Par Excellence Holdings Inc.</v>
      </c>
      <c r="K41" t="s">
        <v>500</v>
      </c>
      <c r="L41" t="s">
        <v>500</v>
      </c>
      <c r="M41" s="142">
        <f t="shared" si="2"/>
        <v>997500</v>
      </c>
      <c r="N41" s="142">
        <f>VLOOKUP(K41, 'Loan List '!$A$6:$H$82, 8, FALSE)</f>
        <v>997500</v>
      </c>
      <c r="O41" s="142">
        <f>VLOOKUP(I41, Sheet2!$A$1:$D$78, 4, FALSE)</f>
        <v>997500</v>
      </c>
      <c r="P41" s="213">
        <f t="shared" si="3"/>
        <v>0</v>
      </c>
      <c r="Q41" s="214">
        <f>VLOOKUP(I41, Sheet2!$A$1:$E$78, 5, FALSE)</f>
        <v>9.1569200000000003E-2</v>
      </c>
      <c r="R41" s="215">
        <f>VLOOKUP($L41, '[3]BNP Borrowing Base PSLF JV (PIF'!$A$8:$AI$181, 11, FALSE)</f>
        <v>0.05</v>
      </c>
      <c r="S41" s="216">
        <f>VLOOKUP($L41, '[3]BNP Borrowing Base PSLF JV (PIF'!$A$8:$AI$181, 20, FALSE)</f>
        <v>45716</v>
      </c>
      <c r="T41">
        <f>VLOOKUP($L41, '[3]BNP Borrowing Base PSLF JV (PIF'!$A$8:$AI$181, 22, FALSE)</f>
        <v>4.088542782591845</v>
      </c>
      <c r="U41">
        <f>VLOOKUP($L41, '[3]BNP Borrowing Base PSLF JV (PIF'!$A$8:$AI$181, 23, FALSE)</f>
        <v>38.594190739999995</v>
      </c>
      <c r="V41">
        <f>VLOOKUP($L41, '[3]BNP Borrowing Base PSLF JV (PIF'!$A$8:$AI$181, 32, FALSE)</f>
        <v>4.088542782591845</v>
      </c>
      <c r="W41">
        <f>VLOOKUP($L41, '[3]BNP Borrowing Base PSLF JV (PIF'!$A$8:$AI$181, 34, FALSE)</f>
        <v>2.4899477896774189</v>
      </c>
    </row>
    <row r="42" spans="1:23">
      <c r="A42" s="141" t="s">
        <v>233</v>
      </c>
      <c r="B42">
        <v>4792248.26</v>
      </c>
      <c r="D42" s="141" t="s">
        <v>233</v>
      </c>
      <c r="E42" s="142">
        <v>4792248.26</v>
      </c>
      <c r="F42" t="str">
        <f t="shared" si="1"/>
        <v>MDI Buyer Inc.</v>
      </c>
      <c r="I42" t="s">
        <v>501</v>
      </c>
      <c r="J42" t="str">
        <f>+VLOOKUP(K42,'[2]Sheet2 (2)'!$G$1:$H$73, 2, FALSE)</f>
        <v>Pink Lily Holdings LLC</v>
      </c>
      <c r="K42" t="s">
        <v>501</v>
      </c>
      <c r="L42" t="s">
        <v>501</v>
      </c>
      <c r="M42" s="142">
        <f t="shared" si="2"/>
        <v>8459233.0199999996</v>
      </c>
      <c r="N42" s="142">
        <f>VLOOKUP(K42, 'Loan List '!$A$6:$H$82, 8, FALSE)</f>
        <v>8459233.0399999991</v>
      </c>
      <c r="O42" s="142">
        <f>VLOOKUP(I42, Sheet2!$A$1:$D$78, 4, FALSE)</f>
        <v>8459233.0399999991</v>
      </c>
      <c r="P42" s="213">
        <f t="shared" si="3"/>
        <v>0</v>
      </c>
      <c r="Q42" s="214">
        <f>VLOOKUP(I42, Sheet2!$A$1:$E$78, 5, FALSE)</f>
        <v>0.11501599999999999</v>
      </c>
      <c r="R42" s="215">
        <f>VLOOKUP($L42, '[3]BNP Borrowing Base PSLF JV (PIF'!$A$8:$AI$181, 11, FALSE)</f>
        <v>6.5000000000000002E-2</v>
      </c>
      <c r="S42" s="216">
        <f>VLOOKUP($L42, '[3]BNP Borrowing Base PSLF JV (PIF'!$A$8:$AI$181, 20, FALSE)</f>
        <v>45716</v>
      </c>
      <c r="T42" t="str">
        <f>VLOOKUP($L42, '[3]BNP Borrowing Base PSLF JV (PIF'!$A$8:$AI$181, 22, FALSE)</f>
        <v>NM</v>
      </c>
      <c r="U42">
        <f>VLOOKUP($L42, '[3]BNP Borrowing Base PSLF JV (PIF'!$A$8:$AI$181, 23, FALSE)</f>
        <v>-3.6486159999999996</v>
      </c>
      <c r="V42">
        <f>VLOOKUP($L42, '[3]BNP Borrowing Base PSLF JV (PIF'!$A$8:$AI$181, 32, FALSE)</f>
        <v>-18.259800428436428</v>
      </c>
      <c r="W42">
        <f>VLOOKUP($L42, '[3]BNP Borrowing Base PSLF JV (PIF'!$A$8:$AI$181, 34, FALSE)</f>
        <v>-0.39253534158149539</v>
      </c>
    </row>
    <row r="43" spans="1:23">
      <c r="A43" s="141" t="s">
        <v>128</v>
      </c>
      <c r="B43">
        <v>3780604.54</v>
      </c>
      <c r="D43" s="141" t="s">
        <v>128</v>
      </c>
      <c r="E43" s="142">
        <v>3780604.54</v>
      </c>
      <c r="F43" t="str">
        <f t="shared" si="1"/>
        <v>Comprehensive Rehab Consultants</v>
      </c>
      <c r="I43" t="s">
        <v>502</v>
      </c>
      <c r="J43" t="str">
        <f>+VLOOKUP(K43,'[2]Sheet2 (2)'!$G$1:$H$73, 2, FALSE)</f>
        <v>Radius Aerospace Inc</v>
      </c>
      <c r="K43" t="s">
        <v>503</v>
      </c>
      <c r="L43" t="s">
        <v>503</v>
      </c>
      <c r="M43" s="142">
        <f t="shared" si="2"/>
        <v>11840921.35</v>
      </c>
      <c r="N43" s="142">
        <f>O43</f>
        <v>11840920.390000001</v>
      </c>
      <c r="O43" s="142">
        <f>VLOOKUP(I43, Sheet2!$A$1:$D$78, 4, FALSE)</f>
        <v>11840920.390000001</v>
      </c>
      <c r="P43" s="213">
        <f t="shared" si="3"/>
        <v>0</v>
      </c>
      <c r="Q43" s="214">
        <f>VLOOKUP(I43, Sheet2!$A$1:$E$78, 5, FALSE)</f>
        <v>0.1047878</v>
      </c>
      <c r="R43" s="215">
        <f>VLOOKUP($L43, '[3]BNP Borrowing Base PSLF JV (PIF'!$A$8:$AI$181, 11, FALSE)</f>
        <v>5.7500000000000002E-2</v>
      </c>
      <c r="S43" s="216">
        <f>VLOOKUP($L43, '[3]BNP Borrowing Base PSLF JV (PIF'!$A$8:$AI$181, 20, FALSE)</f>
        <v>45747</v>
      </c>
      <c r="T43">
        <f>VLOOKUP($L43, '[3]BNP Borrowing Base PSLF JV (PIF'!$A$8:$AI$181, 22, FALSE)</f>
        <v>5.4995528020169191</v>
      </c>
      <c r="U43">
        <f>VLOOKUP($L43, '[3]BNP Borrowing Base PSLF JV (PIF'!$A$8:$AI$181, 23, FALSE)</f>
        <v>23.997</v>
      </c>
      <c r="V43">
        <f>VLOOKUP($L43, '[3]BNP Borrowing Base PSLF JV (PIF'!$A$8:$AI$181, 32, FALSE)</f>
        <v>5.4995528020169191</v>
      </c>
      <c r="W43">
        <f>VLOOKUP($L43, '[3]BNP Borrowing Base PSLF JV (PIF'!$A$8:$AI$181, 34, FALSE)</f>
        <v>1.3285168576648398</v>
      </c>
    </row>
    <row r="44" spans="1:23">
      <c r="A44" s="141" t="s">
        <v>126</v>
      </c>
      <c r="B44">
        <v>4942556.4000000004</v>
      </c>
      <c r="D44" s="141" t="s">
        <v>126</v>
      </c>
      <c r="E44" s="142">
        <v>4942556.4000000004</v>
      </c>
      <c r="F44" t="str">
        <f t="shared" si="1"/>
        <v>Megawatt Acquisitionco, Inc.</v>
      </c>
      <c r="I44" t="s">
        <v>504</v>
      </c>
      <c r="J44" t="str">
        <f>+VLOOKUP(K44,'[2]Sheet2 (2)'!$G$1:$H$73, 2, FALSE)</f>
        <v>Rancho Health MSO Inc</v>
      </c>
      <c r="K44" t="s">
        <v>505</v>
      </c>
      <c r="L44" t="s">
        <v>505</v>
      </c>
      <c r="M44" s="142">
        <f t="shared" si="2"/>
        <v>17282079.379999999</v>
      </c>
      <c r="N44" s="142">
        <f t="shared" ref="N44:N47" si="4">O44</f>
        <v>17282079.379999999</v>
      </c>
      <c r="O44" s="142">
        <f>VLOOKUP(I44, Sheet2!$A$1:$D$78, 4, FALSE)</f>
        <v>17282079.379999999</v>
      </c>
      <c r="P44" s="213">
        <f t="shared" si="3"/>
        <v>0</v>
      </c>
      <c r="Q44" s="214">
        <f>VLOOKUP(I44, Sheet2!$A$1:$E$78, 5, FALSE)</f>
        <v>9.5673121224029878E-2</v>
      </c>
      <c r="R44" s="215">
        <f>VLOOKUP($L44, '[3]BNP Borrowing Base PSLF JV (PIF'!$A$8:$AI$181, 11, FALSE)</f>
        <v>5.7500000000000002E-2</v>
      </c>
      <c r="S44" s="216">
        <f>VLOOKUP($L44, '[3]BNP Borrowing Base PSLF JV (PIF'!$A$8:$AI$181, 20, FALSE)</f>
        <v>45716</v>
      </c>
      <c r="T44">
        <f>VLOOKUP($L44, '[3]BNP Borrowing Base PSLF JV (PIF'!$A$8:$AI$181, 22, FALSE)</f>
        <v>3.4026920276318626</v>
      </c>
      <c r="U44">
        <f>VLOOKUP($L44, '[3]BNP Borrowing Base PSLF JV (PIF'!$A$8:$AI$181, 23, FALSE)</f>
        <v>18.840077097018</v>
      </c>
      <c r="V44">
        <f>VLOOKUP($L44, '[3]BNP Borrowing Base PSLF JV (PIF'!$A$8:$AI$181, 32, FALSE)</f>
        <v>3.4026920276318626</v>
      </c>
      <c r="W44">
        <f>VLOOKUP($L44, '[3]BNP Borrowing Base PSLF JV (PIF'!$A$8:$AI$181, 34, FALSE)</f>
        <v>2.3644280495758343</v>
      </c>
    </row>
    <row r="45" spans="1:23">
      <c r="A45" s="141" t="s">
        <v>50</v>
      </c>
      <c r="B45">
        <v>497493.74</v>
      </c>
      <c r="D45" s="141" t="s">
        <v>50</v>
      </c>
      <c r="E45" s="142">
        <v>497493.74</v>
      </c>
      <c r="F45" t="str">
        <f t="shared" si="1"/>
        <v>Michael Baker International, LLC</v>
      </c>
      <c r="I45" s="141" t="s">
        <v>506</v>
      </c>
      <c r="J45" t="str">
        <f>+VLOOKUP(K45,'[2]Sheet2 (2)'!$G$1:$H$73, 2, FALSE)</f>
        <v>STG Distribution LLC</v>
      </c>
      <c r="K45" t="s">
        <v>507</v>
      </c>
      <c r="L45" t="s">
        <v>508</v>
      </c>
      <c r="M45" s="142">
        <f t="shared" si="2"/>
        <v>1412004.18</v>
      </c>
      <c r="N45" s="142">
        <f t="shared" si="4"/>
        <v>1412004.18</v>
      </c>
      <c r="O45" s="142">
        <f>VLOOKUP(I45, Sheet2!$A$1:$D$78, 4, FALSE)</f>
        <v>1412004.18</v>
      </c>
      <c r="P45" s="213">
        <f t="shared" si="3"/>
        <v>0</v>
      </c>
      <c r="Q45" s="214">
        <f>VLOOKUP(I45, Sheet2!$A$1:$E$78, 5, FALSE)</f>
        <v>0.1267268</v>
      </c>
      <c r="R45" s="215">
        <f>VLOOKUP($L45, '[3]BNP Borrowing Base PSLF JV (PIF'!$A$8:$AI$181, 11, FALSE)</f>
        <v>0.06</v>
      </c>
      <c r="S45" s="216">
        <f>VLOOKUP($L45, '[3]BNP Borrowing Base PSLF JV (PIF'!$A$8:$AI$181, 20, FALSE)</f>
        <v>45657</v>
      </c>
      <c r="T45">
        <f>VLOOKUP($L45, '[3]BNP Borrowing Base PSLF JV (PIF'!$A$8:$AI$181, 22, FALSE)</f>
        <v>165.14773045329511</v>
      </c>
      <c r="U45">
        <f>VLOOKUP($L45, '[3]BNP Borrowing Base PSLF JV (PIF'!$A$8:$AI$181, 23, FALSE)</f>
        <v>5.4489999999999998</v>
      </c>
      <c r="V45">
        <f>VLOOKUP($L45, '[3]BNP Borrowing Base PSLF JV (PIF'!$A$8:$AI$181, 32, FALSE)</f>
        <v>165.14773045329511</v>
      </c>
      <c r="W45">
        <f>VLOOKUP($L45, '[3]BNP Borrowing Base PSLF JV (PIF'!$A$8:$AI$181, 34, FALSE)</f>
        <v>4.5334664503515122E-2</v>
      </c>
    </row>
    <row r="46" spans="1:23">
      <c r="A46" s="141" t="s">
        <v>124</v>
      </c>
      <c r="B46">
        <v>4252707.1500000004</v>
      </c>
      <c r="D46" s="141" t="s">
        <v>124</v>
      </c>
      <c r="E46" s="142">
        <v>4252707.1500000004</v>
      </c>
      <c r="F46" t="str">
        <f t="shared" si="1"/>
        <v>MOREgroup Holdings, LLC</v>
      </c>
      <c r="I46" t="s">
        <v>509</v>
      </c>
      <c r="J46" t="str">
        <f>+VLOOKUP(K46,'[2]Sheet2 (2)'!$G$1:$H$73, 2, FALSE)</f>
        <v>Research Now Group LLC</v>
      </c>
      <c r="K46" t="s">
        <v>510</v>
      </c>
      <c r="L46" t="s">
        <v>511</v>
      </c>
      <c r="M46" s="142">
        <f>N46</f>
        <v>1580211.2</v>
      </c>
      <c r="N46" s="142">
        <f t="shared" si="4"/>
        <v>1580211.2</v>
      </c>
      <c r="O46" s="142">
        <f>VLOOKUP(I46, Sheet2!$A$1:$D$78, 4, FALSE)</f>
        <v>1580211.2</v>
      </c>
      <c r="P46" s="213">
        <f t="shared" si="3"/>
        <v>0</v>
      </c>
      <c r="Q46" s="214">
        <f>VLOOKUP(I46, Sheet2!$A$1:$E$78, 5, FALSE)</f>
        <v>9.5845899999999998E-2</v>
      </c>
      <c r="R46" s="215">
        <f>VLOOKUP($L46, '[3]BNP Borrowing Base PSLF JV (PIF'!$A$8:$AI$181, 11, FALSE)</f>
        <v>0.05</v>
      </c>
      <c r="S46" s="216">
        <f>VLOOKUP($L46, '[3]BNP Borrowing Base PSLF JV (PIF'!$A$8:$AI$181, 20, FALSE)</f>
        <v>45657</v>
      </c>
      <c r="T46">
        <f>VLOOKUP($L46, '[3]BNP Borrowing Base PSLF JV (PIF'!$A$8:$AI$181, 22, FALSE)</f>
        <v>4.4571243547748232</v>
      </c>
      <c r="U46">
        <f>VLOOKUP($L46, '[3]BNP Borrowing Base PSLF JV (PIF'!$A$8:$AI$181, 23, FALSE)</f>
        <v>159.053</v>
      </c>
      <c r="V46">
        <f>VLOOKUP($L46, '[3]BNP Borrowing Base PSLF JV (PIF'!$A$8:$AI$181, 32, FALSE)</f>
        <v>4.4571243547748232</v>
      </c>
      <c r="W46">
        <f>VLOOKUP($L46, '[3]BNP Borrowing Base PSLF JV (PIF'!$A$8:$AI$181, 34, FALSE)</f>
        <v>1.2681831953946003</v>
      </c>
    </row>
    <row r="47" spans="1:23">
      <c r="A47" s="141" t="s">
        <v>252</v>
      </c>
      <c r="B47">
        <v>2499911.11</v>
      </c>
      <c r="D47" s="141" t="s">
        <v>252</v>
      </c>
      <c r="E47" s="142">
        <v>2499911.11</v>
      </c>
      <c r="F47" t="str">
        <f t="shared" si="1"/>
        <v>Municipal Emergency Services, Inc.</v>
      </c>
      <c r="I47" t="s">
        <v>512</v>
      </c>
      <c r="J47" t="str">
        <f>+VLOOKUP(K47,'[2]Sheet2 (2)'!$G$1:$H$73, 2, FALSE)</f>
        <v>Research Now Group LLC</v>
      </c>
      <c r="K47" t="s">
        <v>513</v>
      </c>
      <c r="L47" t="s">
        <v>511</v>
      </c>
      <c r="M47" s="142">
        <f>N47</f>
        <v>5740273.5599999996</v>
      </c>
      <c r="N47" s="142">
        <f t="shared" si="4"/>
        <v>5740273.5599999996</v>
      </c>
      <c r="O47" s="142">
        <f>VLOOKUP(I47, Sheet2!$A$1:$D$78, 4, FALSE)</f>
        <v>5740273.5599999996</v>
      </c>
      <c r="P47" s="213">
        <f t="shared" si="3"/>
        <v>0</v>
      </c>
      <c r="Q47" s="214">
        <f>VLOOKUP(I47, Sheet2!$A$1:$E$78, 5, FALSE)</f>
        <v>0.1008459</v>
      </c>
      <c r="R47" s="215">
        <f>VLOOKUP($L47, '[3]BNP Borrowing Base PSLF JV (PIF'!$A$8:$AI$181, 11, FALSE)</f>
        <v>0.05</v>
      </c>
      <c r="S47" s="216">
        <f>VLOOKUP($L47, '[3]BNP Borrowing Base PSLF JV (PIF'!$A$8:$AI$181, 20, FALSE)</f>
        <v>45657</v>
      </c>
      <c r="T47">
        <f>VLOOKUP($L47, '[3]BNP Borrowing Base PSLF JV (PIF'!$A$8:$AI$181, 22, FALSE)</f>
        <v>4.4571243547748232</v>
      </c>
      <c r="U47">
        <f>VLOOKUP($L47, '[3]BNP Borrowing Base PSLF JV (PIF'!$A$8:$AI$181, 23, FALSE)</f>
        <v>159.053</v>
      </c>
      <c r="V47">
        <f>VLOOKUP($L47, '[3]BNP Borrowing Base PSLF JV (PIF'!$A$8:$AI$181, 32, FALSE)</f>
        <v>4.4571243547748232</v>
      </c>
      <c r="W47">
        <f>VLOOKUP($L47, '[3]BNP Borrowing Base PSLF JV (PIF'!$A$8:$AI$181, 34, FALSE)</f>
        <v>1.2681831953946003</v>
      </c>
    </row>
    <row r="48" spans="1:23">
      <c r="A48" s="141" t="s">
        <v>213</v>
      </c>
      <c r="B48">
        <v>3990869.08</v>
      </c>
      <c r="D48" s="141" t="s">
        <v>213</v>
      </c>
      <c r="E48" s="142">
        <v>3990869.08</v>
      </c>
      <c r="F48" t="str">
        <f t="shared" si="1"/>
        <v>NFS - CFP Holdings, LLC</v>
      </c>
      <c r="I48" t="s">
        <v>514</v>
      </c>
      <c r="J48" t="str">
        <f>+VLOOKUP(K48,'[2]Sheet2 (2)'!$G$1:$H$73, 2, FALSE)</f>
        <v>RTIC Subsidiary Holdings LLC</v>
      </c>
      <c r="K48" t="s">
        <v>514</v>
      </c>
      <c r="L48" t="s">
        <v>515</v>
      </c>
      <c r="M48" s="142">
        <f t="shared" si="2"/>
        <v>12885087.720000001</v>
      </c>
      <c r="N48" s="142">
        <f>VLOOKUP(K48, 'Loan List '!$A$6:$H$82, 8, FALSE)</f>
        <v>12885087.720000001</v>
      </c>
      <c r="O48" s="142">
        <f>VLOOKUP(I48, Sheet2!$A$1:$D$78, 4, FALSE)</f>
        <v>12885087.720000001</v>
      </c>
      <c r="P48" s="213">
        <f t="shared" si="3"/>
        <v>0</v>
      </c>
      <c r="Q48" s="214">
        <f>VLOOKUP(I48, Sheet2!$A$1:$E$78, 5, FALSE)</f>
        <v>9.9591879759182128E-2</v>
      </c>
      <c r="R48" s="215">
        <f>VLOOKUP($L48, '[3]BNP Borrowing Base PSLF JV (PIF'!$A$8:$AI$181, 11, FALSE)</f>
        <v>5.7500000000000002E-2</v>
      </c>
      <c r="S48" s="216">
        <f>VLOOKUP($L48, '[3]BNP Borrowing Base PSLF JV (PIF'!$A$8:$AI$181, 20, FALSE)</f>
        <v>45747</v>
      </c>
      <c r="T48">
        <f>VLOOKUP($L48, '[3]BNP Borrowing Base PSLF JV (PIF'!$A$8:$AI$181, 22, FALSE)</f>
        <v>4.2783340960272067</v>
      </c>
      <c r="U48">
        <f>VLOOKUP($L48, '[3]BNP Borrowing Base PSLF JV (PIF'!$A$8:$AI$181, 23, FALSE)</f>
        <v>30.847492329444467</v>
      </c>
      <c r="V48">
        <f>VLOOKUP($L48, '[3]BNP Borrowing Base PSLF JV (PIF'!$A$8:$AI$181, 32, FALSE)</f>
        <v>4.2783340960272067</v>
      </c>
      <c r="W48">
        <f>VLOOKUP($L48, '[3]BNP Borrowing Base PSLF JV (PIF'!$A$8:$AI$181, 34, FALSE)</f>
        <v>1.7930333851776667</v>
      </c>
    </row>
    <row r="49" spans="1:23">
      <c r="A49" s="141" t="s">
        <v>121</v>
      </c>
      <c r="B49">
        <v>3777823.24</v>
      </c>
      <c r="D49" s="141" t="s">
        <v>121</v>
      </c>
      <c r="E49" s="142">
        <v>3777823.24</v>
      </c>
      <c r="F49" t="str">
        <f t="shared" si="1"/>
        <v>NORA ACQUISITION, LLC</v>
      </c>
      <c r="I49" t="s">
        <v>516</v>
      </c>
      <c r="J49" t="str">
        <f>+VLOOKUP(K49,'[2]Sheet2 (2)'!$G$1:$H$73, 2, FALSE)</f>
        <v>SV-Aero Holdings LLC</v>
      </c>
      <c r="K49" t="s">
        <v>516</v>
      </c>
      <c r="L49" t="s">
        <v>517</v>
      </c>
      <c r="M49" s="142">
        <f t="shared" si="2"/>
        <v>795000</v>
      </c>
      <c r="N49" s="142">
        <f>VLOOKUP(K49, 'Loan List '!$A$6:$H$82, 8, FALSE)</f>
        <v>795000</v>
      </c>
      <c r="O49" s="142">
        <f>VLOOKUP(I49, Sheet2!$A$1:$D$78, 4, FALSE)</f>
        <v>795000</v>
      </c>
      <c r="P49" s="213">
        <f t="shared" si="3"/>
        <v>0</v>
      </c>
      <c r="Q49" s="214">
        <f>VLOOKUP(I49, Sheet2!$A$1:$E$78, 5, FALSE)</f>
        <v>9.7491999999999995E-2</v>
      </c>
      <c r="R49" s="215">
        <f>VLOOKUP($L49, '[3]BNP Borrowing Base PSLF JV (PIF'!$A$8:$AI$181, 11, FALSE)</f>
        <v>5.5E-2</v>
      </c>
      <c r="S49" s="216">
        <f>VLOOKUP($L49, '[3]BNP Borrowing Base PSLF JV (PIF'!$A$8:$AI$181, 20, FALSE)</f>
        <v>45657</v>
      </c>
      <c r="T49">
        <f>VLOOKUP($L49, '[3]BNP Borrowing Base PSLF JV (PIF'!$A$8:$AI$181, 22, FALSE)</f>
        <v>3.4534393649966515</v>
      </c>
      <c r="U49">
        <f>VLOOKUP($L49, '[3]BNP Borrowing Base PSLF JV (PIF'!$A$8:$AI$181, 23, FALSE)</f>
        <v>65.760529141423106</v>
      </c>
      <c r="V49">
        <f>VLOOKUP($L49, '[3]BNP Borrowing Base PSLF JV (PIF'!$A$8:$AI$181, 32, FALSE)</f>
        <v>3.4534393649966515</v>
      </c>
      <c r="W49">
        <f>VLOOKUP($L49, '[3]BNP Borrowing Base PSLF JV (PIF'!$A$8:$AI$181, 34, FALSE)</f>
        <v>2.3912919687790222</v>
      </c>
    </row>
    <row r="50" spans="1:23">
      <c r="A50" s="141" t="s">
        <v>118</v>
      </c>
      <c r="B50">
        <v>7136692.4000000004</v>
      </c>
      <c r="D50" s="141" t="s">
        <v>118</v>
      </c>
      <c r="E50" s="142">
        <v>7136692.4000000004</v>
      </c>
      <c r="F50" t="str">
        <f t="shared" si="1"/>
        <v>Omnia Exterior Solutions, LLC</v>
      </c>
      <c r="I50" t="s">
        <v>518</v>
      </c>
      <c r="J50" t="str">
        <f>+VLOOKUP(K50,'[2]Sheet2 (2)'!$G$1:$H$73, 2, FALSE)</f>
        <v>Sabel Systems Technology Solutions</v>
      </c>
      <c r="K50" t="s">
        <v>518</v>
      </c>
      <c r="L50" t="s">
        <v>519</v>
      </c>
      <c r="M50" s="142">
        <f t="shared" si="2"/>
        <v>5985000</v>
      </c>
      <c r="N50" s="142">
        <f>VLOOKUP(K50, 'Loan List '!$A$6:$H$82, 8, FALSE)</f>
        <v>5985000</v>
      </c>
      <c r="O50" s="142">
        <f>VLOOKUP(I50, Sheet2!$A$1:$D$78, 4, FALSE)</f>
        <v>5985000</v>
      </c>
      <c r="P50" s="213">
        <f t="shared" si="3"/>
        <v>0</v>
      </c>
      <c r="Q50" s="214">
        <f>VLOOKUP(I50, Sheet2!$A$1:$E$78, 5, FALSE)</f>
        <v>0.10299200000000001</v>
      </c>
      <c r="R50" s="215">
        <f>VLOOKUP($L50, '[3]BNP Borrowing Base PSLF JV (PIF'!$A$8:$AI$181, 11, FALSE)</f>
        <v>6.25E-2</v>
      </c>
      <c r="S50" s="216">
        <f>VLOOKUP($L50, '[3]BNP Borrowing Base PSLF JV (PIF'!$A$8:$AI$181, 20, FALSE)</f>
        <v>45716</v>
      </c>
      <c r="T50">
        <f>VLOOKUP($L50, '[3]BNP Borrowing Base PSLF JV (PIF'!$A$8:$AI$181, 22, FALSE)</f>
        <v>3.1015234867504393</v>
      </c>
      <c r="U50">
        <f>VLOOKUP($L50, '[3]BNP Borrowing Base PSLF JV (PIF'!$A$8:$AI$181, 23, FALSE)</f>
        <v>24.359712999999999</v>
      </c>
      <c r="V50">
        <f>VLOOKUP($L50, '[3]BNP Borrowing Base PSLF JV (PIF'!$A$8:$AI$181, 32, FALSE)</f>
        <v>3.1015234867504393</v>
      </c>
      <c r="W50">
        <f>VLOOKUP($L50, '[3]BNP Borrowing Base PSLF JV (PIF'!$A$8:$AI$181, 34, FALSE)</f>
        <v>2.3422800961538459</v>
      </c>
    </row>
    <row r="51" spans="1:23">
      <c r="A51" s="141" t="s">
        <v>259</v>
      </c>
      <c r="B51">
        <v>19022012</v>
      </c>
      <c r="D51" s="141" t="s">
        <v>259</v>
      </c>
      <c r="E51" s="142">
        <v>19022012</v>
      </c>
      <c r="F51" t="str">
        <f t="shared" si="1"/>
        <v xml:space="preserve">Lynx Technologies </v>
      </c>
      <c r="I51" t="s">
        <v>520</v>
      </c>
      <c r="J51" t="str">
        <f>+VLOOKUP(K51,'[2]Sheet2 (2)'!$G$1:$H$73, 2, FALSE)</f>
        <v>S101 Acquisition Inc</v>
      </c>
      <c r="K51" t="s">
        <v>521</v>
      </c>
      <c r="L51" t="s">
        <v>521</v>
      </c>
      <c r="M51" s="142">
        <v>0</v>
      </c>
      <c r="N51" s="142">
        <f>VLOOKUP(K51, 'Loan List '!$A$6:$H$82, 8, FALSE)</f>
        <v>0</v>
      </c>
      <c r="O51" s="142">
        <v>0</v>
      </c>
      <c r="P51" s="213">
        <f t="shared" si="3"/>
        <v>0</v>
      </c>
      <c r="Q51" s="214" t="e">
        <f>VLOOKUP(I51, Sheet2!$A$1:$E$78, 5, FALSE)</f>
        <v>#N/A</v>
      </c>
      <c r="R51" s="215">
        <v>0</v>
      </c>
      <c r="S51" s="216"/>
    </row>
    <row r="52" spans="1:23">
      <c r="A52" s="141" t="s">
        <v>152</v>
      </c>
      <c r="B52">
        <v>997500</v>
      </c>
      <c r="D52" s="141" t="s">
        <v>152</v>
      </c>
      <c r="E52" s="142">
        <v>997500</v>
      </c>
      <c r="F52" t="str">
        <f t="shared" si="1"/>
        <v>PAR Excellence</v>
      </c>
      <c r="I52" t="s">
        <v>522</v>
      </c>
      <c r="J52" t="str">
        <f>+VLOOKUP(K52,'[2]Sheet2 (2)'!$G$1:$H$73, 2, FALSE)</f>
        <v>Seaway Buyer LLC</v>
      </c>
      <c r="K52" t="s">
        <v>523</v>
      </c>
      <c r="L52" t="s">
        <v>523</v>
      </c>
      <c r="M52" s="142">
        <f t="shared" si="2"/>
        <v>608095.06000000006</v>
      </c>
      <c r="N52" s="142">
        <f>VLOOKUP(K52, 'Loan List '!$A$6:$H$82, 8, FALSE)</f>
        <v>608095.06000000006</v>
      </c>
      <c r="O52" s="142">
        <f>VLOOKUP(I52, Sheet2!$A$1:$D$78, 4, FALSE)</f>
        <v>608095.06000000006</v>
      </c>
      <c r="P52" s="213">
        <f t="shared" si="3"/>
        <v>0</v>
      </c>
      <c r="Q52" s="214">
        <f>VLOOKUP(I52, Sheet2!$A$1:$E$78, 5, FALSE)</f>
        <v>0.10086424489480098</v>
      </c>
      <c r="R52" s="215">
        <f>VLOOKUP($L52, '[3]BNP Borrowing Base PSLF JV (PIF'!$A$8:$AI$181, 11, FALSE)</f>
        <v>6.0499999999999998E-2</v>
      </c>
      <c r="S52" s="216">
        <f>VLOOKUP($L52, '[3]BNP Borrowing Base PSLF JV (PIF'!$A$8:$AI$181, 20, FALSE)</f>
        <v>45747</v>
      </c>
      <c r="T52">
        <f>VLOOKUP($L52, '[3]BNP Borrowing Base PSLF JV (PIF'!$A$8:$AI$181, 22, FALSE)</f>
        <v>8.0705578974252443</v>
      </c>
      <c r="U52">
        <f>VLOOKUP($L52, '[3]BNP Borrowing Base PSLF JV (PIF'!$A$8:$AI$181, 23, FALSE)</f>
        <v>7.7212759999999996</v>
      </c>
      <c r="V52">
        <f>VLOOKUP($L52, '[3]BNP Borrowing Base PSLF JV (PIF'!$A$8:$AI$181, 32, FALSE)</f>
        <v>8.0705578974252443</v>
      </c>
      <c r="W52">
        <f>VLOOKUP($L52, '[3]BNP Borrowing Base PSLF JV (PIF'!$A$8:$AI$181, 34, FALSE)</f>
        <v>2.8889999999999998</v>
      </c>
    </row>
    <row r="53" spans="1:23">
      <c r="A53" s="141" t="s">
        <v>238</v>
      </c>
      <c r="B53">
        <v>8459233.0199999996</v>
      </c>
      <c r="D53" s="141" t="s">
        <v>238</v>
      </c>
      <c r="E53" s="142">
        <v>8459233.0199999996</v>
      </c>
      <c r="F53" t="str">
        <f t="shared" si="1"/>
        <v>PL Acquisitionco, LLC</v>
      </c>
      <c r="I53" t="s">
        <v>524</v>
      </c>
      <c r="J53" t="str">
        <f>+VLOOKUP(K53,'[2]Sheet2 (2)'!$G$1:$H$73, 2, FALSE)</f>
        <v>Sigma Defense Systems LLC</v>
      </c>
      <c r="K53" t="s">
        <v>524</v>
      </c>
      <c r="L53" t="s">
        <v>525</v>
      </c>
      <c r="M53" s="142">
        <f t="shared" si="2"/>
        <v>18453743.010000002</v>
      </c>
      <c r="N53" s="142">
        <f>VLOOKUP(K53, 'Loan List '!$A$6:$H$82, 8, FALSE)</f>
        <v>18453743</v>
      </c>
      <c r="O53" s="142">
        <f>VLOOKUP(I53, Sheet2!$A$1:$D$78, 4, FALSE)</f>
        <v>18453743</v>
      </c>
      <c r="P53" s="213">
        <f t="shared" si="3"/>
        <v>0</v>
      </c>
      <c r="Q53" s="214">
        <f>VLOOKUP(I53, Sheet2!$A$1:$E$78, 5, FALSE)</f>
        <v>0.1125912434470261</v>
      </c>
      <c r="R53" s="215">
        <f>VLOOKUP($L53, '[3]BNP Borrowing Base PSLF JV (PIF'!$A$8:$AI$181, 11, FALSE)</f>
        <v>7.0000000000000007E-2</v>
      </c>
      <c r="S53" s="216">
        <f>VLOOKUP($L53, '[3]BNP Borrowing Base PSLF JV (PIF'!$A$8:$AI$181, 20, FALSE)</f>
        <v>45716</v>
      </c>
      <c r="T53">
        <f>VLOOKUP($L53, '[3]BNP Borrowing Base PSLF JV (PIF'!$A$8:$AI$181, 22, FALSE)</f>
        <v>4.3893982675291987</v>
      </c>
      <c r="U53">
        <f>VLOOKUP($L53, '[3]BNP Borrowing Base PSLF JV (PIF'!$A$8:$AI$181, 23, FALSE)</f>
        <v>30.719017000000001</v>
      </c>
      <c r="V53">
        <f>VLOOKUP($L53, '[3]BNP Borrowing Base PSLF JV (PIF'!$A$8:$AI$181, 32, FALSE)</f>
        <v>6.3288483482397888</v>
      </c>
      <c r="W53">
        <f>VLOOKUP($L53, '[3]BNP Borrowing Base PSLF JV (PIF'!$A$8:$AI$181, 34, FALSE)</f>
        <v>1.880712541031702</v>
      </c>
    </row>
    <row r="54" spans="1:23">
      <c r="A54" s="141" t="s">
        <v>393</v>
      </c>
      <c r="B54">
        <v>5985000</v>
      </c>
      <c r="D54" s="141" t="s">
        <v>393</v>
      </c>
      <c r="E54" s="142">
        <v>5985000</v>
      </c>
      <c r="F54" t="str">
        <f t="shared" si="1"/>
        <v>Tranzact</v>
      </c>
      <c r="I54" t="s">
        <v>526</v>
      </c>
      <c r="J54" t="str">
        <f>+VLOOKUP(K54,'[2]Sheet2 (2)'!$G$1:$H$73, 2, FALSE)</f>
        <v>Systems Planning and Analysis Inc</v>
      </c>
      <c r="K54" t="s">
        <v>527</v>
      </c>
      <c r="L54" t="s">
        <v>527</v>
      </c>
      <c r="M54" s="142">
        <f t="shared" si="2"/>
        <v>1279276.33</v>
      </c>
      <c r="N54" s="142">
        <f>O54</f>
        <v>1279276.3400000001</v>
      </c>
      <c r="O54" s="142">
        <f>VLOOKUP(I54, Sheet2!$A$1:$D$78, 4, FALSE)</f>
        <v>1279276.3400000001</v>
      </c>
      <c r="P54" s="213">
        <f t="shared" si="3"/>
        <v>0</v>
      </c>
      <c r="Q54" s="214">
        <f>VLOOKUP(I54, Sheet2!$A$1:$E$78, 5, FALSE)</f>
        <v>9.553430185238157E-2</v>
      </c>
      <c r="R54" s="215">
        <f>VLOOKUP($L54, '[3]BNP Borrowing Base PSLF JV (PIF'!$A$8:$AI$181, 11, FALSE)</f>
        <v>0.06</v>
      </c>
      <c r="S54" s="216">
        <f>VLOOKUP($L54, '[3]BNP Borrowing Base PSLF JV (PIF'!$A$8:$AI$181, 20, FALSE)</f>
        <v>45657</v>
      </c>
      <c r="T54">
        <f>VLOOKUP($L54, '[3]BNP Borrowing Base PSLF JV (PIF'!$A$8:$AI$181, 22, FALSE)</f>
        <v>5.0369789038731625</v>
      </c>
      <c r="U54">
        <f>VLOOKUP($L54, '[3]BNP Borrowing Base PSLF JV (PIF'!$A$8:$AI$181, 23, FALSE)</f>
        <v>64.788669999999996</v>
      </c>
      <c r="V54">
        <f>VLOOKUP($L54, '[3]BNP Borrowing Base PSLF JV (PIF'!$A$8:$AI$181, 32, FALSE)</f>
        <v>5.0369789038731625</v>
      </c>
      <c r="W54">
        <f>VLOOKUP($L54, '[3]BNP Borrowing Base PSLF JV (PIF'!$A$8:$AI$181, 34, FALSE)</f>
        <v>4.8899999999999997</v>
      </c>
    </row>
    <row r="55" spans="1:23">
      <c r="A55" s="141" t="s">
        <v>201</v>
      </c>
      <c r="B55">
        <v>11840921.35</v>
      </c>
      <c r="D55" s="141" t="s">
        <v>201</v>
      </c>
      <c r="E55" s="142">
        <v>11840921.35</v>
      </c>
      <c r="F55" t="str">
        <f t="shared" si="1"/>
        <v>Radius Aerospace</v>
      </c>
      <c r="I55" t="s">
        <v>528</v>
      </c>
      <c r="J55" t="str">
        <f>+VLOOKUP(K55,'[2]Sheet2 (2)'!$G$1:$H$73, 2, FALSE)</f>
        <v>Team Services Group LLC</v>
      </c>
      <c r="K55" t="s">
        <v>528</v>
      </c>
      <c r="L55" t="s">
        <v>529</v>
      </c>
      <c r="M55" s="142">
        <f t="shared" si="2"/>
        <v>997500</v>
      </c>
      <c r="N55" s="142">
        <f>VLOOKUP(K55, 'Loan List '!$A$6:$H$82, 8, FALSE)</f>
        <v>997500</v>
      </c>
      <c r="O55" s="142">
        <f>VLOOKUP(I55, Sheet2!$A$1:$D$78, 4, FALSE)</f>
        <v>997500</v>
      </c>
      <c r="P55" s="213">
        <f t="shared" si="3"/>
        <v>0</v>
      </c>
      <c r="Q55" s="214">
        <f>VLOOKUP(I55, Sheet2!$A$1:$E$78, 5, FALSE)</f>
        <v>9.8019897131293013E-2</v>
      </c>
      <c r="R55" s="215">
        <f>VLOOKUP($L55, '[3]BNP Borrowing Base PSLF JV (PIF'!$A$8:$AI$181, 11, FALSE)</f>
        <v>0.05</v>
      </c>
      <c r="S55" s="216">
        <f>VLOOKUP($L55, '[3]BNP Borrowing Base PSLF JV (PIF'!$A$8:$AI$181, 20, FALSE)</f>
        <v>45565</v>
      </c>
      <c r="T55">
        <f>VLOOKUP($L55, '[3]BNP Borrowing Base PSLF JV (PIF'!$A$8:$AI$181, 22, FALSE)</f>
        <v>3.6794723700695746</v>
      </c>
      <c r="U55">
        <f>VLOOKUP($L55, '[3]BNP Borrowing Base PSLF JV (PIF'!$A$8:$AI$181, 23, FALSE)</f>
        <v>225.08199999999999</v>
      </c>
      <c r="V55">
        <f>VLOOKUP($L55, '[3]BNP Borrowing Base PSLF JV (PIF'!$A$8:$AI$181, 32, FALSE)</f>
        <v>4.2348255302511975</v>
      </c>
      <c r="W55">
        <f>VLOOKUP($L55, '[3]BNP Borrowing Base PSLF JV (PIF'!$A$8:$AI$181, 34, FALSE)</f>
        <v>2.3192853021185393</v>
      </c>
    </row>
    <row r="56" spans="1:23">
      <c r="A56" s="141" t="s">
        <v>116</v>
      </c>
      <c r="B56">
        <v>17282079.379999999</v>
      </c>
      <c r="D56" s="141" t="s">
        <v>116</v>
      </c>
      <c r="E56" s="142">
        <v>17282079.379999999</v>
      </c>
      <c r="F56" t="str">
        <f t="shared" si="1"/>
        <v>Rancho Medical</v>
      </c>
      <c r="I56" t="s">
        <v>530</v>
      </c>
      <c r="J56" t="str">
        <f>+VLOOKUP(K56,'[2]Sheet2 (2)'!$G$1:$H$73, 2, FALSE)</f>
        <v>TCG 3.0 Jogger Acquisitionco Inc</v>
      </c>
      <c r="K56" t="s">
        <v>531</v>
      </c>
      <c r="L56" t="s">
        <v>531</v>
      </c>
      <c r="M56" s="142">
        <f t="shared" si="2"/>
        <v>3930150.76</v>
      </c>
      <c r="N56" s="142">
        <f>VLOOKUP(K56, 'Loan List '!$A$6:$H$82, 8, FALSE)</f>
        <v>3930150.76</v>
      </c>
      <c r="O56" s="142">
        <f>VLOOKUP(I56, Sheet2!$A$1:$D$78, 4, FALSE)</f>
        <v>3930150.76</v>
      </c>
      <c r="P56" s="213">
        <f t="shared" si="3"/>
        <v>0</v>
      </c>
      <c r="Q56" s="214">
        <f>VLOOKUP(I56, Sheet2!$A$1:$E$78, 5, FALSE)</f>
        <v>0.10293390955301819</v>
      </c>
      <c r="R56" s="215">
        <f>VLOOKUP($L56, '[3]BNP Borrowing Base PSLF JV (PIF'!$A$8:$AI$181, 11, FALSE)</f>
        <v>6.5000000000000002E-2</v>
      </c>
      <c r="S56" s="216">
        <f>VLOOKUP($L56, '[3]BNP Borrowing Base PSLF JV (PIF'!$A$8:$AI$181, 20, FALSE)</f>
        <v>45747</v>
      </c>
      <c r="T56">
        <f>VLOOKUP($L56, '[3]BNP Borrowing Base PSLF JV (PIF'!$A$8:$AI$181, 22, FALSE)</f>
        <v>4.3446448056149043</v>
      </c>
      <c r="U56">
        <f>VLOOKUP($L56, '[3]BNP Borrowing Base PSLF JV (PIF'!$A$8:$AI$181, 23, FALSE)</f>
        <v>13.694979999999999</v>
      </c>
      <c r="V56">
        <f>VLOOKUP($L56, '[3]BNP Borrowing Base PSLF JV (PIF'!$A$8:$AI$181, 32, FALSE)</f>
        <v>4.3446448056149043</v>
      </c>
      <c r="W56">
        <f>VLOOKUP($L56, '[3]BNP Borrowing Base PSLF JV (PIF'!$A$8:$AI$181, 34, FALSE)</f>
        <v>1.8373954715996246</v>
      </c>
    </row>
    <row r="57" spans="1:23">
      <c r="A57" s="141" t="s">
        <v>196</v>
      </c>
      <c r="B57">
        <v>7320484.75</v>
      </c>
      <c r="D57" s="141" t="s">
        <v>196</v>
      </c>
      <c r="E57" s="142">
        <v>7320484.75</v>
      </c>
      <c r="F57" t="str">
        <f t="shared" si="1"/>
        <v>Research Now Group, LLC and Dynata, LLC - First Out Term Loan</v>
      </c>
      <c r="I57" t="s">
        <v>532</v>
      </c>
      <c r="J57" t="str">
        <f>+VLOOKUP(K57,'[2]Sheet2 (2)'!$G$1:$H$73, 2, FALSE)</f>
        <v>Bluebird Group LLC, The</v>
      </c>
      <c r="K57" t="s">
        <v>532</v>
      </c>
      <c r="L57" t="s">
        <v>532</v>
      </c>
      <c r="M57" s="142">
        <f t="shared" si="2"/>
        <v>3635030.3</v>
      </c>
      <c r="N57" s="142">
        <f>VLOOKUP(K57, 'Loan List '!$A$6:$H$82, 8, FALSE)</f>
        <v>3635030.3</v>
      </c>
      <c r="O57" s="142">
        <f>VLOOKUP(I57, Sheet2!$A$1:$D$78, 4, FALSE)</f>
        <v>3635030.3</v>
      </c>
      <c r="P57" s="213">
        <f t="shared" si="3"/>
        <v>0</v>
      </c>
      <c r="Q57" s="214">
        <f>VLOOKUP(I57, Sheet2!$A$1:$E$78, 5, FALSE)</f>
        <v>0.10117048885039417</v>
      </c>
      <c r="R57" s="215">
        <f>VLOOKUP($L57, '[3]BNP Borrowing Base PSLF JV (PIF'!$A$8:$AI$181, 11, FALSE)</f>
        <v>7.0000000000000007E-2</v>
      </c>
      <c r="S57" s="216">
        <f>VLOOKUP($L57, '[3]BNP Borrowing Base PSLF JV (PIF'!$A$8:$AI$181, 20, FALSE)</f>
        <v>45716</v>
      </c>
      <c r="T57">
        <f>VLOOKUP($L57, '[3]BNP Borrowing Base PSLF JV (PIF'!$A$8:$AI$181, 22, FALSE)</f>
        <v>1.762626957592297</v>
      </c>
      <c r="U57">
        <f>VLOOKUP($L57, '[3]BNP Borrowing Base PSLF JV (PIF'!$A$8:$AI$181, 23, FALSE)</f>
        <v>25.645608740573792</v>
      </c>
      <c r="V57">
        <f>VLOOKUP($L57, '[3]BNP Borrowing Base PSLF JV (PIF'!$A$8:$AI$181, 32, FALSE)</f>
        <v>1.762626957592297</v>
      </c>
      <c r="W57">
        <f>VLOOKUP($L57, '[3]BNP Borrowing Base PSLF JV (PIF'!$A$8:$AI$181, 34, FALSE)</f>
        <v>4.1889177376640347</v>
      </c>
    </row>
    <row r="58" spans="1:23">
      <c r="A58" s="141" t="s">
        <v>369</v>
      </c>
      <c r="B58">
        <v>10000000</v>
      </c>
      <c r="D58" s="141" t="s">
        <v>369</v>
      </c>
      <c r="E58" s="142">
        <v>10000000</v>
      </c>
      <c r="F58" t="str">
        <f t="shared" si="1"/>
        <v xml:space="preserve">Ro Health </v>
      </c>
      <c r="I58" t="s">
        <v>533</v>
      </c>
      <c r="J58" t="str">
        <f>+VLOOKUP(K58,'[2]Sheet2 (2)'!$G$1:$H$73, 2, FALSE)</f>
        <v>Vertex Companies Inc, The</v>
      </c>
      <c r="K58" t="s">
        <v>533</v>
      </c>
      <c r="L58" t="s">
        <v>534</v>
      </c>
      <c r="M58" s="142">
        <f t="shared" si="2"/>
        <v>6982500</v>
      </c>
      <c r="N58" s="142">
        <f>VLOOKUP(K58, 'Loan List '!$A$6:$H$82, 8, FALSE)</f>
        <v>6982500</v>
      </c>
      <c r="O58" s="142">
        <f>VLOOKUP(I58, Sheet2!$A$1:$D$78, 4, FALSE)</f>
        <v>6982500</v>
      </c>
      <c r="P58" s="213">
        <f t="shared" si="3"/>
        <v>0</v>
      </c>
      <c r="Q58" s="214">
        <f>VLOOKUP(I58, Sheet2!$A$1:$E$78, 5, FALSE)</f>
        <v>9.3140999999999988E-2</v>
      </c>
      <c r="R58" s="215">
        <f>VLOOKUP($L58, '[3]BNP Borrowing Base PSLF JV (PIF'!$A$8:$AI$181, 11, FALSE)</f>
        <v>5.5E-2</v>
      </c>
      <c r="S58" s="216">
        <f>VLOOKUP($L58, '[3]BNP Borrowing Base PSLF JV (PIF'!$A$8:$AI$181, 20, FALSE)</f>
        <v>45747</v>
      </c>
      <c r="T58">
        <f>VLOOKUP($L58, '[3]BNP Borrowing Base PSLF JV (PIF'!$A$8:$AI$181, 22, FALSE)</f>
        <v>5.4134313023444074</v>
      </c>
      <c r="U58">
        <f>VLOOKUP($L58, '[3]BNP Borrowing Base PSLF JV (PIF'!$A$8:$AI$181, 23, FALSE)</f>
        <v>32.119</v>
      </c>
      <c r="V58">
        <f>VLOOKUP($L58, '[3]BNP Borrowing Base PSLF JV (PIF'!$A$8:$AI$181, 32, FALSE)</f>
        <v>5.4134313023444074</v>
      </c>
      <c r="W58">
        <f>VLOOKUP($L58, '[3]BNP Borrowing Base PSLF JV (PIF'!$A$8:$AI$181, 34, FALSE)</f>
        <v>2.7064182110878119</v>
      </c>
    </row>
    <row r="59" spans="1:23">
      <c r="A59" s="141" t="s">
        <v>134</v>
      </c>
      <c r="B59">
        <v>12885087.720000001</v>
      </c>
      <c r="D59" s="141" t="s">
        <v>134</v>
      </c>
      <c r="E59" s="142">
        <v>12885087.720000001</v>
      </c>
      <c r="F59" t="str">
        <f t="shared" si="1"/>
        <v>RTIC subsidiary Holdings, LLC</v>
      </c>
      <c r="I59" t="s">
        <v>535</v>
      </c>
      <c r="J59" t="str">
        <f>+VLOOKUP(K59,'[2]Sheet2 (2)'!$G$1:$H$73, 2, FALSE)</f>
        <v>Transgo LLC</v>
      </c>
      <c r="K59" t="s">
        <v>536</v>
      </c>
      <c r="L59" t="s">
        <v>536</v>
      </c>
      <c r="M59" s="142">
        <f t="shared" si="2"/>
        <v>3163695.72</v>
      </c>
      <c r="N59" s="142">
        <f>O59</f>
        <v>3163695.71</v>
      </c>
      <c r="O59" s="142">
        <f>VLOOKUP(I59, Sheet2!$A$1:$D$78, 4, FALSE)</f>
        <v>3163695.71</v>
      </c>
      <c r="P59" s="213">
        <f t="shared" si="3"/>
        <v>0</v>
      </c>
      <c r="Q59" s="214">
        <f>VLOOKUP(I59, Sheet2!$A$1:$E$78, 5, FALSE)</f>
        <v>0.10439936662530218</v>
      </c>
      <c r="R59" s="215">
        <f>VLOOKUP($L59, '[3]BNP Borrowing Base PSLF JV (PIF'!$A$8:$AI$181, 11, FALSE)</f>
        <v>0.06</v>
      </c>
      <c r="S59" s="216">
        <f>VLOOKUP($L59, '[3]BNP Borrowing Base PSLF JV (PIF'!$A$8:$AI$181, 20, FALSE)</f>
        <v>45747</v>
      </c>
      <c r="T59">
        <f>VLOOKUP($L59, '[3]BNP Borrowing Base PSLF JV (PIF'!$A$8:$AI$181, 22, FALSE)</f>
        <v>3.4758743939918917</v>
      </c>
      <c r="U59">
        <f>VLOOKUP($L59, '[3]BNP Borrowing Base PSLF JV (PIF'!$A$8:$AI$181, 23, FALSE)</f>
        <v>19.703962870000002</v>
      </c>
      <c r="V59">
        <f>VLOOKUP($L59, '[3]BNP Borrowing Base PSLF JV (PIF'!$A$8:$AI$181, 32, FALSE)</f>
        <v>3.4758743939918917</v>
      </c>
      <c r="W59">
        <f>VLOOKUP($L59, '[3]BNP Borrowing Base PSLF JV (PIF'!$A$8:$AI$181, 34, FALSE)</f>
        <v>2.0913062073021988</v>
      </c>
    </row>
    <row r="60" spans="1:23">
      <c r="A60" s="141" t="s">
        <v>257</v>
      </c>
      <c r="B60">
        <v>5985000</v>
      </c>
      <c r="D60" s="141" t="s">
        <v>257</v>
      </c>
      <c r="E60" s="142">
        <v>5985000</v>
      </c>
      <c r="F60" t="str">
        <f t="shared" si="1"/>
        <v>Sabel Systems Technology Solutions, LLC</v>
      </c>
      <c r="I60" t="s">
        <v>537</v>
      </c>
      <c r="J60" t="str">
        <f>+VLOOKUP(K60,'[2]Sheet2 (2)'!$G$1:$H$73, 2, FALSE)</f>
        <v>Urology Management Holdings Inc</v>
      </c>
      <c r="K60" t="s">
        <v>538</v>
      </c>
      <c r="L60" t="s">
        <v>538</v>
      </c>
      <c r="M60" s="142">
        <f t="shared" si="2"/>
        <v>2672274.0499999998</v>
      </c>
      <c r="N60" s="142">
        <f>VLOOKUP(K60, 'Loan List '!$A$6:$H$82, 8, FALSE)</f>
        <v>2672274.0099999998</v>
      </c>
      <c r="O60" s="142">
        <f>VLOOKUP(I60, Sheet2!$A$1:$D$78, 4, FALSE)</f>
        <v>2672274.0099999998</v>
      </c>
      <c r="P60" s="213">
        <f t="shared" si="3"/>
        <v>0</v>
      </c>
      <c r="Q60" s="214">
        <f>VLOOKUP(I60, Sheet2!$A$1:$E$78, 5, FALSE)</f>
        <v>9.6792455268901997E-2</v>
      </c>
      <c r="R60" s="215">
        <f>VLOOKUP($L60, '[3]BNP Borrowing Base PSLF JV (PIF'!$A$8:$AI$181, 11, FALSE)</f>
        <v>5.5E-2</v>
      </c>
      <c r="S60" s="216">
        <f>VLOOKUP($L60, '[3]BNP Borrowing Base PSLF JV (PIF'!$A$8:$AI$181, 20, FALSE)</f>
        <v>45657</v>
      </c>
      <c r="T60">
        <f>VLOOKUP($L60, '[3]BNP Borrowing Base PSLF JV (PIF'!$A$8:$AI$181, 22, FALSE)</f>
        <v>4.3827134179275724</v>
      </c>
      <c r="U60">
        <f>VLOOKUP($L60, '[3]BNP Borrowing Base PSLF JV (PIF'!$A$8:$AI$181, 23, FALSE)</f>
        <v>115.77626012333199</v>
      </c>
      <c r="V60">
        <f>VLOOKUP($L60, '[3]BNP Borrowing Base PSLF JV (PIF'!$A$8:$AI$181, 32, FALSE)</f>
        <v>4.3827134179275724</v>
      </c>
      <c r="W60">
        <f>VLOOKUP($L60, '[3]BNP Borrowing Base PSLF JV (PIF'!$A$8:$AI$181, 34, FALSE)</f>
        <v>1.6708015821571267</v>
      </c>
    </row>
    <row r="61" spans="1:23">
      <c r="A61" s="141" t="s">
        <v>308</v>
      </c>
      <c r="B61">
        <v>4987500</v>
      </c>
      <c r="D61" s="141" t="s">
        <v>308</v>
      </c>
      <c r="E61" s="142">
        <v>4987500</v>
      </c>
      <c r="F61" t="str">
        <f t="shared" si="1"/>
        <v>Seacoast</v>
      </c>
      <c r="I61" t="s">
        <v>539</v>
      </c>
      <c r="J61" t="str">
        <f>+VLOOKUP(K61,'[2]Sheet2 (2)'!$G$1:$H$73, 2, FALSE)</f>
        <v>US Fertility Enterprises LLC</v>
      </c>
      <c r="K61" t="s">
        <v>540</v>
      </c>
      <c r="L61" t="s">
        <v>540</v>
      </c>
      <c r="M61" s="142">
        <f t="shared" si="2"/>
        <v>4987500</v>
      </c>
      <c r="N61" s="142">
        <f>VLOOKUP(K61, 'Loan List '!$A$6:$H$82, 8, FALSE)</f>
        <v>4987500</v>
      </c>
      <c r="O61" s="142">
        <f>VLOOKUP(I61, Sheet2!$A$1:$D$78, 4, FALSE)</f>
        <v>4987500</v>
      </c>
      <c r="P61" s="213">
        <f t="shared" si="3"/>
        <v>0</v>
      </c>
      <c r="Q61" s="214">
        <f>VLOOKUP(I61, Sheet2!$A$1:$E$78, 5, FALSE)</f>
        <v>8.82878E-2</v>
      </c>
      <c r="R61" s="215">
        <f>VLOOKUP($L61, '[3]BNP Borrowing Base PSLF JV (PIF'!$A$8:$AI$181, 11, FALSE)</f>
        <v>4.4999999999999998E-2</v>
      </c>
      <c r="S61" s="216">
        <f>VLOOKUP($L61, '[3]BNP Borrowing Base PSLF JV (PIF'!$A$8:$AI$181, 20, FALSE)</f>
        <v>45657</v>
      </c>
      <c r="T61">
        <f>VLOOKUP($L61, '[3]BNP Borrowing Base PSLF JV (PIF'!$A$8:$AI$181, 22, FALSE)</f>
        <v>4.250890233362143</v>
      </c>
      <c r="U61">
        <f>VLOOKUP($L61, '[3]BNP Borrowing Base PSLF JV (PIF'!$A$8:$AI$181, 23, FALSE)</f>
        <v>115.7</v>
      </c>
      <c r="V61">
        <f>VLOOKUP($L61, '[3]BNP Borrowing Base PSLF JV (PIF'!$A$8:$AI$181, 32, FALSE)</f>
        <v>4.250890233362143</v>
      </c>
      <c r="W61">
        <f>VLOOKUP($L61, '[3]BNP Borrowing Base PSLF JV (PIF'!$A$8:$AI$181, 34, FALSE)</f>
        <v>1.6915204678362572</v>
      </c>
    </row>
    <row r="62" spans="1:23">
      <c r="A62" s="141" t="s">
        <v>104</v>
      </c>
      <c r="B62">
        <v>608095.06000000006</v>
      </c>
      <c r="D62" s="141" t="s">
        <v>104</v>
      </c>
      <c r="E62" s="142">
        <v>608095.06000000006</v>
      </c>
      <c r="F62" t="str">
        <f t="shared" si="1"/>
        <v>Seaway Plastics</v>
      </c>
      <c r="I62" t="s">
        <v>541</v>
      </c>
      <c r="J62" t="str">
        <f>+VLOOKUP(K62,'[2]Sheet2 (2)'!$G$1:$H$73, 2, FALSE)</f>
        <v>Watchtower Buyer LLC</v>
      </c>
      <c r="K62" t="s">
        <v>541</v>
      </c>
      <c r="L62" t="s">
        <v>541</v>
      </c>
      <c r="M62" s="142">
        <f t="shared" si="2"/>
        <v>6443355.6399999997</v>
      </c>
      <c r="N62" s="142">
        <f>VLOOKUP(K62, 'Loan List '!$A$6:$H$82, 8, FALSE)</f>
        <v>6443355.6400000006</v>
      </c>
      <c r="O62" s="142">
        <f>VLOOKUP(I62, Sheet2!$A$1:$D$78, 4, FALSE)</f>
        <v>6443355.6400000006</v>
      </c>
      <c r="P62" s="213">
        <f t="shared" si="3"/>
        <v>0</v>
      </c>
      <c r="Q62" s="214">
        <f>VLOOKUP(I62, Sheet2!$A$1:$E$78, 5, FALSE)</f>
        <v>0.10038550311056441</v>
      </c>
      <c r="R62" s="215">
        <f>VLOOKUP($L62, '[3]BNP Borrowing Base PSLF JV (PIF'!$A$8:$AI$181, 11, FALSE)</f>
        <v>0.06</v>
      </c>
      <c r="S62" s="216">
        <f>VLOOKUP($L62, '[3]BNP Borrowing Base PSLF JV (PIF'!$A$8:$AI$181, 20, FALSE)</f>
        <v>45716</v>
      </c>
      <c r="T62">
        <f>VLOOKUP($L62, '[3]BNP Borrowing Base PSLF JV (PIF'!$A$8:$AI$181, 22, FALSE)</f>
        <v>4.8891217526114934</v>
      </c>
      <c r="U62">
        <f>VLOOKUP($L62, '[3]BNP Borrowing Base PSLF JV (PIF'!$A$8:$AI$181, 23, FALSE)</f>
        <v>10.9838868241143</v>
      </c>
      <c r="V62">
        <f>VLOOKUP($L62, '[3]BNP Borrowing Base PSLF JV (PIF'!$A$8:$AI$181, 32, FALSE)</f>
        <v>4.8891217526114934</v>
      </c>
      <c r="W62">
        <f>VLOOKUP($L62, '[3]BNP Borrowing Base PSLF JV (PIF'!$A$8:$AI$181, 34, FALSE)</f>
        <v>1.6233362836140151</v>
      </c>
    </row>
    <row r="63" spans="1:23">
      <c r="A63" s="141" t="s">
        <v>101</v>
      </c>
      <c r="B63">
        <v>18453743.010000002</v>
      </c>
      <c r="D63" s="141" t="s">
        <v>101</v>
      </c>
      <c r="E63" s="142">
        <v>18453743.010000002</v>
      </c>
      <c r="F63" t="str">
        <f t="shared" si="1"/>
        <v>Sigma Defense Systems, LLC</v>
      </c>
      <c r="I63" t="s">
        <v>542</v>
      </c>
      <c r="J63" t="str">
        <f>+VLOOKUP(K63,'[2]Sheet2 (2)'!$G$1:$H$73, 2, FALSE)</f>
        <v>HV Watterson Holdings LLC</v>
      </c>
      <c r="K63" t="s">
        <v>543</v>
      </c>
      <c r="L63" t="s">
        <v>543</v>
      </c>
      <c r="M63" s="142">
        <f t="shared" si="2"/>
        <v>9328396.7400000002</v>
      </c>
      <c r="N63" s="142">
        <f>VLOOKUP(K63, 'Loan List '!$A$6:$H$82, 8, FALSE)</f>
        <v>9328396.75</v>
      </c>
      <c r="O63" s="142">
        <f>VLOOKUP(I63, Sheet2!$A$1:$D$78, 4, FALSE)</f>
        <v>9328396.75</v>
      </c>
      <c r="P63" s="213">
        <f t="shared" si="3"/>
        <v>0</v>
      </c>
      <c r="Q63" s="214">
        <f>VLOOKUP(I63, Sheet2!$A$1:$E$78, 5, FALSE)</f>
        <v>0.12000000000000001</v>
      </c>
      <c r="R63" s="215">
        <f>VLOOKUP($L63, '[3]BNP Borrowing Base PSLF JV (PIF'!$A$8:$AI$181, 11, FALSE)</f>
        <v>0.06</v>
      </c>
      <c r="S63" s="216">
        <f>VLOOKUP($L63, '[3]BNP Borrowing Base PSLF JV (PIF'!$A$8:$AI$181, 20, FALSE)</f>
        <v>45716</v>
      </c>
      <c r="T63">
        <f>VLOOKUP($L63, '[3]BNP Borrowing Base PSLF JV (PIF'!$A$8:$AI$181, 22, FALSE)</f>
        <v>13.366389168008665</v>
      </c>
      <c r="U63">
        <f>VLOOKUP($L63, '[3]BNP Borrowing Base PSLF JV (PIF'!$A$8:$AI$181, 23, FALSE)</f>
        <v>8.8660474800207592</v>
      </c>
      <c r="V63">
        <f>VLOOKUP($L63, '[3]BNP Borrowing Base PSLF JV (PIF'!$A$8:$AI$181, 32, FALSE)</f>
        <v>13.366389168008665</v>
      </c>
      <c r="W63">
        <f>VLOOKUP($L63, '[3]BNP Borrowing Base PSLF JV (PIF'!$A$8:$AI$181, 34, FALSE)</f>
        <v>0.5653776891539134</v>
      </c>
    </row>
    <row r="64" spans="1:23">
      <c r="A64" s="141" t="s">
        <v>54</v>
      </c>
      <c r="B64">
        <v>1412004.18</v>
      </c>
      <c r="D64" s="141" t="s">
        <v>54</v>
      </c>
      <c r="E64" s="142">
        <v>1412004.18</v>
      </c>
      <c r="F64" t="str">
        <f t="shared" si="1"/>
        <v>Reception Purchaser, LLC -First Out Term loan</v>
      </c>
      <c r="I64" t="s">
        <v>544</v>
      </c>
      <c r="J64" t="str">
        <f>+VLOOKUP(K64,'[2]Sheet2 (2)'!$G$1:$H$73, 2, FALSE)</f>
        <v>Zips Car Wash LLC</v>
      </c>
      <c r="K64" t="s">
        <v>544</v>
      </c>
      <c r="L64" t="s">
        <v>545</v>
      </c>
      <c r="M64" s="142">
        <f t="shared" si="2"/>
        <v>8577681.1799999997</v>
      </c>
      <c r="N64" s="142">
        <f>VLOOKUP(K64, 'Loan List '!$A$6:$H$82, 8, FALSE)</f>
        <v>8577681.2599999998</v>
      </c>
      <c r="O64" s="142">
        <f>VLOOKUP(I64, Sheet2!$A$1:$D$78, 4, FALSE)</f>
        <v>8577681.2599999998</v>
      </c>
      <c r="P64" s="213">
        <f t="shared" si="3"/>
        <v>0</v>
      </c>
      <c r="Q64" s="214">
        <f>VLOOKUP(I64, Sheet2!$A$1:$E$78, 5, FALSE)</f>
        <v>0</v>
      </c>
      <c r="R64" s="215">
        <f>VLOOKUP($L64, '[3]BNP Borrowing Base PSLF JV (PIF'!$A$8:$AI$181, 11, FALSE)</f>
        <v>0</v>
      </c>
      <c r="S64" s="216">
        <f>VLOOKUP($L64, '[3]BNP Borrowing Base PSLF JV (PIF'!$A$8:$AI$181, 20, FALSE)</f>
        <v>45777</v>
      </c>
      <c r="T64">
        <f>VLOOKUP($L64, '[3]BNP Borrowing Base PSLF JV (PIF'!$A$8:$AI$181, 22, FALSE)</f>
        <v>4.4412692742751689</v>
      </c>
      <c r="U64">
        <f>VLOOKUP($L64, '[3]BNP Borrowing Base PSLF JV (PIF'!$A$8:$AI$181, 23, FALSE)</f>
        <v>50.390999999999998</v>
      </c>
      <c r="V64">
        <f>VLOOKUP($L64, '[3]BNP Borrowing Base PSLF JV (PIF'!$A$8:$AI$181, 32, FALSE)</f>
        <v>7.4179913079716622</v>
      </c>
      <c r="W64">
        <f>VLOOKUP($L64, '[3]BNP Borrowing Base PSLF JV (PIF'!$A$8:$AI$181, 34, FALSE)</f>
        <v>2.2495982142857143</v>
      </c>
    </row>
    <row r="65" spans="1:23">
      <c r="A65" s="141" t="s">
        <v>162</v>
      </c>
      <c r="B65">
        <v>795000</v>
      </c>
      <c r="D65" s="141" t="s">
        <v>162</v>
      </c>
      <c r="E65" s="142">
        <v>795000</v>
      </c>
      <c r="F65" t="str">
        <f t="shared" si="1"/>
        <v>SV- Aero Holdings, LLC (Aeronix)</v>
      </c>
      <c r="I65" t="s">
        <v>546</v>
      </c>
      <c r="J65" t="str">
        <f>+VLOOKUP(K65,'[2]Sheet2 (2)'!$G$1:$H$73, 2, FALSE)</f>
        <v>By Light Professional IT Services LLC</v>
      </c>
      <c r="K65" t="s">
        <v>547</v>
      </c>
      <c r="L65" t="s">
        <v>547</v>
      </c>
      <c r="M65" s="142">
        <v>0</v>
      </c>
      <c r="N65" s="142">
        <f>VLOOKUP(K65, 'Loan List '!$A$6:$H$82, 8, FALSE)</f>
        <v>0</v>
      </c>
      <c r="O65" s="142">
        <f>VLOOKUP(I65, Sheet2!$A$1:$D$78, 4, FALSE)</f>
        <v>0</v>
      </c>
      <c r="P65" s="213">
        <f t="shared" si="3"/>
        <v>0</v>
      </c>
      <c r="Q65" s="214">
        <f>VLOOKUP(I65, Sheet2!$A$1:$E$78, 5, FALSE)</f>
        <v>0.10792699999999998</v>
      </c>
      <c r="R65" s="215">
        <f>VLOOKUP($L65, '[3]BNP Borrowing Base PSLF JV (PIF'!$A$8:$AI$181, 11, FALSE)</f>
        <v>6.25E-2</v>
      </c>
      <c r="S65" s="216">
        <f>VLOOKUP($L65, '[3]BNP Borrowing Base PSLF JV (PIF'!$A$8:$AI$181, 20, FALSE)</f>
        <v>45747</v>
      </c>
      <c r="T65">
        <f>VLOOKUP($L65, '[3]BNP Borrowing Base PSLF JV (PIF'!$A$8:$AI$181, 22, FALSE)</f>
        <v>4.9760178472755356</v>
      </c>
      <c r="U65">
        <f>VLOOKUP($L65, '[3]BNP Borrowing Base PSLF JV (PIF'!$A$8:$AI$181, 23, FALSE)</f>
        <v>109.066731</v>
      </c>
      <c r="V65">
        <f>VLOOKUP($L65, '[3]BNP Borrowing Base PSLF JV (PIF'!$A$8:$AI$181, 32, FALSE)</f>
        <v>5.2120934338813178</v>
      </c>
      <c r="W65">
        <f>VLOOKUP($L65, '[3]BNP Borrowing Base PSLF JV (PIF'!$A$8:$AI$181, 34, FALSE)</f>
        <v>1.6536057060885885</v>
      </c>
    </row>
    <row r="66" spans="1:23">
      <c r="A66" s="141" t="s">
        <v>263</v>
      </c>
      <c r="B66">
        <v>1279276.33</v>
      </c>
      <c r="D66" s="141" t="s">
        <v>263</v>
      </c>
      <c r="E66" s="142">
        <v>1279276.33</v>
      </c>
      <c r="F66" t="str">
        <f t="shared" si="1"/>
        <v xml:space="preserve">System Planning and Analysis, Inc. </v>
      </c>
      <c r="I66" t="s">
        <v>548</v>
      </c>
      <c r="J66" t="str">
        <f>+VLOOKUP(K66,'[2]Sheet2 (2)'!$G$1:$H$73, 2, FALSE)</f>
        <v>Best Practice Associates LLC</v>
      </c>
      <c r="K66" t="s">
        <v>549</v>
      </c>
      <c r="L66" t="s">
        <v>549</v>
      </c>
      <c r="M66" s="142">
        <f t="shared" si="2"/>
        <v>10781437.5</v>
      </c>
      <c r="N66" s="142">
        <f t="shared" ref="N66:N68" si="5">O66</f>
        <v>6981437.5</v>
      </c>
      <c r="O66" s="142">
        <f>VLOOKUP(I66, Sheet2!$A$1:$D$78, 4, FALSE)</f>
        <v>6981437.5</v>
      </c>
      <c r="P66" s="213">
        <f t="shared" si="3"/>
        <v>0</v>
      </c>
      <c r="Q66" s="214">
        <f>VLOOKUP(I66, Sheet2!$A$1:$E$78, 5, FALSE)</f>
        <v>0.1104917</v>
      </c>
      <c r="R66" s="215">
        <f>VLOOKUP($L66, '[3]BNP Borrowing Base PSLF JV (PIF'!$A$8:$AI$181, 11, FALSE)</f>
        <v>6.7500000000000004E-2</v>
      </c>
      <c r="S66" s="216">
        <f>VLOOKUP($L66, '[3]BNP Borrowing Base PSLF JV (PIF'!$A$8:$AI$181, 20, FALSE)</f>
        <v>45716</v>
      </c>
      <c r="T66">
        <f>VLOOKUP($L66, '[3]BNP Borrowing Base PSLF JV (PIF'!$A$8:$AI$181, 22, FALSE)</f>
        <v>4.4216391314769723</v>
      </c>
      <c r="U66">
        <f>VLOOKUP($L66, '[3]BNP Borrowing Base PSLF JV (PIF'!$A$8:$AI$181, 23, FALSE)</f>
        <v>71.800262879877536</v>
      </c>
      <c r="V66">
        <f>VLOOKUP($L66, '[3]BNP Borrowing Base PSLF JV (PIF'!$A$8:$AI$181, 32, FALSE)</f>
        <v>4.6924708862650153</v>
      </c>
      <c r="W66">
        <f>VLOOKUP($L66, '[3]BNP Borrowing Base PSLF JV (PIF'!$A$8:$AI$181, 34, FALSE)</f>
        <v>2.2291668328924894</v>
      </c>
    </row>
    <row r="67" spans="1:23">
      <c r="A67" s="141" t="s">
        <v>97</v>
      </c>
      <c r="B67">
        <v>3930150.76</v>
      </c>
      <c r="D67" s="141" t="s">
        <v>97</v>
      </c>
      <c r="E67" s="142">
        <v>3930150.76</v>
      </c>
      <c r="F67" t="str">
        <f t="shared" si="1"/>
        <v>TCD 3.0 Jogger Acquisitionco, Inc. Term Loan</v>
      </c>
      <c r="I67" t="s">
        <v>550</v>
      </c>
      <c r="J67" t="str">
        <f>+VLOOKUP(K67,'[2]Sheet2 (2)'!$G$1:$H$73, 2, FALSE)</f>
        <v>Arcfield Acquisition Corp</v>
      </c>
      <c r="K67" t="s">
        <v>551</v>
      </c>
      <c r="L67" t="s">
        <v>551</v>
      </c>
      <c r="M67" s="142">
        <f t="shared" si="2"/>
        <v>11620875</v>
      </c>
      <c r="N67" s="142">
        <f t="shared" si="5"/>
        <v>2320875</v>
      </c>
      <c r="O67" s="142">
        <f>VLOOKUP(I67, Sheet2!$A$1:$D$78, 4, FALSE)</f>
        <v>2320875</v>
      </c>
      <c r="P67" s="213">
        <f t="shared" si="3"/>
        <v>0</v>
      </c>
      <c r="Q67" s="214">
        <f>VLOOKUP(I67, Sheet2!$A$1:$E$78, 5, FALSE)</f>
        <v>9.2997999999999997E-2</v>
      </c>
      <c r="R67" s="215">
        <f>VLOOKUP($L67, '[3]BNP Borrowing Base PSLF JV (PIF'!$A$8:$AI$181, 11, FALSE)</f>
        <v>6.25E-2</v>
      </c>
      <c r="S67" s="216">
        <f>VLOOKUP($L67, '[3]BNP Borrowing Base PSLF JV (PIF'!$A$8:$AI$181, 20, FALSE)</f>
        <v>45565</v>
      </c>
      <c r="T67">
        <f>VLOOKUP($L67, '[3]BNP Borrowing Base PSLF JV (PIF'!$A$8:$AI$181, 22, FALSE)</f>
        <v>3.9264544790652387</v>
      </c>
      <c r="U67">
        <f>VLOOKUP($L67, '[3]BNP Borrowing Base PSLF JV (PIF'!$A$8:$AI$181, 23, FALSE)</f>
        <v>65.727999999999994</v>
      </c>
      <c r="V67">
        <f>VLOOKUP($L67, '[3]BNP Borrowing Base PSLF JV (PIF'!$A$8:$AI$181, 32, FALSE)</f>
        <v>3.9264544790652387</v>
      </c>
      <c r="W67">
        <f>VLOOKUP($L67, '[3]BNP Borrowing Base PSLF JV (PIF'!$A$8:$AI$181, 34, FALSE)</f>
        <v>1.786815277966562</v>
      </c>
    </row>
    <row r="68" spans="1:23">
      <c r="A68" s="141" t="s">
        <v>178</v>
      </c>
      <c r="B68">
        <v>997500</v>
      </c>
      <c r="D68" s="141" t="s">
        <v>178</v>
      </c>
      <c r="E68" s="142">
        <v>997500</v>
      </c>
      <c r="F68" t="str">
        <f t="shared" si="1"/>
        <v>Team Services Group, LLC</v>
      </c>
      <c r="I68" t="s">
        <v>552</v>
      </c>
      <c r="J68" t="str">
        <f>+VLOOKUP(K68,'[2]Sheet2 (2)'!$G$1:$H$73, 2, FALSE)</f>
        <v>BLC Holding Company Inc</v>
      </c>
      <c r="K68" t="s">
        <v>553</v>
      </c>
      <c r="L68" t="s">
        <v>553</v>
      </c>
      <c r="M68" s="142">
        <f t="shared" si="2"/>
        <v>2098550.6</v>
      </c>
      <c r="N68" s="142">
        <f t="shared" si="5"/>
        <v>2098550.6</v>
      </c>
      <c r="O68" s="142">
        <f>VLOOKUP(I68, Sheet2!$A$1:$D$78, 4, FALSE)</f>
        <v>2098550.6</v>
      </c>
      <c r="P68" s="213">
        <f t="shared" si="3"/>
        <v>0</v>
      </c>
      <c r="Q68" s="214">
        <f>VLOOKUP(I68, Sheet2!$A$1:$E$78, 5, FALSE)</f>
        <v>9.0492000000000031E-2</v>
      </c>
      <c r="R68" s="215">
        <f>VLOOKUP($L68, '[3]BNP Borrowing Base PSLF JV (PIF'!$A$8:$AI$181, 11, FALSE)</f>
        <v>4.7500000000000001E-2</v>
      </c>
      <c r="S68" s="216">
        <f>VLOOKUP($L68, '[3]BNP Borrowing Base PSLF JV (PIF'!$A$8:$AI$181, 20, FALSE)</f>
        <v>45716</v>
      </c>
      <c r="T68">
        <f>VLOOKUP($L68, '[3]BNP Borrowing Base PSLF JV (PIF'!$A$8:$AI$181, 22, FALSE)</f>
        <v>4.1780534998918286</v>
      </c>
      <c r="U68">
        <f>VLOOKUP($L68, '[3]BNP Borrowing Base PSLF JV (PIF'!$A$8:$AI$181, 23, FALSE)</f>
        <v>13.237992524852055</v>
      </c>
      <c r="V68">
        <f>VLOOKUP($L68, '[3]BNP Borrowing Base PSLF JV (PIF'!$A$8:$AI$181, 32, FALSE)</f>
        <v>4.1780534998918286</v>
      </c>
      <c r="W68">
        <f>VLOOKUP($L68, '[3]BNP Borrowing Base PSLF JV (PIF'!$A$8:$AI$181, 34, FALSE)</f>
        <v>2.1039530316381527</v>
      </c>
    </row>
    <row r="69" spans="1:23">
      <c r="A69" s="141" t="s">
        <v>172</v>
      </c>
      <c r="B69">
        <v>3192037.24</v>
      </c>
      <c r="D69" s="141" t="s">
        <v>172</v>
      </c>
      <c r="E69" s="142">
        <v>3192037.24</v>
      </c>
      <c r="F69" t="str">
        <f t="shared" ref="F69:F76" si="6">VLOOKUP(D69, $J$4:$K$79, 2, FALSE)</f>
        <v>A1 Garage Merger Sub, LLC</v>
      </c>
      <c r="I69" t="s">
        <v>554</v>
      </c>
      <c r="J69" t="str">
        <f>+VLOOKUP(K69,'[2]Sheet2 (2)'!$G$1:$H$73, 2, FALSE)</f>
        <v>OSP Embedded Purchaser LLC</v>
      </c>
      <c r="K69" t="s">
        <v>555</v>
      </c>
      <c r="L69" t="s">
        <v>555</v>
      </c>
      <c r="M69" s="142">
        <f t="shared" ref="M69:M79" si="7">VLOOKUP(J69, $D$4:$E$78, 2, FALSE)</f>
        <v>19022012</v>
      </c>
      <c r="N69" s="142">
        <f>VLOOKUP(K69, 'Loan List '!$A$6:$H$82, 8, FALSE)</f>
        <v>19022012</v>
      </c>
      <c r="O69" s="142">
        <f>VLOOKUP(I69, Sheet2!$A$1:$D$78, 4, FALSE)</f>
        <v>19022012</v>
      </c>
      <c r="P69" s="213">
        <f t="shared" ref="P69:P79" si="8">N69-O69</f>
        <v>0</v>
      </c>
      <c r="Q69" s="214">
        <f>VLOOKUP(I69, Sheet2!$A$1:$E$78, 5, FALSE)</f>
        <v>0.10049200000000001</v>
      </c>
      <c r="R69" s="215">
        <f>VLOOKUP($L69, '[3]BNP Borrowing Base PSLF JV (PIF'!$A$8:$AI$181, 11, FALSE)</f>
        <v>5.8500000000000003E-2</v>
      </c>
      <c r="S69" s="216">
        <f>VLOOKUP($L69, '[3]BNP Borrowing Base PSLF JV (PIF'!$A$8:$AI$181, 20, FALSE)</f>
        <v>45688</v>
      </c>
      <c r="T69">
        <f>VLOOKUP($L69, '[3]BNP Borrowing Base PSLF JV (PIF'!$A$8:$AI$181, 22, FALSE)</f>
        <v>3.7932843137254904</v>
      </c>
      <c r="U69">
        <f>VLOOKUP($L69, '[3]BNP Borrowing Base PSLF JV (PIF'!$A$8:$AI$181, 23, FALSE)</f>
        <v>20.399999999999999</v>
      </c>
      <c r="V69">
        <f>VLOOKUP($L69, '[3]BNP Borrowing Base PSLF JV (PIF'!$A$8:$AI$181, 32, FALSE)</f>
        <v>4.2834803921568625</v>
      </c>
      <c r="W69">
        <f>VLOOKUP($L69, '[3]BNP Borrowing Base PSLF JV (PIF'!$A$8:$AI$181, 34, FALSE)</f>
        <v>2.193548387096774</v>
      </c>
    </row>
    <row r="70" spans="1:23">
      <c r="A70" s="141" t="s">
        <v>69</v>
      </c>
      <c r="B70">
        <v>3163695.72</v>
      </c>
      <c r="D70" s="141" t="s">
        <v>69</v>
      </c>
      <c r="E70" s="142">
        <v>3163695.72</v>
      </c>
      <c r="F70" t="str">
        <f t="shared" si="6"/>
        <v>Transgo</v>
      </c>
      <c r="I70" t="s">
        <v>556</v>
      </c>
      <c r="J70" s="141" t="s">
        <v>304</v>
      </c>
      <c r="K70" t="s">
        <v>557</v>
      </c>
      <c r="L70" t="s">
        <v>558</v>
      </c>
      <c r="M70" s="142">
        <f t="shared" si="7"/>
        <v>9000000</v>
      </c>
      <c r="N70" s="142">
        <f>VLOOKUP(K70, 'Loan List '!$A$6:$H$82, 8, FALSE)</f>
        <v>9000000</v>
      </c>
      <c r="O70" s="142">
        <f>VLOOKUP(I70, Sheet2!$A$1:$D$78, 4, FALSE)</f>
        <v>9000000</v>
      </c>
      <c r="P70" s="213">
        <f t="shared" si="8"/>
        <v>0</v>
      </c>
      <c r="Q70" s="214">
        <f>VLOOKUP(I70, Sheet2!$A$1:$E$78, 5, FALSE)</f>
        <v>9.0785999999999992E-2</v>
      </c>
      <c r="R70" s="215">
        <f>VLOOKUP($L70, '[3]BNP Borrowing Base PSLF JV (PIF'!$A$8:$AI$181, 11, FALSE)</f>
        <v>4.7500000000000001E-2</v>
      </c>
      <c r="S70" s="216">
        <f>VLOOKUP($L70, '[3]BNP Borrowing Base PSLF JV (PIF'!$A$8:$AI$181, 20, FALSE)</f>
        <v>45688</v>
      </c>
      <c r="T70">
        <f>VLOOKUP($L70, '[3]BNP Borrowing Base PSLF JV (PIF'!$A$8:$AI$181, 22, FALSE)</f>
        <v>3.870796349543693</v>
      </c>
      <c r="U70">
        <f>VLOOKUP($L70, '[3]BNP Borrowing Base PSLF JV (PIF'!$A$8:$AI$181, 23, FALSE)</f>
        <v>15.997999999999999</v>
      </c>
      <c r="V70">
        <f>VLOOKUP($L70, '[3]BNP Borrowing Base PSLF JV (PIF'!$A$8:$AI$181, 32, FALSE)</f>
        <v>3.870796349543693</v>
      </c>
      <c r="W70">
        <f>VLOOKUP($L70, '[3]BNP Borrowing Base PSLF JV (PIF'!$A$8:$AI$181, 34, FALSE)</f>
        <v>2.0776623376623373</v>
      </c>
    </row>
    <row r="71" spans="1:23">
      <c r="A71" s="141" t="s">
        <v>164</v>
      </c>
      <c r="B71">
        <v>2672274.0499999998</v>
      </c>
      <c r="D71" s="141" t="s">
        <v>164</v>
      </c>
      <c r="E71" s="142">
        <v>2672274.0499999998</v>
      </c>
      <c r="F71" t="str">
        <f t="shared" si="6"/>
        <v>UROLOGY MANAGEMENT HOLDINGS, INC.</v>
      </c>
      <c r="I71" t="s">
        <v>312</v>
      </c>
      <c r="J71" s="141" t="s">
        <v>312</v>
      </c>
      <c r="K71" t="s">
        <v>559</v>
      </c>
      <c r="L71" t="s">
        <v>559</v>
      </c>
      <c r="M71" s="142">
        <f t="shared" si="7"/>
        <v>5985000</v>
      </c>
      <c r="N71" s="142">
        <f>VLOOKUP(K71, 'Loan List '!$A$6:$H$82, 8, FALSE)</f>
        <v>6000000</v>
      </c>
      <c r="O71" s="142">
        <f>VLOOKUP(I71, Sheet2!$A$1:$D$78, 4, FALSE)</f>
        <v>6000000</v>
      </c>
      <c r="P71" s="213">
        <f t="shared" si="8"/>
        <v>0</v>
      </c>
      <c r="Q71" s="214">
        <f>VLOOKUP(I71, Sheet2!$A$1:$E$78, 5, FALSE)</f>
        <v>9.5738400000000001E-2</v>
      </c>
      <c r="R71" s="215">
        <f>VLOOKUP($L71, '[3]BNP Borrowing Base PSLF JV (PIF'!$A$8:$AI$181, 11, FALSE)</f>
        <v>5.2499999999999998E-2</v>
      </c>
      <c r="S71" s="216">
        <f>VLOOKUP($L71, '[3]BNP Borrowing Base PSLF JV (PIF'!$A$8:$AI$181, 20, FALSE)</f>
        <v>45716</v>
      </c>
      <c r="T71">
        <f>VLOOKUP($L71, '[3]BNP Borrowing Base PSLF JV (PIF'!$A$8:$AI$181, 22, FALSE)</f>
        <v>5.0326621901750501</v>
      </c>
      <c r="U71">
        <f>VLOOKUP($L71, '[3]BNP Borrowing Base PSLF JV (PIF'!$A$8:$AI$181, 23, FALSE)</f>
        <v>22.916578868566667</v>
      </c>
      <c r="V71">
        <f>VLOOKUP($L71, '[3]BNP Borrowing Base PSLF JV (PIF'!$A$8:$AI$181, 32, FALSE)</f>
        <v>5.0326621901750501</v>
      </c>
      <c r="W71">
        <f>VLOOKUP($L71, '[3]BNP Borrowing Base PSLF JV (PIF'!$A$8:$AI$181, 34, FALSE)</f>
        <v>1.6473026517776352</v>
      </c>
    </row>
    <row r="72" spans="1:23">
      <c r="A72" s="141" t="s">
        <v>142</v>
      </c>
      <c r="B72">
        <v>4987500</v>
      </c>
      <c r="D72" s="141" t="s">
        <v>142</v>
      </c>
      <c r="E72" s="142">
        <v>4987500</v>
      </c>
      <c r="F72" t="str">
        <f t="shared" si="6"/>
        <v>US Fertility</v>
      </c>
      <c r="I72" t="s">
        <v>560</v>
      </c>
      <c r="J72" s="141" t="s">
        <v>308</v>
      </c>
      <c r="K72" t="s">
        <v>561</v>
      </c>
      <c r="L72" t="s">
        <v>562</v>
      </c>
      <c r="M72" s="142">
        <f t="shared" si="7"/>
        <v>4987500</v>
      </c>
      <c r="N72" s="142">
        <f>VLOOKUP(K72, 'Loan List '!$A$6:$H$82, 8, FALSE)</f>
        <v>4987500</v>
      </c>
      <c r="O72" s="142">
        <f>VLOOKUP(I72, Sheet2!$A$1:$D$78, 4, FALSE)</f>
        <v>4987500</v>
      </c>
      <c r="P72" s="213">
        <f t="shared" si="8"/>
        <v>0</v>
      </c>
      <c r="Q72" s="214">
        <f>VLOOKUP(I72, Sheet2!$A$1:$E$78, 5, FALSE)</f>
        <v>9.2992000000000005E-2</v>
      </c>
      <c r="R72" s="215">
        <f>VLOOKUP($L72, '[3]BNP Borrowing Base PSLF JV (PIF'!$A$8:$AI$181, 11, FALSE)</f>
        <v>0.05</v>
      </c>
      <c r="S72" s="216">
        <f>VLOOKUP($L72, '[3]BNP Borrowing Base PSLF JV (PIF'!$A$8:$AI$181, 20, FALSE)</f>
        <v>45716</v>
      </c>
      <c r="T72">
        <f>VLOOKUP($L72, '[3]BNP Borrowing Base PSLF JV (PIF'!$A$8:$AI$181, 22, FALSE)</f>
        <v>2.6148019241752736</v>
      </c>
      <c r="U72">
        <f>VLOOKUP($L72, '[3]BNP Borrowing Base PSLF JV (PIF'!$A$8:$AI$181, 23, FALSE)</f>
        <v>9.9211258298971217</v>
      </c>
      <c r="V72">
        <f>VLOOKUP($L72, '[3]BNP Borrowing Base PSLF JV (PIF'!$A$8:$AI$181, 32, FALSE)</f>
        <v>2.6148019241752736</v>
      </c>
      <c r="W72">
        <f>VLOOKUP($L72, '[3]BNP Borrowing Base PSLF JV (PIF'!$A$8:$AI$181, 34, FALSE)</f>
        <v>4.9605629149485608</v>
      </c>
    </row>
    <row r="73" spans="1:23">
      <c r="A73" s="141" t="s">
        <v>220</v>
      </c>
      <c r="B73">
        <v>6982500</v>
      </c>
      <c r="D73" s="141" t="s">
        <v>220</v>
      </c>
      <c r="E73" s="142">
        <v>6982500</v>
      </c>
      <c r="F73" t="str">
        <f t="shared" si="6"/>
        <v>The Vertex Companies, LLC</v>
      </c>
      <c r="I73" t="s">
        <v>563</v>
      </c>
      <c r="J73" s="141" t="s">
        <v>316</v>
      </c>
      <c r="K73" t="s">
        <v>564</v>
      </c>
      <c r="L73" t="s">
        <v>565</v>
      </c>
      <c r="M73" s="142">
        <f t="shared" si="7"/>
        <v>20000000</v>
      </c>
      <c r="N73" s="142">
        <f>VLOOKUP(K73, 'Loan List '!$A$6:$H$82, 8, FALSE)</f>
        <v>20000000</v>
      </c>
      <c r="O73" s="142">
        <f>VLOOKUP(I73, Sheet2!$A$1:$D$78, 4, FALSE)</f>
        <v>20000000</v>
      </c>
      <c r="P73" s="213">
        <f t="shared" si="8"/>
        <v>0</v>
      </c>
      <c r="Q73" s="214">
        <f>VLOOKUP(I73, Sheet2!$A$1:$E$78, 5, FALSE)</f>
        <v>9.4666E-2</v>
      </c>
      <c r="R73" s="215">
        <f>VLOOKUP($L73, '[3]BNP Borrowing Base PSLF JV (PIF'!$A$8:$AI$181, 11, FALSE)</f>
        <v>5.2499999999999998E-2</v>
      </c>
      <c r="S73" s="216">
        <f>VLOOKUP($L73, '[3]BNP Borrowing Base PSLF JV (PIF'!$A$8:$AI$181, 20, FALSE)</f>
        <v>45716</v>
      </c>
      <c r="T73">
        <f>VLOOKUP($L73, '[3]BNP Borrowing Base PSLF JV (PIF'!$A$8:$AI$181, 22, FALSE)</f>
        <v>4.9990672076862088</v>
      </c>
      <c r="U73">
        <f>VLOOKUP($L73, '[3]BNP Borrowing Base PSLF JV (PIF'!$A$8:$AI$181, 23, FALSE)</f>
        <v>21.440999999999999</v>
      </c>
      <c r="V73">
        <f>VLOOKUP($L73, '[3]BNP Borrowing Base PSLF JV (PIF'!$A$8:$AI$181, 32, FALSE)</f>
        <v>4.9990672076862088</v>
      </c>
      <c r="W73">
        <f>VLOOKUP($L73, '[3]BNP Borrowing Base PSLF JV (PIF'!$A$8:$AI$181, 34, FALSE)</f>
        <v>1.7568829891838742</v>
      </c>
    </row>
    <row r="74" spans="1:23">
      <c r="A74" s="141" t="s">
        <v>304</v>
      </c>
      <c r="B74">
        <v>9000000</v>
      </c>
      <c r="D74" s="141" t="s">
        <v>304</v>
      </c>
      <c r="E74" s="142">
        <v>9000000</v>
      </c>
      <c r="F74" t="str">
        <f t="shared" si="6"/>
        <v>VRS Buyer</v>
      </c>
      <c r="I74" t="s">
        <v>566</v>
      </c>
      <c r="J74" s="141" t="s">
        <v>293</v>
      </c>
      <c r="K74" s="141" t="s">
        <v>293</v>
      </c>
      <c r="L74" s="141" t="s">
        <v>567</v>
      </c>
      <c r="M74" s="142">
        <f t="shared" si="7"/>
        <v>995000</v>
      </c>
      <c r="N74" s="142">
        <f>VLOOKUP(K74, 'Loan List '!$A$6:$H$82, 8, FALSE)</f>
        <v>995000</v>
      </c>
      <c r="O74" s="142">
        <f>VLOOKUP(I74, Sheet2!$A$1:$D$78, 4, FALSE)</f>
        <v>995000</v>
      </c>
      <c r="P74" s="213">
        <f t="shared" si="8"/>
        <v>0</v>
      </c>
      <c r="Q74" s="214">
        <f>VLOOKUP(I74, Sheet2!$A$1:$E$78, 5, FALSE)</f>
        <v>9.6926571428571417E-2</v>
      </c>
      <c r="R74" s="215">
        <f>VLOOKUP($L74, '[3]BNP Borrowing Base PSLF JV (PIF'!$A$8:$AI$181, 11, FALSE)</f>
        <v>5.5E-2</v>
      </c>
      <c r="S74" s="216">
        <f>VLOOKUP($L74, '[3]BNP Borrowing Base PSLF JV (PIF'!$A$8:$AI$181, 20, FALSE)</f>
        <v>45716</v>
      </c>
      <c r="T74">
        <f>VLOOKUP($L74, '[3]BNP Borrowing Base PSLF JV (PIF'!$A$8:$AI$181, 22, FALSE)</f>
        <v>4.6148697325400114</v>
      </c>
      <c r="U74">
        <f>VLOOKUP($L74, '[3]BNP Borrowing Base PSLF JV (PIF'!$A$8:$AI$181, 23, FALSE)</f>
        <v>33.678219661133753</v>
      </c>
      <c r="V74">
        <f>VLOOKUP($L74, '[3]BNP Borrowing Base PSLF JV (PIF'!$A$8:$AI$181, 32, FALSE)</f>
        <v>4.6148697325400114</v>
      </c>
      <c r="W74">
        <f>VLOOKUP($L74, '[3]BNP Borrowing Base PSLF JV (PIF'!$A$8:$AI$181, 34, FALSE)</f>
        <v>1.6611448565833347</v>
      </c>
    </row>
    <row r="75" spans="1:23">
      <c r="A75" s="141" t="s">
        <v>87</v>
      </c>
      <c r="B75">
        <v>6443355.6399999997</v>
      </c>
      <c r="D75" s="141" t="s">
        <v>87</v>
      </c>
      <c r="E75" s="142">
        <v>6443355.6399999997</v>
      </c>
      <c r="F75" t="str">
        <f t="shared" si="6"/>
        <v>Watchtower Buyer, LLC</v>
      </c>
      <c r="I75" s="143" t="s">
        <v>568</v>
      </c>
      <c r="J75" s="141" t="s">
        <v>374</v>
      </c>
      <c r="K75" t="s">
        <v>569</v>
      </c>
      <c r="L75" t="s">
        <v>570</v>
      </c>
      <c r="M75" s="142">
        <f t="shared" si="7"/>
        <v>15083.03</v>
      </c>
      <c r="N75" s="142">
        <f>VLOOKUP(K75, 'Loan List '!$A$6:$H$82, 8, FALSE)</f>
        <v>15159.59</v>
      </c>
      <c r="O75" s="142">
        <f>VLOOKUP(I75, Sheet2!$A$1:$D$78, 4, FALSE)</f>
        <v>15159.59</v>
      </c>
      <c r="P75" s="213">
        <f t="shared" si="8"/>
        <v>0</v>
      </c>
      <c r="Q75" s="214">
        <f>VLOOKUP(I75, Sheet2!$A$1:$E$78, 5, FALSE)</f>
        <v>0.10674919999999999</v>
      </c>
      <c r="R75" s="215">
        <f>VLOOKUP($L75, '[3]BNP Borrowing Base PSLF JV (PIF'!$A$8:$AI$181, 11, FALSE)</f>
        <v>6.25E-2</v>
      </c>
      <c r="S75" s="216">
        <f>VLOOKUP($L75, '[3]BNP Borrowing Base PSLF JV (PIF'!$A$8:$AI$181, 20, FALSE)</f>
        <v>45716</v>
      </c>
      <c r="T75">
        <f>VLOOKUP($L75, '[3]BNP Borrowing Base PSLF JV (PIF'!$A$8:$AI$181, 22, FALSE)</f>
        <v>4.0486433518033644</v>
      </c>
      <c r="U75">
        <f>VLOOKUP($L75, '[3]BNP Borrowing Base PSLF JV (PIF'!$A$8:$AI$181, 23, FALSE)</f>
        <v>38.704322999999995</v>
      </c>
      <c r="V75">
        <f>VLOOKUP($L75, '[3]BNP Borrowing Base PSLF JV (PIF'!$A$8:$AI$181, 32, FALSE)</f>
        <v>6.0923427080742387</v>
      </c>
      <c r="W75">
        <f>VLOOKUP($L75, '[3]BNP Borrowing Base PSLF JV (PIF'!$A$8:$AI$181, 34, FALSE)</f>
        <v>1.3027896941745158</v>
      </c>
    </row>
    <row r="76" spans="1:23">
      <c r="A76" s="141" t="s">
        <v>131</v>
      </c>
      <c r="B76">
        <v>8577681.1799999997</v>
      </c>
      <c r="D76" s="141" t="s">
        <v>131</v>
      </c>
      <c r="E76" s="142">
        <v>8577681.1799999997</v>
      </c>
      <c r="F76" t="str">
        <f t="shared" si="6"/>
        <v>Zips Car Wash, LLC</v>
      </c>
      <c r="I76" s="141" t="s">
        <v>571</v>
      </c>
      <c r="J76" s="141" t="s">
        <v>335</v>
      </c>
      <c r="K76" t="s">
        <v>572</v>
      </c>
      <c r="L76" t="s">
        <v>572</v>
      </c>
      <c r="M76" s="142">
        <f t="shared" si="7"/>
        <v>300766.90999999997</v>
      </c>
      <c r="N76" s="142">
        <f>VLOOKUP(K76, 'Loan List '!$A$6:$H$82, 8, FALSE)</f>
        <v>300766.90999999997</v>
      </c>
      <c r="O76" s="142">
        <f>VLOOKUP(I76, Sheet2!$A$1:$D$78, 4, FALSE)</f>
        <v>300766.90999999997</v>
      </c>
      <c r="P76" s="213">
        <f t="shared" si="8"/>
        <v>0</v>
      </c>
      <c r="Q76" s="214">
        <f>VLOOKUP(I76, Sheet2!$A$1:$E$78, 5, FALSE)</f>
        <v>0.1</v>
      </c>
      <c r="R76" s="215">
        <f>VLOOKUP($L76, '[3]BNP Borrowing Base PSLF JV (PIF'!$A$8:$AI$181, 11, FALSE)</f>
        <v>6.25E-2</v>
      </c>
      <c r="S76" s="216">
        <f>VLOOKUP($L76, '[3]BNP Borrowing Base PSLF JV (PIF'!$A$8:$AI$181, 20, FALSE)</f>
        <v>45747</v>
      </c>
      <c r="T76">
        <f>VLOOKUP($L76, '[3]BNP Borrowing Base PSLF JV (PIF'!$A$8:$AI$181, 22, FALSE)</f>
        <v>7.8890552115768466</v>
      </c>
      <c r="U76">
        <f>VLOOKUP($L76, '[3]BNP Borrowing Base PSLF JV (PIF'!$A$8:$AI$181, 23, FALSE)</f>
        <v>60.120000000000005</v>
      </c>
      <c r="V76">
        <f>VLOOKUP($L76, '[3]BNP Borrowing Base PSLF JV (PIF'!$A$8:$AI$181, 32, FALSE)</f>
        <v>8.3705921377245502</v>
      </c>
      <c r="W76">
        <f>VLOOKUP($L76, '[3]BNP Borrowing Base PSLF JV (PIF'!$A$8:$AI$181, 34, FALSE)</f>
        <v>1.0521341943613169</v>
      </c>
    </row>
    <row r="77" spans="1:23">
      <c r="A77" s="141" t="s">
        <v>573</v>
      </c>
      <c r="B77">
        <v>413524007.56999999</v>
      </c>
      <c r="D77" s="141"/>
      <c r="E77" s="142"/>
      <c r="I77" t="s">
        <v>574</v>
      </c>
      <c r="J77" s="141" t="s">
        <v>383</v>
      </c>
      <c r="K77" t="s">
        <v>575</v>
      </c>
      <c r="L77" t="s">
        <v>575</v>
      </c>
      <c r="M77" s="142">
        <f t="shared" si="7"/>
        <v>5985000</v>
      </c>
      <c r="N77" s="142">
        <f>VLOOKUP(K77, 'Loan List '!$A$6:$H$82, 8, FALSE)</f>
        <v>5985000</v>
      </c>
      <c r="O77" s="142">
        <f>VLOOKUP(I77, Sheet2!$A$1:$D$78, 4, FALSE)</f>
        <v>5985000</v>
      </c>
      <c r="P77" s="213">
        <f t="shared" si="8"/>
        <v>0</v>
      </c>
      <c r="Q77" s="214">
        <f>VLOOKUP(I77, Sheet2!$A$1:$E$78, 5, FALSE)</f>
        <v>9.2991699999999997E-2</v>
      </c>
      <c r="R77" s="215">
        <f>VLOOKUP($L77, '[3]BNP Borrowing Base PSLF JV (PIF'!$A$8:$AI$181, 11, FALSE)</f>
        <v>0.05</v>
      </c>
      <c r="S77" s="216">
        <f>VLOOKUP($L77, '[3]BNP Borrowing Base PSLF JV (PIF'!$A$8:$AI$181, 20, FALSE)</f>
        <v>45747</v>
      </c>
      <c r="T77">
        <f>VLOOKUP($L77, '[3]BNP Borrowing Base PSLF JV (PIF'!$A$8:$AI$181, 22, FALSE)</f>
        <v>3.487687551566014</v>
      </c>
      <c r="U77">
        <f>VLOOKUP($L77, '[3]BNP Borrowing Base PSLF JV (PIF'!$A$8:$AI$181, 23, FALSE)</f>
        <v>11.396799</v>
      </c>
      <c r="V77">
        <f>VLOOKUP($L77, '[3]BNP Borrowing Base PSLF JV (PIF'!$A$8:$AI$181, 32, FALSE)</f>
        <v>3.487687551566014</v>
      </c>
      <c r="W77">
        <f>VLOOKUP($L77, '[3]BNP Borrowing Base PSLF JV (PIF'!$A$8:$AI$181, 34, FALSE)</f>
        <v>2.3974644110568035</v>
      </c>
    </row>
    <row r="78" spans="1:23">
      <c r="D78" s="141"/>
      <c r="E78" s="142"/>
      <c r="I78" t="s">
        <v>576</v>
      </c>
      <c r="J78" s="141" t="s">
        <v>393</v>
      </c>
      <c r="K78" t="s">
        <v>577</v>
      </c>
      <c r="L78" t="s">
        <v>577</v>
      </c>
      <c r="M78" s="142">
        <f t="shared" si="7"/>
        <v>5985000</v>
      </c>
      <c r="N78" s="142">
        <f>VLOOKUP(K78, 'Loan List '!$A$6:$H$82, 8, FALSE)</f>
        <v>5985000</v>
      </c>
      <c r="O78" s="142">
        <f>VLOOKUP(I78, Sheet2!$A$1:$D$78, 4, FALSE)</f>
        <v>5985000</v>
      </c>
      <c r="P78" s="213">
        <f t="shared" si="8"/>
        <v>0</v>
      </c>
      <c r="Q78" s="214">
        <f>VLOOKUP(I78, Sheet2!$A$1:$E$78, 5, FALSE)</f>
        <v>0.1004917</v>
      </c>
      <c r="R78" s="215">
        <f>VLOOKUP($L78, '[3]BNP Borrowing Base PSLF JV (PIF'!$A$8:$AI$181, 11, FALSE)</f>
        <v>5.7500000000000002E-2</v>
      </c>
      <c r="S78" s="216">
        <f>VLOOKUP($L78, '[3]BNP Borrowing Base PSLF JV (PIF'!$A$8:$AI$181, 20, FALSE)</f>
        <v>45716</v>
      </c>
      <c r="T78">
        <f>VLOOKUP($L78, '[3]BNP Borrowing Base PSLF JV (PIF'!$A$8:$AI$181, 22, FALSE)</f>
        <v>1.651378413327484</v>
      </c>
      <c r="U78">
        <f>VLOOKUP($L78, '[3]BNP Borrowing Base PSLF JV (PIF'!$A$8:$AI$181, 23, FALSE)</f>
        <v>120.21532944710439</v>
      </c>
      <c r="V78">
        <f>VLOOKUP($L78, '[3]BNP Borrowing Base PSLF JV (PIF'!$A$8:$AI$181, 32, FALSE)</f>
        <v>1.651378413327484</v>
      </c>
      <c r="W78">
        <f>VLOOKUP($L78, '[3]BNP Borrowing Base PSLF JV (PIF'!$A$8:$AI$181, 34, FALSE)</f>
        <v>3.3622621460105329</v>
      </c>
    </row>
    <row r="79" spans="1:23">
      <c r="I79" t="s">
        <v>578</v>
      </c>
      <c r="J79" s="141" t="s">
        <v>369</v>
      </c>
      <c r="K79" t="s">
        <v>579</v>
      </c>
      <c r="L79" t="s">
        <v>579</v>
      </c>
      <c r="M79" s="142">
        <f t="shared" si="7"/>
        <v>10000000</v>
      </c>
      <c r="N79" s="142">
        <f>VLOOKUP(K79, 'Loan List '!$A$6:$H$82, 8, FALSE)</f>
        <v>10000000</v>
      </c>
      <c r="O79" s="142">
        <f>VLOOKUP(I79, Sheet2!$A$1:$D$78, 4, FALSE)</f>
        <v>10000000</v>
      </c>
      <c r="P79" s="213">
        <f t="shared" si="8"/>
        <v>0</v>
      </c>
      <c r="Q79" s="214">
        <f>VLOOKUP(I79, Sheet2!$A$1:$E$78, 5, FALSE)</f>
        <v>9.2991699999999997E-2</v>
      </c>
      <c r="R79" s="215">
        <f>VLOOKUP($L79, '[3]BNP Borrowing Base PSLF JV (PIF'!$A$8:$AI$181, 11, FALSE)</f>
        <v>0.05</v>
      </c>
      <c r="S79" s="216">
        <f>VLOOKUP($L79, '[3]BNP Borrowing Base PSLF JV (PIF'!$A$8:$AI$181, 20, FALSE)</f>
        <v>45716</v>
      </c>
      <c r="T79">
        <f>VLOOKUP($L79, '[3]BNP Borrowing Base PSLF JV (PIF'!$A$8:$AI$181, 22, FALSE)</f>
        <v>3.6617534469941098</v>
      </c>
      <c r="U79">
        <f>VLOOKUP($L79, '[3]BNP Borrowing Base PSLF JV (PIF'!$A$8:$AI$181, 23, FALSE)</f>
        <v>20.773399725326282</v>
      </c>
      <c r="V79">
        <f>VLOOKUP($L79, '[3]BNP Borrowing Base PSLF JV (PIF'!$A$8:$AI$181, 32, FALSE)</f>
        <v>3.6617534469941098</v>
      </c>
      <c r="W79">
        <f>VLOOKUP($L79, '[3]BNP Borrowing Base PSLF JV (PIF'!$A$8:$AI$181, 34, FALSE)</f>
        <v>2.7771924766478984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1443-0743-4B34-8A13-857A17C903BC}">
  <dimension ref="A1:E78"/>
  <sheetViews>
    <sheetView topLeftCell="B37" workbookViewId="0">
      <selection activeCell="D18" sqref="D18"/>
    </sheetView>
  </sheetViews>
  <sheetFormatPr defaultRowHeight="15"/>
  <cols>
    <col min="1" max="2" width="75.85546875" bestFit="1" customWidth="1"/>
    <col min="3" max="3" width="81" bestFit="1" customWidth="1"/>
    <col min="4" max="4" width="39.42578125" bestFit="1" customWidth="1"/>
    <col min="5" max="5" width="7.140625" bestFit="1" customWidth="1"/>
  </cols>
  <sheetData>
    <row r="1" spans="1:5">
      <c r="A1" t="s">
        <v>580</v>
      </c>
      <c r="B1" t="s">
        <v>581</v>
      </c>
      <c r="C1" t="s">
        <v>582</v>
      </c>
      <c r="D1" t="s">
        <v>583</v>
      </c>
    </row>
    <row r="2" spans="1:5">
      <c r="A2" t="s">
        <v>441</v>
      </c>
      <c r="B2" t="s">
        <v>441</v>
      </c>
      <c r="C2" t="s">
        <v>584</v>
      </c>
      <c r="D2" s="142">
        <v>3192037.26</v>
      </c>
      <c r="E2" s="215">
        <v>9.0083815296302508E-2</v>
      </c>
    </row>
    <row r="3" spans="1:5">
      <c r="A3" t="s">
        <v>442</v>
      </c>
      <c r="B3" t="s">
        <v>442</v>
      </c>
      <c r="C3" t="s">
        <v>585</v>
      </c>
      <c r="D3" s="142">
        <v>269595.42</v>
      </c>
      <c r="E3" s="215">
        <v>9.7907999999999995E-2</v>
      </c>
    </row>
    <row r="4" spans="1:5">
      <c r="A4" t="s">
        <v>61</v>
      </c>
      <c r="B4" t="s">
        <v>61</v>
      </c>
      <c r="C4" t="s">
        <v>586</v>
      </c>
      <c r="D4" s="142">
        <v>3958430.59</v>
      </c>
      <c r="E4" s="215">
        <v>0.10419999999999997</v>
      </c>
    </row>
    <row r="5" spans="1:5">
      <c r="A5" t="s">
        <v>568</v>
      </c>
      <c r="B5" t="s">
        <v>568</v>
      </c>
      <c r="C5" t="s">
        <v>587</v>
      </c>
      <c r="D5" s="142">
        <v>15159.59</v>
      </c>
      <c r="E5" s="215">
        <v>0.10674919999999999</v>
      </c>
    </row>
    <row r="6" spans="1:5">
      <c r="A6" t="s">
        <v>550</v>
      </c>
      <c r="B6" t="s">
        <v>550</v>
      </c>
      <c r="C6" t="s">
        <v>588</v>
      </c>
      <c r="D6" s="142">
        <v>2320875</v>
      </c>
      <c r="E6" s="215">
        <v>9.2997999999999997E-2</v>
      </c>
    </row>
    <row r="7" spans="1:5">
      <c r="A7" t="s">
        <v>443</v>
      </c>
      <c r="B7" t="s">
        <v>443</v>
      </c>
      <c r="C7" t="s">
        <v>589</v>
      </c>
      <c r="D7" s="142">
        <v>8816867.8200000003</v>
      </c>
      <c r="E7" s="215">
        <v>0.10051621363555839</v>
      </c>
    </row>
    <row r="8" spans="1:5">
      <c r="A8" t="s">
        <v>445</v>
      </c>
      <c r="B8" t="s">
        <v>445</v>
      </c>
      <c r="C8" t="s">
        <v>590</v>
      </c>
      <c r="D8" s="142">
        <v>5472500</v>
      </c>
      <c r="E8" s="215">
        <v>0.100664</v>
      </c>
    </row>
    <row r="9" spans="1:5">
      <c r="A9" t="s">
        <v>552</v>
      </c>
      <c r="B9" t="s">
        <v>552</v>
      </c>
      <c r="C9" t="s">
        <v>591</v>
      </c>
      <c r="D9" s="142">
        <v>2098550.6</v>
      </c>
      <c r="E9" s="215">
        <v>9.0492000000000031E-2</v>
      </c>
    </row>
    <row r="10" spans="1:5">
      <c r="A10" t="s">
        <v>447</v>
      </c>
      <c r="B10" t="s">
        <v>447</v>
      </c>
      <c r="C10" t="s">
        <v>592</v>
      </c>
      <c r="D10" s="142">
        <v>12170102.559999999</v>
      </c>
      <c r="E10" s="215">
        <v>9.8011023929661933E-2</v>
      </c>
    </row>
    <row r="11" spans="1:5">
      <c r="A11" t="s">
        <v>548</v>
      </c>
      <c r="B11" t="s">
        <v>548</v>
      </c>
      <c r="C11" t="s">
        <v>593</v>
      </c>
      <c r="D11" s="142">
        <v>6981437.5</v>
      </c>
      <c r="E11" s="215">
        <v>0.1104917</v>
      </c>
    </row>
    <row r="12" spans="1:5">
      <c r="A12" t="s">
        <v>450</v>
      </c>
      <c r="B12" t="s">
        <v>450</v>
      </c>
      <c r="C12" t="s">
        <v>594</v>
      </c>
      <c r="D12" s="142">
        <v>8653790.4900000002</v>
      </c>
      <c r="E12" s="215">
        <v>9.6992703753685405E-2</v>
      </c>
    </row>
    <row r="13" spans="1:5">
      <c r="A13" t="s">
        <v>452</v>
      </c>
      <c r="B13" t="s">
        <v>452</v>
      </c>
      <c r="C13" t="s">
        <v>595</v>
      </c>
      <c r="D13" s="142">
        <v>2628762.46</v>
      </c>
      <c r="E13" s="215">
        <v>0.10299169999999999</v>
      </c>
    </row>
    <row r="14" spans="1:5">
      <c r="A14" t="s">
        <v>574</v>
      </c>
      <c r="B14" t="s">
        <v>574</v>
      </c>
      <c r="C14" t="s">
        <v>596</v>
      </c>
      <c r="D14" s="142">
        <v>5985000</v>
      </c>
      <c r="E14" s="215">
        <v>9.2991699999999997E-2</v>
      </c>
    </row>
    <row r="15" spans="1:5">
      <c r="A15" t="s">
        <v>136</v>
      </c>
      <c r="B15" t="s">
        <v>136</v>
      </c>
      <c r="C15" t="s">
        <v>597</v>
      </c>
      <c r="D15" s="142">
        <v>248327.5</v>
      </c>
      <c r="E15" s="215">
        <v>9.6492000000000008E-2</v>
      </c>
    </row>
    <row r="16" spans="1:5">
      <c r="A16" t="s">
        <v>546</v>
      </c>
      <c r="B16" t="s">
        <v>546</v>
      </c>
      <c r="C16" t="s">
        <v>598</v>
      </c>
      <c r="D16" s="142">
        <v>0</v>
      </c>
      <c r="E16" s="215">
        <v>0.10792699999999998</v>
      </c>
    </row>
    <row r="17" spans="1:5">
      <c r="A17" t="s">
        <v>454</v>
      </c>
      <c r="B17" t="s">
        <v>454</v>
      </c>
      <c r="C17" t="s">
        <v>599</v>
      </c>
      <c r="D17" s="142">
        <v>1492500</v>
      </c>
      <c r="E17" s="215">
        <v>0.10299200000000003</v>
      </c>
    </row>
    <row r="18" spans="1:5">
      <c r="A18" t="s">
        <v>456</v>
      </c>
      <c r="B18" t="s">
        <v>456</v>
      </c>
      <c r="C18" t="s">
        <v>600</v>
      </c>
      <c r="D18" s="142">
        <v>6298498.8200000003</v>
      </c>
      <c r="E18" s="215">
        <v>0.10501243491365612</v>
      </c>
    </row>
    <row r="19" spans="1:5">
      <c r="A19" t="s">
        <v>459</v>
      </c>
      <c r="B19" t="s">
        <v>459</v>
      </c>
      <c r="C19" t="s">
        <v>601</v>
      </c>
      <c r="D19" s="142">
        <v>1116738.2</v>
      </c>
      <c r="E19" s="215">
        <v>9.549199999999998E-2</v>
      </c>
    </row>
    <row r="20" spans="1:5">
      <c r="A20" t="s">
        <v>458</v>
      </c>
      <c r="B20" t="s">
        <v>458</v>
      </c>
      <c r="C20" t="s">
        <v>602</v>
      </c>
      <c r="D20" s="142">
        <v>6900150.7599999998</v>
      </c>
      <c r="E20" s="215">
        <v>9.8248999999999989E-2</v>
      </c>
    </row>
    <row r="21" spans="1:5">
      <c r="A21" t="s">
        <v>460</v>
      </c>
      <c r="B21" t="s">
        <v>460</v>
      </c>
      <c r="C21" t="s">
        <v>603</v>
      </c>
      <c r="D21" s="142">
        <v>5205875.05</v>
      </c>
      <c r="E21" s="215">
        <v>0.10049200000000001</v>
      </c>
    </row>
    <row r="22" spans="1:5">
      <c r="A22" t="s">
        <v>462</v>
      </c>
      <c r="B22" t="s">
        <v>462</v>
      </c>
      <c r="C22" t="s">
        <v>604</v>
      </c>
      <c r="D22" s="142">
        <v>4503279.1500000004</v>
      </c>
      <c r="E22" s="215">
        <v>9.5491999999999994E-2</v>
      </c>
    </row>
    <row r="23" spans="1:5">
      <c r="A23" t="s">
        <v>493</v>
      </c>
      <c r="B23" t="s">
        <v>493</v>
      </c>
      <c r="C23" t="s">
        <v>605</v>
      </c>
      <c r="D23" s="142">
        <v>3990869.08</v>
      </c>
      <c r="E23" s="215">
        <v>9.3058323318110495E-2</v>
      </c>
    </row>
    <row r="24" spans="1:5">
      <c r="A24" t="s">
        <v>468</v>
      </c>
      <c r="B24" t="s">
        <v>468</v>
      </c>
      <c r="C24" t="s">
        <v>606</v>
      </c>
      <c r="D24" s="142">
        <v>995000</v>
      </c>
      <c r="E24" s="215">
        <v>9.7571255779072177E-2</v>
      </c>
    </row>
    <row r="25" spans="1:5">
      <c r="A25" t="s">
        <v>469</v>
      </c>
      <c r="B25" t="s">
        <v>469</v>
      </c>
      <c r="C25" t="s">
        <v>607</v>
      </c>
      <c r="D25" s="142">
        <v>14433539.950000001</v>
      </c>
      <c r="E25" s="215">
        <v>0.10103332963604222</v>
      </c>
    </row>
    <row r="26" spans="1:5">
      <c r="A26" t="s">
        <v>509</v>
      </c>
      <c r="B26" t="s">
        <v>608</v>
      </c>
      <c r="C26" t="s">
        <v>609</v>
      </c>
      <c r="D26" s="142">
        <v>1580211.2</v>
      </c>
      <c r="E26" s="215">
        <v>9.5845899999999998E-2</v>
      </c>
    </row>
    <row r="27" spans="1:5">
      <c r="A27" t="s">
        <v>512</v>
      </c>
      <c r="B27" t="s">
        <v>608</v>
      </c>
      <c r="C27" t="s">
        <v>610</v>
      </c>
      <c r="D27" s="142">
        <v>5740273.5599999996</v>
      </c>
      <c r="E27" s="215">
        <v>0.1008459</v>
      </c>
    </row>
    <row r="28" spans="1:5">
      <c r="A28" t="s">
        <v>471</v>
      </c>
      <c r="B28" t="s">
        <v>471</v>
      </c>
      <c r="C28" t="s">
        <v>611</v>
      </c>
      <c r="D28" s="142">
        <v>5452661.0999999996</v>
      </c>
      <c r="E28" s="215">
        <v>9.9475563730429248E-2</v>
      </c>
    </row>
    <row r="29" spans="1:5">
      <c r="A29" t="s">
        <v>566</v>
      </c>
      <c r="B29" t="s">
        <v>566</v>
      </c>
      <c r="C29" t="s">
        <v>612</v>
      </c>
      <c r="D29" s="142">
        <v>995000</v>
      </c>
      <c r="E29" s="215">
        <v>9.6926571428571417E-2</v>
      </c>
    </row>
    <row r="30" spans="1:5">
      <c r="A30" t="s">
        <v>473</v>
      </c>
      <c r="B30" t="s">
        <v>473</v>
      </c>
      <c r="C30" t="s">
        <v>613</v>
      </c>
      <c r="D30" s="142">
        <v>1362351.4</v>
      </c>
      <c r="E30" s="215">
        <v>9.6512476733599195E-2</v>
      </c>
    </row>
    <row r="31" spans="1:5">
      <c r="A31" t="s">
        <v>475</v>
      </c>
      <c r="B31" t="s">
        <v>475</v>
      </c>
      <c r="C31" t="s">
        <v>614</v>
      </c>
      <c r="D31" s="142">
        <v>6578437.7699999996</v>
      </c>
      <c r="E31" s="215">
        <v>9.1839322295053302E-2</v>
      </c>
    </row>
    <row r="32" spans="1:5">
      <c r="A32" t="s">
        <v>138</v>
      </c>
      <c r="B32" t="s">
        <v>138</v>
      </c>
      <c r="C32" t="s">
        <v>615</v>
      </c>
      <c r="D32" s="142">
        <v>1970075.18</v>
      </c>
      <c r="E32" s="215">
        <v>9.4027654131148622E-2</v>
      </c>
    </row>
    <row r="33" spans="1:5">
      <c r="A33" t="s">
        <v>175</v>
      </c>
      <c r="B33" t="s">
        <v>175</v>
      </c>
      <c r="C33" t="s">
        <v>616</v>
      </c>
      <c r="D33" s="142">
        <v>8726327.5</v>
      </c>
      <c r="E33" s="215">
        <v>9.1722795534781423E-2</v>
      </c>
    </row>
    <row r="34" spans="1:5">
      <c r="A34" t="s">
        <v>542</v>
      </c>
      <c r="B34" t="s">
        <v>542</v>
      </c>
      <c r="C34" t="s">
        <v>617</v>
      </c>
      <c r="D34" s="142">
        <v>9328396.75</v>
      </c>
      <c r="E34" s="215">
        <v>0.12000000000000001</v>
      </c>
    </row>
    <row r="35" spans="1:5">
      <c r="A35" t="s">
        <v>478</v>
      </c>
      <c r="B35" t="s">
        <v>478</v>
      </c>
      <c r="C35" t="s">
        <v>618</v>
      </c>
      <c r="D35" s="142">
        <v>7618243.3600000003</v>
      </c>
      <c r="E35" s="215">
        <v>0.1014780750335388</v>
      </c>
    </row>
    <row r="36" spans="1:5">
      <c r="A36" t="s">
        <v>479</v>
      </c>
      <c r="B36" t="s">
        <v>479</v>
      </c>
      <c r="C36" t="s">
        <v>619</v>
      </c>
      <c r="D36" s="142">
        <v>5118399.22</v>
      </c>
      <c r="E36" s="215">
        <v>9.7991999999999996E-2</v>
      </c>
    </row>
    <row r="37" spans="1:5">
      <c r="A37" t="s">
        <v>480</v>
      </c>
      <c r="B37" t="s">
        <v>480</v>
      </c>
      <c r="C37" t="s">
        <v>620</v>
      </c>
      <c r="D37" s="142">
        <v>2051982.1099999999</v>
      </c>
      <c r="E37" s="215">
        <v>9.7619943058001854E-2</v>
      </c>
    </row>
    <row r="38" spans="1:5">
      <c r="A38" t="s">
        <v>312</v>
      </c>
      <c r="B38" t="s">
        <v>312</v>
      </c>
      <c r="C38" t="s">
        <v>621</v>
      </c>
      <c r="D38" s="142">
        <v>6000000</v>
      </c>
      <c r="E38" s="215">
        <v>9.5738400000000001E-2</v>
      </c>
    </row>
    <row r="39" spans="1:5">
      <c r="A39" t="s">
        <v>482</v>
      </c>
      <c r="B39" t="s">
        <v>482</v>
      </c>
      <c r="C39" t="s">
        <v>622</v>
      </c>
      <c r="D39" s="142">
        <v>1975484.48</v>
      </c>
      <c r="E39" s="215">
        <v>0.119394</v>
      </c>
    </row>
    <row r="40" spans="1:5">
      <c r="A40" t="s">
        <v>571</v>
      </c>
      <c r="B40" t="s">
        <v>572</v>
      </c>
      <c r="C40" t="s">
        <v>623</v>
      </c>
      <c r="D40" s="142">
        <v>300766.90999999997</v>
      </c>
      <c r="E40" s="215">
        <v>0.1</v>
      </c>
    </row>
    <row r="41" spans="1:5">
      <c r="A41" t="s">
        <v>484</v>
      </c>
      <c r="B41" t="s">
        <v>624</v>
      </c>
      <c r="C41" t="s">
        <v>625</v>
      </c>
      <c r="D41" s="142">
        <v>3328030.85</v>
      </c>
      <c r="E41" s="215">
        <v>0.11582121698183151</v>
      </c>
    </row>
    <row r="42" spans="1:5">
      <c r="A42" t="s">
        <v>464</v>
      </c>
      <c r="B42" t="s">
        <v>464</v>
      </c>
      <c r="C42" t="s">
        <v>626</v>
      </c>
      <c r="D42" s="142">
        <v>2506425.7000000002</v>
      </c>
      <c r="E42" s="215">
        <v>9.1207242603161112E-2</v>
      </c>
    </row>
    <row r="43" spans="1:5">
      <c r="A43" t="s">
        <v>485</v>
      </c>
      <c r="B43" t="s">
        <v>485</v>
      </c>
      <c r="C43" t="s">
        <v>627</v>
      </c>
      <c r="D43" s="142">
        <v>4792248.26</v>
      </c>
      <c r="E43" s="215">
        <v>0.10117765876469158</v>
      </c>
    </row>
    <row r="44" spans="1:5">
      <c r="A44" t="s">
        <v>563</v>
      </c>
      <c r="B44" t="s">
        <v>563</v>
      </c>
      <c r="C44" t="s">
        <v>628</v>
      </c>
      <c r="D44" s="142">
        <v>20000000</v>
      </c>
      <c r="E44" s="215">
        <v>9.4666E-2</v>
      </c>
    </row>
    <row r="45" spans="1:5">
      <c r="A45" t="s">
        <v>466</v>
      </c>
      <c r="B45" t="s">
        <v>466</v>
      </c>
      <c r="C45" t="s">
        <v>629</v>
      </c>
      <c r="D45" s="142">
        <v>3780604.54</v>
      </c>
      <c r="E45" s="215">
        <v>0.10100497293096349</v>
      </c>
    </row>
    <row r="46" spans="1:5">
      <c r="A46" t="s">
        <v>487</v>
      </c>
      <c r="B46" t="s">
        <v>487</v>
      </c>
      <c r="C46" t="s">
        <v>630</v>
      </c>
      <c r="D46" s="142">
        <v>4942556.4000000004</v>
      </c>
      <c r="E46" s="215">
        <v>9.799200000000001E-2</v>
      </c>
    </row>
    <row r="47" spans="1:5">
      <c r="A47" t="s">
        <v>488</v>
      </c>
      <c r="B47" t="s">
        <v>488</v>
      </c>
      <c r="C47" t="s">
        <v>631</v>
      </c>
      <c r="D47" s="142">
        <v>497493.74</v>
      </c>
      <c r="E47" s="215">
        <v>8.324899999999999E-2</v>
      </c>
    </row>
    <row r="48" spans="1:5">
      <c r="A48" t="s">
        <v>492</v>
      </c>
      <c r="B48" t="s">
        <v>492</v>
      </c>
      <c r="C48" t="s">
        <v>632</v>
      </c>
      <c r="D48" s="142">
        <v>4252707.1500000004</v>
      </c>
      <c r="E48" s="215">
        <v>9.4896070352681799E-2</v>
      </c>
    </row>
    <row r="49" spans="1:5">
      <c r="A49" t="s">
        <v>490</v>
      </c>
      <c r="B49" t="s">
        <v>490</v>
      </c>
      <c r="C49" t="s">
        <v>633</v>
      </c>
      <c r="D49" s="142">
        <v>2499911.11</v>
      </c>
      <c r="E49" s="215">
        <v>9.4365988141450974E-2</v>
      </c>
    </row>
    <row r="50" spans="1:5">
      <c r="A50" t="s">
        <v>496</v>
      </c>
      <c r="B50" t="s">
        <v>496</v>
      </c>
      <c r="C50" t="s">
        <v>634</v>
      </c>
      <c r="D50" s="142">
        <v>3777823.24</v>
      </c>
      <c r="E50" s="215">
        <v>0.10439355728346029</v>
      </c>
    </row>
    <row r="51" spans="1:5">
      <c r="A51" t="s">
        <v>498</v>
      </c>
      <c r="B51" t="s">
        <v>498</v>
      </c>
      <c r="C51" t="s">
        <v>635</v>
      </c>
      <c r="D51" s="142">
        <v>7136692.4000000004</v>
      </c>
      <c r="E51" s="215">
        <v>9.7410164698209595E-2</v>
      </c>
    </row>
    <row r="52" spans="1:5">
      <c r="A52" t="s">
        <v>554</v>
      </c>
      <c r="B52" t="s">
        <v>554</v>
      </c>
      <c r="C52" t="s">
        <v>636</v>
      </c>
      <c r="D52" s="142">
        <v>19022012</v>
      </c>
      <c r="E52" s="215">
        <v>0.10049200000000001</v>
      </c>
    </row>
    <row r="53" spans="1:5">
      <c r="A53" t="s">
        <v>501</v>
      </c>
      <c r="B53" t="s">
        <v>501</v>
      </c>
      <c r="C53" t="s">
        <v>637</v>
      </c>
      <c r="D53" s="142">
        <v>8459233.0399999991</v>
      </c>
      <c r="E53" s="215">
        <v>0.11501599999999999</v>
      </c>
    </row>
    <row r="54" spans="1:5">
      <c r="A54" t="s">
        <v>499</v>
      </c>
      <c r="B54" t="s">
        <v>499</v>
      </c>
      <c r="C54" t="s">
        <v>638</v>
      </c>
      <c r="D54" s="142">
        <v>997500</v>
      </c>
      <c r="E54" s="215">
        <v>9.1569200000000003E-2</v>
      </c>
    </row>
    <row r="55" spans="1:5">
      <c r="A55" t="s">
        <v>576</v>
      </c>
      <c r="B55" t="s">
        <v>576</v>
      </c>
      <c r="C55" t="s">
        <v>639</v>
      </c>
      <c r="D55" s="142">
        <v>5985000</v>
      </c>
      <c r="E55" s="215">
        <v>0.1004917</v>
      </c>
    </row>
    <row r="56" spans="1:5">
      <c r="A56" t="s">
        <v>514</v>
      </c>
      <c r="B56" t="s">
        <v>514</v>
      </c>
      <c r="C56" t="s">
        <v>640</v>
      </c>
      <c r="D56" s="142">
        <v>12885087.720000001</v>
      </c>
      <c r="E56" s="215">
        <v>9.9591879759182128E-2</v>
      </c>
    </row>
    <row r="57" spans="1:5">
      <c r="A57" t="s">
        <v>502</v>
      </c>
      <c r="B57" t="s">
        <v>502</v>
      </c>
      <c r="C57" t="s">
        <v>641</v>
      </c>
      <c r="D57" s="142">
        <v>11840920.390000001</v>
      </c>
      <c r="E57" s="215">
        <v>0.1047878</v>
      </c>
    </row>
    <row r="58" spans="1:5">
      <c r="A58" t="s">
        <v>504</v>
      </c>
      <c r="B58" t="s">
        <v>504</v>
      </c>
      <c r="C58" t="s">
        <v>642</v>
      </c>
      <c r="D58" s="142">
        <v>17282079.379999999</v>
      </c>
      <c r="E58" s="215">
        <v>9.5673121224029878E-2</v>
      </c>
    </row>
    <row r="59" spans="1:5">
      <c r="A59" t="s">
        <v>578</v>
      </c>
      <c r="B59" t="s">
        <v>578</v>
      </c>
      <c r="C59" t="s">
        <v>643</v>
      </c>
      <c r="D59" s="142">
        <v>10000000</v>
      </c>
      <c r="E59" s="215">
        <v>9.2991699999999997E-2</v>
      </c>
    </row>
    <row r="60" spans="1:5">
      <c r="A60" t="s">
        <v>518</v>
      </c>
      <c r="B60" t="s">
        <v>518</v>
      </c>
      <c r="C60" t="s">
        <v>644</v>
      </c>
      <c r="D60" s="142">
        <v>5985000</v>
      </c>
      <c r="E60" s="215">
        <v>0.10299200000000001</v>
      </c>
    </row>
    <row r="61" spans="1:5">
      <c r="A61" t="s">
        <v>522</v>
      </c>
      <c r="B61" t="s">
        <v>522</v>
      </c>
      <c r="C61" t="s">
        <v>645</v>
      </c>
      <c r="D61" s="142">
        <v>608095.06000000006</v>
      </c>
      <c r="E61" s="215">
        <v>0.10086424489480098</v>
      </c>
    </row>
    <row r="62" spans="1:5">
      <c r="A62" t="s">
        <v>560</v>
      </c>
      <c r="B62" t="s">
        <v>560</v>
      </c>
      <c r="C62" t="s">
        <v>646</v>
      </c>
      <c r="D62" s="142">
        <v>4987500</v>
      </c>
      <c r="E62" s="215">
        <v>9.2992000000000005E-2</v>
      </c>
    </row>
    <row r="63" spans="1:5">
      <c r="A63" t="s">
        <v>524</v>
      </c>
      <c r="B63" t="s">
        <v>524</v>
      </c>
      <c r="C63" t="s">
        <v>647</v>
      </c>
      <c r="D63" s="142">
        <v>18453743</v>
      </c>
      <c r="E63" s="215">
        <v>0.1125912434470261</v>
      </c>
    </row>
    <row r="64" spans="1:5">
      <c r="A64" t="s">
        <v>506</v>
      </c>
      <c r="B64" t="s">
        <v>648</v>
      </c>
      <c r="C64" t="s">
        <v>649</v>
      </c>
      <c r="D64" s="142">
        <v>1412004.18</v>
      </c>
      <c r="E64" s="215">
        <v>0.1267268</v>
      </c>
    </row>
    <row r="65" spans="1:5">
      <c r="A65" t="s">
        <v>516</v>
      </c>
      <c r="B65" t="s">
        <v>516</v>
      </c>
      <c r="C65" t="s">
        <v>650</v>
      </c>
      <c r="D65" s="142">
        <v>795000</v>
      </c>
      <c r="E65" s="215">
        <v>9.7491999999999995E-2</v>
      </c>
    </row>
    <row r="66" spans="1:5">
      <c r="A66" t="s">
        <v>526</v>
      </c>
      <c r="B66" t="s">
        <v>526</v>
      </c>
      <c r="C66" t="s">
        <v>651</v>
      </c>
      <c r="D66" s="142">
        <v>1279276.3400000001</v>
      </c>
      <c r="E66" s="215">
        <v>9.553430185238157E-2</v>
      </c>
    </row>
    <row r="67" spans="1:5">
      <c r="A67" t="s">
        <v>530</v>
      </c>
      <c r="B67" t="s">
        <v>530</v>
      </c>
      <c r="C67" t="s">
        <v>652</v>
      </c>
      <c r="D67" s="142">
        <v>3930150.76</v>
      </c>
      <c r="E67" s="215">
        <v>0.10293390955301819</v>
      </c>
    </row>
    <row r="68" spans="1:5">
      <c r="A68" t="s">
        <v>528</v>
      </c>
      <c r="B68" t="s">
        <v>528</v>
      </c>
      <c r="C68" t="s">
        <v>653</v>
      </c>
      <c r="D68" s="142">
        <v>997500</v>
      </c>
      <c r="E68" s="215">
        <v>9.8019897131293013E-2</v>
      </c>
    </row>
    <row r="69" spans="1:5">
      <c r="A69" t="s">
        <v>532</v>
      </c>
      <c r="B69" t="s">
        <v>532</v>
      </c>
      <c r="C69" t="s">
        <v>654</v>
      </c>
      <c r="D69" s="142">
        <v>3635030.3</v>
      </c>
      <c r="E69" s="215">
        <v>0.10117048885039417</v>
      </c>
    </row>
    <row r="70" spans="1:5">
      <c r="A70" t="s">
        <v>533</v>
      </c>
      <c r="B70" t="s">
        <v>533</v>
      </c>
      <c r="C70" t="s">
        <v>655</v>
      </c>
      <c r="D70" s="142">
        <v>6982500</v>
      </c>
      <c r="E70" s="215">
        <v>9.3140999999999988E-2</v>
      </c>
    </row>
    <row r="71" spans="1:5">
      <c r="A71" t="s">
        <v>535</v>
      </c>
      <c r="B71" t="s">
        <v>535</v>
      </c>
      <c r="C71" t="s">
        <v>656</v>
      </c>
      <c r="D71" s="142">
        <v>3163695.71</v>
      </c>
      <c r="E71" s="215">
        <v>0.10439936662530218</v>
      </c>
    </row>
    <row r="72" spans="1:5">
      <c r="A72" t="s">
        <v>537</v>
      </c>
      <c r="B72" t="s">
        <v>537</v>
      </c>
      <c r="C72" t="s">
        <v>657</v>
      </c>
      <c r="D72" s="142">
        <v>2672274.0099999998</v>
      </c>
      <c r="E72" s="215">
        <v>9.6792455268901997E-2</v>
      </c>
    </row>
    <row r="73" spans="1:5">
      <c r="A73" t="s">
        <v>539</v>
      </c>
      <c r="B73" t="s">
        <v>539</v>
      </c>
      <c r="C73" t="s">
        <v>658</v>
      </c>
      <c r="D73" s="142">
        <v>4987500</v>
      </c>
      <c r="E73" s="215">
        <v>8.82878E-2</v>
      </c>
    </row>
    <row r="74" spans="1:5">
      <c r="A74" t="s">
        <v>556</v>
      </c>
      <c r="B74" t="s">
        <v>556</v>
      </c>
      <c r="C74" t="s">
        <v>659</v>
      </c>
      <c r="D74" s="142">
        <v>9000000</v>
      </c>
      <c r="E74" s="215">
        <v>9.0785999999999992E-2</v>
      </c>
    </row>
    <row r="75" spans="1:5">
      <c r="A75" t="s">
        <v>541</v>
      </c>
      <c r="B75" t="s">
        <v>541</v>
      </c>
      <c r="C75" t="s">
        <v>660</v>
      </c>
      <c r="D75" s="142">
        <v>6443355.6400000006</v>
      </c>
      <c r="E75" s="215">
        <v>0.10038550311056441</v>
      </c>
    </row>
    <row r="76" spans="1:5">
      <c r="A76" t="s">
        <v>544</v>
      </c>
      <c r="B76" t="s">
        <v>544</v>
      </c>
      <c r="C76" t="s">
        <v>661</v>
      </c>
      <c r="D76" s="142">
        <v>8577681.2599999998</v>
      </c>
      <c r="E76" s="215">
        <v>0</v>
      </c>
    </row>
    <row r="77" spans="1:5">
      <c r="A77" t="s">
        <v>662</v>
      </c>
      <c r="B77" t="s">
        <v>608</v>
      </c>
      <c r="C77" t="s">
        <v>662</v>
      </c>
      <c r="D77" s="142">
        <v>79339</v>
      </c>
    </row>
    <row r="78" spans="1:5">
      <c r="A78" t="s">
        <v>663</v>
      </c>
      <c r="B78" t="s">
        <v>663</v>
      </c>
      <c r="C78" t="s">
        <v>663</v>
      </c>
      <c r="D78" s="142">
        <v>522.15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22C8-4981-474F-A1C4-98F47A5F4C80}">
  <dimension ref="A1:BZ1464"/>
  <sheetViews>
    <sheetView zoomScale="85" zoomScaleNormal="85" workbookViewId="0">
      <pane xSplit="1" ySplit="5" topLeftCell="B16" activePane="bottomRight" state="frozen"/>
      <selection pane="bottomRight" activeCell="C35" sqref="C35"/>
      <selection pane="bottomLeft" activeCell="A6" sqref="A6"/>
      <selection pane="topRight" activeCell="B1" sqref="B1"/>
    </sheetView>
  </sheetViews>
  <sheetFormatPr defaultRowHeight="15"/>
  <cols>
    <col min="1" max="1" width="46.28515625" style="144" bestFit="1" customWidth="1"/>
    <col min="2" max="2" width="15" style="212" bestFit="1" customWidth="1"/>
    <col min="3" max="3" width="13" style="212" bestFit="1" customWidth="1"/>
    <col min="4" max="4" width="30.28515625" style="212" customWidth="1"/>
    <col min="5" max="5" width="45.85546875" style="144" bestFit="1" customWidth="1"/>
    <col min="6" max="6" width="9.28515625" style="144" bestFit="1" customWidth="1"/>
    <col min="7" max="7" width="22" style="144" customWidth="1"/>
    <col min="8" max="8" width="16.28515625" style="144" bestFit="1" customWidth="1"/>
    <col min="9" max="9" width="8.85546875" style="144" bestFit="1" customWidth="1"/>
    <col min="10" max="10" width="8" style="144" bestFit="1" customWidth="1"/>
    <col min="11" max="11" width="9.140625" style="144"/>
    <col min="12" max="12" width="40.7109375" style="144" bestFit="1" customWidth="1"/>
    <col min="13" max="13" width="9.140625" style="144"/>
    <col min="14" max="14" width="7" style="144" bestFit="1" customWidth="1"/>
    <col min="15" max="15" width="8.140625" style="144" bestFit="1" customWidth="1"/>
    <col min="16" max="16" width="8.5703125" style="144" bestFit="1" customWidth="1"/>
    <col min="17" max="17" width="6.7109375" style="144" bestFit="1" customWidth="1"/>
    <col min="18" max="18" width="9.140625" style="144"/>
    <col min="19" max="19" width="6.7109375" style="144" bestFit="1" customWidth="1"/>
    <col min="20" max="20" width="14.28515625" style="144" bestFit="1" customWidth="1"/>
    <col min="21" max="21" width="7.42578125" style="144" bestFit="1" customWidth="1"/>
    <col min="22" max="22" width="11.85546875" style="144" bestFit="1" customWidth="1"/>
    <col min="23" max="23" width="7.7109375" style="144" bestFit="1" customWidth="1"/>
    <col min="24" max="24" width="8" style="144" bestFit="1" customWidth="1"/>
    <col min="25" max="25" width="6.7109375" style="144" bestFit="1" customWidth="1"/>
    <col min="26" max="26" width="8.42578125" style="144" bestFit="1" customWidth="1"/>
    <col min="27" max="27" width="8.28515625" style="144" bestFit="1" customWidth="1"/>
    <col min="28" max="30" width="9.140625" style="144" customWidth="1"/>
    <col min="31" max="31" width="8.28515625" style="144" customWidth="1"/>
    <col min="32" max="32" width="8.28515625" style="144" bestFit="1" customWidth="1"/>
    <col min="33" max="33" width="13.140625" style="144" bestFit="1" customWidth="1"/>
    <col min="34" max="34" width="8.7109375" style="144" bestFit="1" customWidth="1"/>
    <col min="35" max="37" width="13.85546875" style="144" customWidth="1"/>
    <col min="38" max="38" width="9.140625" style="144"/>
    <col min="39" max="42" width="15.140625" style="144" customWidth="1"/>
    <col min="43" max="43" width="7" style="144" bestFit="1" customWidth="1"/>
    <col min="44" max="44" width="8.5703125" style="144" bestFit="1" customWidth="1"/>
    <col min="45" max="45" width="20.140625" style="144" bestFit="1" customWidth="1"/>
    <col min="46" max="47" width="8.42578125" style="144" bestFit="1" customWidth="1"/>
    <col min="48" max="48" width="8.140625" style="144" bestFit="1" customWidth="1"/>
    <col min="49" max="49" width="10" style="144" bestFit="1" customWidth="1"/>
    <col min="50" max="50" width="19.5703125" style="144" bestFit="1" customWidth="1"/>
    <col min="51" max="51" width="10.5703125" style="144" bestFit="1" customWidth="1"/>
    <col min="52" max="52" width="22.42578125" style="144" bestFit="1" customWidth="1"/>
    <col min="53" max="53" width="8.85546875" style="144" bestFit="1" customWidth="1"/>
    <col min="54" max="54" width="8.42578125" style="144" bestFit="1" customWidth="1"/>
    <col min="55" max="55" width="9.140625" style="144"/>
    <col min="56" max="56" width="7.85546875" style="144" bestFit="1" customWidth="1"/>
    <col min="57" max="68" width="13.5703125" style="144" customWidth="1"/>
    <col min="69" max="69" width="20.85546875" style="144" bestFit="1" customWidth="1"/>
    <col min="70" max="70" width="13.42578125" style="144" bestFit="1" customWidth="1"/>
    <col min="71" max="71" width="22.7109375" style="144" bestFit="1" customWidth="1"/>
    <col min="72" max="72" width="15.42578125" style="144" bestFit="1" customWidth="1"/>
    <col min="73" max="73" width="16.7109375" style="144" bestFit="1" customWidth="1"/>
    <col min="74" max="74" width="12.28515625" style="144" bestFit="1" customWidth="1"/>
    <col min="75" max="75" width="10.28515625" style="144" bestFit="1" customWidth="1"/>
    <col min="76" max="76" width="11.5703125" style="144" bestFit="1" customWidth="1"/>
    <col min="77" max="77" width="14.42578125" style="144" bestFit="1" customWidth="1"/>
    <col min="78" max="78" width="12.28515625" style="144" bestFit="1" customWidth="1"/>
    <col min="79" max="16384" width="9.140625" style="144"/>
  </cols>
  <sheetData>
    <row r="1" spans="1:78">
      <c r="B1" s="144"/>
      <c r="C1" s="144"/>
      <c r="D1" s="144"/>
    </row>
    <row r="2" spans="1:78">
      <c r="B2" s="144"/>
      <c r="C2" s="144"/>
      <c r="D2" s="144"/>
    </row>
    <row r="3" spans="1:78">
      <c r="B3" s="144"/>
      <c r="C3" s="144"/>
      <c r="D3" s="144"/>
    </row>
    <row r="4" spans="1:78">
      <c r="B4" s="144"/>
      <c r="C4" s="144"/>
      <c r="D4" s="144"/>
    </row>
    <row r="5" spans="1:78" ht="76.5">
      <c r="A5" s="145" t="s">
        <v>664</v>
      </c>
      <c r="B5" s="145" t="s">
        <v>665</v>
      </c>
      <c r="C5" s="145" t="s">
        <v>666</v>
      </c>
      <c r="D5" s="145" t="s">
        <v>667</v>
      </c>
      <c r="E5" s="145" t="s">
        <v>668</v>
      </c>
      <c r="F5" s="145" t="s">
        <v>669</v>
      </c>
      <c r="G5" s="145" t="s">
        <v>670</v>
      </c>
      <c r="H5" s="146" t="s">
        <v>671</v>
      </c>
      <c r="I5" s="145" t="s">
        <v>672</v>
      </c>
      <c r="J5" s="145" t="s">
        <v>5</v>
      </c>
      <c r="K5" s="145" t="s">
        <v>673</v>
      </c>
      <c r="L5" s="145" t="s">
        <v>674</v>
      </c>
      <c r="M5" s="145" t="s">
        <v>675</v>
      </c>
      <c r="N5" s="147" t="s">
        <v>429</v>
      </c>
      <c r="O5" s="145" t="s">
        <v>676</v>
      </c>
      <c r="P5" s="145" t="s">
        <v>677</v>
      </c>
      <c r="Q5" s="148" t="s">
        <v>430</v>
      </c>
      <c r="R5" s="145" t="s">
        <v>678</v>
      </c>
      <c r="S5" s="145" t="s">
        <v>679</v>
      </c>
      <c r="T5" s="145" t="s">
        <v>680</v>
      </c>
      <c r="U5" s="145" t="s">
        <v>681</v>
      </c>
      <c r="V5" s="145" t="s">
        <v>682</v>
      </c>
      <c r="W5" s="145" t="s">
        <v>683</v>
      </c>
      <c r="X5" s="149" t="s">
        <v>684</v>
      </c>
      <c r="Y5" s="145" t="s">
        <v>685</v>
      </c>
      <c r="Z5" s="149" t="s">
        <v>686</v>
      </c>
      <c r="AA5" s="149" t="s">
        <v>687</v>
      </c>
      <c r="AB5" s="149" t="s">
        <v>688</v>
      </c>
      <c r="AC5" s="149" t="s">
        <v>689</v>
      </c>
      <c r="AD5" s="149" t="s">
        <v>690</v>
      </c>
      <c r="AE5" s="149" t="s">
        <v>691</v>
      </c>
      <c r="AF5" s="149" t="s">
        <v>692</v>
      </c>
      <c r="AG5" s="150" t="s">
        <v>431</v>
      </c>
      <c r="AH5" s="149" t="s">
        <v>693</v>
      </c>
      <c r="AI5" s="150" t="s">
        <v>432</v>
      </c>
      <c r="AJ5" s="150" t="s">
        <v>433</v>
      </c>
      <c r="AK5" s="149" t="s">
        <v>694</v>
      </c>
      <c r="AL5" s="149" t="s">
        <v>695</v>
      </c>
      <c r="AM5" s="150" t="s">
        <v>434</v>
      </c>
      <c r="AN5" s="149" t="s">
        <v>696</v>
      </c>
      <c r="AO5" s="150" t="s">
        <v>435</v>
      </c>
      <c r="AP5" s="149" t="s">
        <v>697</v>
      </c>
      <c r="AQ5" s="145" t="s">
        <v>698</v>
      </c>
      <c r="AR5" s="145" t="s">
        <v>699</v>
      </c>
      <c r="AS5" s="145" t="s">
        <v>700</v>
      </c>
      <c r="AT5" s="145" t="s">
        <v>701</v>
      </c>
      <c r="AU5" s="151" t="s">
        <v>702</v>
      </c>
      <c r="AV5" s="145" t="s">
        <v>703</v>
      </c>
      <c r="AW5" s="149" t="s">
        <v>704</v>
      </c>
      <c r="AX5" s="149" t="s">
        <v>705</v>
      </c>
      <c r="AY5" s="145" t="s">
        <v>706</v>
      </c>
      <c r="AZ5" s="149" t="s">
        <v>707</v>
      </c>
      <c r="BA5" s="152" t="s">
        <v>708</v>
      </c>
      <c r="BB5" s="149" t="s">
        <v>709</v>
      </c>
      <c r="BC5" s="153" t="s">
        <v>710</v>
      </c>
      <c r="BD5" s="153" t="s">
        <v>711</v>
      </c>
      <c r="BE5" s="152" t="s">
        <v>712</v>
      </c>
      <c r="BF5" s="152" t="s">
        <v>713</v>
      </c>
      <c r="BG5" s="152" t="s">
        <v>714</v>
      </c>
      <c r="BH5" s="152" t="s">
        <v>715</v>
      </c>
      <c r="BI5" s="152" t="s">
        <v>716</v>
      </c>
      <c r="BJ5" s="152" t="s">
        <v>717</v>
      </c>
      <c r="BK5" s="154" t="s">
        <v>718</v>
      </c>
      <c r="BL5" s="154" t="s">
        <v>708</v>
      </c>
      <c r="BM5" s="152" t="s">
        <v>701</v>
      </c>
      <c r="BN5" s="152" t="s">
        <v>719</v>
      </c>
      <c r="BO5" s="152" t="s">
        <v>720</v>
      </c>
      <c r="BP5" s="154" t="s">
        <v>702</v>
      </c>
      <c r="BQ5" s="152" t="s">
        <v>721</v>
      </c>
      <c r="BR5" s="152" t="s">
        <v>722</v>
      </c>
      <c r="BS5" s="155" t="s">
        <v>723</v>
      </c>
      <c r="BT5" s="149" t="s">
        <v>724</v>
      </c>
      <c r="BU5" s="155" t="s">
        <v>725</v>
      </c>
      <c r="BV5" s="156" t="s">
        <v>726</v>
      </c>
      <c r="BW5" s="157" t="s">
        <v>727</v>
      </c>
      <c r="BX5" s="157" t="s">
        <v>728</v>
      </c>
      <c r="BY5" s="157" t="s">
        <v>729</v>
      </c>
      <c r="BZ5" s="157" t="s">
        <v>730</v>
      </c>
    </row>
    <row r="6" spans="1:78">
      <c r="A6" s="158" t="s">
        <v>441</v>
      </c>
      <c r="B6" s="159"/>
      <c r="C6" s="160">
        <v>45777</v>
      </c>
      <c r="D6" s="161" t="s">
        <v>731</v>
      </c>
      <c r="E6" s="158" t="s">
        <v>732</v>
      </c>
      <c r="F6" s="162" t="s">
        <v>733</v>
      </c>
      <c r="G6" s="163" t="s">
        <v>734</v>
      </c>
      <c r="H6" s="164">
        <f>AX6</f>
        <v>3192037.26</v>
      </c>
      <c r="I6" s="165"/>
      <c r="J6" s="163" t="s">
        <v>12</v>
      </c>
      <c r="K6" s="163" t="s">
        <v>735</v>
      </c>
      <c r="L6" s="166" t="s">
        <v>736</v>
      </c>
      <c r="M6" s="166" t="s">
        <v>737</v>
      </c>
      <c r="N6" s="167">
        <f>+VLOOKUP($A6, [2]Sheet2!$M$3:$Z$76, 14, FALSE)</f>
        <v>9.074900000000001E-2</v>
      </c>
      <c r="O6" s="168" t="s">
        <v>738</v>
      </c>
      <c r="P6" s="167">
        <v>0.01</v>
      </c>
      <c r="Q6" s="167">
        <f>+VLOOKUP($A6, [2]Sheet2!$M$3:$Z$76, 13, FALSE)</f>
        <v>4.7500000000000001E-2</v>
      </c>
      <c r="R6" s="166">
        <v>3</v>
      </c>
      <c r="S6" s="169"/>
      <c r="T6" s="167" t="s">
        <v>739</v>
      </c>
      <c r="U6" s="163">
        <f>YEARFRAC(C6,V6)</f>
        <v>3.6444444444444444</v>
      </c>
      <c r="V6" s="170">
        <v>47109</v>
      </c>
      <c r="W6" s="163" t="s">
        <v>740</v>
      </c>
      <c r="X6" s="171">
        <v>100</v>
      </c>
      <c r="Y6" s="172"/>
      <c r="Z6" s="173"/>
      <c r="AA6" s="173"/>
      <c r="AB6" s="174">
        <v>26.53</v>
      </c>
      <c r="AC6" s="175">
        <v>1.8629211862758333</v>
      </c>
      <c r="AD6" s="175">
        <v>4.9219776881189494</v>
      </c>
      <c r="AE6" s="175"/>
      <c r="AF6" s="176">
        <v>4.9219776881189494</v>
      </c>
      <c r="AG6" s="170">
        <f>+VLOOKUP($A6, [2]Sheet2!$M$3:$X$76, 8, FALSE)</f>
        <v>45716</v>
      </c>
      <c r="AH6" s="163"/>
      <c r="AI6" s="176">
        <f>+VLOOKUP($A6, [2]Sheet2!$M$3:$X$76, 9, FALSE)</f>
        <v>2.3958955949234078</v>
      </c>
      <c r="AJ6" s="177">
        <f>+VLOOKUP($A6, [2]Sheet2!$M$3:$X$76, 10, FALSE)</f>
        <v>60.906999999999996</v>
      </c>
      <c r="AK6" s="175">
        <f t="shared" ref="AK6:AK69" si="0">AD6-AI6</f>
        <v>2.5260820931955417</v>
      </c>
      <c r="AL6" s="175"/>
      <c r="AM6" s="176">
        <f>+VLOOKUP($A6, [2]Sheet2!$M$3:$X$76, 11, FALSE)</f>
        <v>2.3958955949234078</v>
      </c>
      <c r="AN6" s="176">
        <f t="shared" ref="AN6:AN69" si="1">AF6-AM6</f>
        <v>2.5260820931955417</v>
      </c>
      <c r="AO6" s="176">
        <f>+VLOOKUP($A6, [2]Sheet2!$M$3:$X$76, 12, FALSE)</f>
        <v>3.1669614791473308</v>
      </c>
      <c r="AP6" s="176">
        <f t="shared" ref="AP6:AP69" si="2">AC6-AO6</f>
        <v>-1.3040402928714976</v>
      </c>
      <c r="AQ6" s="178"/>
      <c r="AR6" s="178"/>
      <c r="AS6" s="166" t="s">
        <v>741</v>
      </c>
      <c r="AT6" s="179" t="s">
        <v>742</v>
      </c>
      <c r="AU6" s="166" t="s">
        <v>742</v>
      </c>
      <c r="AV6" s="180"/>
      <c r="AW6" s="161" t="s">
        <v>743</v>
      </c>
      <c r="AX6" s="181">
        <v>3192037.26</v>
      </c>
      <c r="AY6" s="181"/>
      <c r="AZ6" s="181">
        <f>+AX6-AY6</f>
        <v>3192037.26</v>
      </c>
      <c r="BA6" s="181"/>
      <c r="BB6" s="174" t="s">
        <v>744</v>
      </c>
      <c r="BC6" s="177" t="s">
        <v>745</v>
      </c>
      <c r="BD6" s="182">
        <v>100</v>
      </c>
      <c r="BE6" s="183">
        <f t="shared" ref="BE6:BE69" si="3">IF(LEFT(BZ6,3)="FL ",0,1)</f>
        <v>0</v>
      </c>
      <c r="BF6" s="183">
        <f t="shared" ref="BF6:BF69" si="4">IF(OR(J6="FLLO",L6="2L"),1,0)</f>
        <v>0</v>
      </c>
      <c r="BG6" s="183">
        <f t="shared" ref="BG6:BG69" si="5">IF(L6="2L",1,0)</f>
        <v>0</v>
      </c>
      <c r="BH6" s="183">
        <f t="shared" ref="BH6:BH69" si="6">IF(J6="USD",0,1)</f>
        <v>0</v>
      </c>
      <c r="BI6" s="183">
        <f t="shared" ref="BI6:BI69" si="7">IF(W6="USA",0,1)</f>
        <v>0</v>
      </c>
      <c r="BJ6" s="183">
        <f t="shared" ref="BJ6:BJ69" si="8">IF(AJ6&lt;15,1,0)</f>
        <v>0</v>
      </c>
      <c r="BK6" s="183">
        <f t="shared" ref="BK6:BK69" si="9">IF(AJ6&lt;10,1,0)</f>
        <v>0</v>
      </c>
      <c r="BL6" s="183">
        <f t="shared" ref="BL6:BL69" si="10">IF(BA6="Yes",1,0)</f>
        <v>0</v>
      </c>
      <c r="BM6" s="183">
        <f t="shared" ref="BM6:BM69" si="11">IF(AT6="Yes",1,0)</f>
        <v>0</v>
      </c>
      <c r="BN6" s="183">
        <f t="shared" ref="BN6:BN69" si="12">IF(AI6&gt;5.5,1,0)</f>
        <v>0</v>
      </c>
      <c r="BO6" s="183">
        <f t="shared" ref="BO6:BO69" si="13">IF(M6="Fixed",1,0)</f>
        <v>0</v>
      </c>
      <c r="BP6" s="183">
        <f t="shared" ref="BP6:BP69" si="14">IF(AU6="Yes",1,0)</f>
        <v>0</v>
      </c>
      <c r="BQ6" s="184">
        <f t="shared" ref="BQ6:BQ69" si="15">H6</f>
        <v>3192037.26</v>
      </c>
      <c r="BR6" s="185">
        <v>100</v>
      </c>
      <c r="BS6" s="186">
        <f t="shared" ref="BS6:BS69" si="16">BR6*AZ6/100</f>
        <v>3192037.26</v>
      </c>
      <c r="BT6" s="187"/>
      <c r="BU6" s="181">
        <f t="shared" ref="BU6:BU69" si="17">BS6-BT6</f>
        <v>3192037.26</v>
      </c>
      <c r="BV6" s="187">
        <v>0</v>
      </c>
      <c r="BW6" s="183" t="str">
        <f t="shared" ref="BW6:BW69" si="18">IF(LEN(AJ6)=0,"EBITDA missing",IF(AJ6&gt;10000,"EBITDA bad",IF(AJ6&lt;=15,"15-",IF(AJ6&gt;=30,"30+","15-30"))))</f>
        <v>30+</v>
      </c>
      <c r="BX6" s="183" t="str">
        <f t="shared" ref="BX6:BX69" si="19">IF(AE6&lt;=0.25,"&lt;0.25",IF(AE6&gt;1.5,"&gt;1.50","0.25-1.50"))</f>
        <v>&lt;0.25</v>
      </c>
      <c r="BY6" s="188"/>
      <c r="BZ6" s="183" t="str">
        <f t="shared" ref="BZ6:BZ69" si="20">IF(K6="FL",K6&amp;" "&amp;BW6,IF(K6="FLLO",IF(OR(BX6="&lt;0.25",BY6="FL"),"FL"&amp;" "&amp;BW6,K6&amp;" "&amp;BX6),K6))</f>
        <v>FL 30+</v>
      </c>
    </row>
    <row r="7" spans="1:78">
      <c r="A7" s="158" t="s">
        <v>442</v>
      </c>
      <c r="B7" s="159"/>
      <c r="C7" s="160">
        <v>45777</v>
      </c>
      <c r="D7" s="161" t="s">
        <v>731</v>
      </c>
      <c r="E7" s="158" t="s">
        <v>746</v>
      </c>
      <c r="F7" s="162" t="s">
        <v>747</v>
      </c>
      <c r="G7" s="163" t="s">
        <v>734</v>
      </c>
      <c r="H7" s="164">
        <v>269595.42</v>
      </c>
      <c r="I7" s="189"/>
      <c r="J7" s="163" t="s">
        <v>12</v>
      </c>
      <c r="K7" s="163" t="s">
        <v>735</v>
      </c>
      <c r="L7" s="166" t="s">
        <v>748</v>
      </c>
      <c r="M7" s="166" t="s">
        <v>737</v>
      </c>
      <c r="N7" s="167">
        <f>+VLOOKUP(A7, [2]Sheet2!$M$3:$Z$76, 14, FALSE)</f>
        <v>9.8078440023785435E-2</v>
      </c>
      <c r="O7" s="168" t="s">
        <v>738</v>
      </c>
      <c r="P7" s="167">
        <v>0.01</v>
      </c>
      <c r="Q7" s="167">
        <f>+VLOOKUP($A7, [2]Sheet2!$M$3:$Z$76, 13, FALSE)</f>
        <v>5.5E-2</v>
      </c>
      <c r="R7" s="166">
        <v>3</v>
      </c>
      <c r="S7" s="165"/>
      <c r="T7" s="167" t="s">
        <v>739</v>
      </c>
      <c r="U7" s="163">
        <f t="shared" ref="U7:U70" si="21">YEARFRAC(C7,V7)</f>
        <v>1.9416666666666667</v>
      </c>
      <c r="V7" s="170">
        <v>46486</v>
      </c>
      <c r="W7" s="163" t="s">
        <v>740</v>
      </c>
      <c r="X7" s="171">
        <v>100</v>
      </c>
      <c r="Y7" s="172"/>
      <c r="Z7" s="173"/>
      <c r="AA7" s="173"/>
      <c r="AB7" s="174">
        <v>62.582177552763071</v>
      </c>
      <c r="AC7" s="175">
        <v>1.6048889860832187</v>
      </c>
      <c r="AD7" s="175">
        <v>5.5133081005532443</v>
      </c>
      <c r="AE7" s="175"/>
      <c r="AF7" s="176">
        <v>5.5133081005532443</v>
      </c>
      <c r="AG7" s="170">
        <f>+VLOOKUP($A7, [2]Sheet2!$M$3:$X$76, 8, FALSE)</f>
        <v>45716</v>
      </c>
      <c r="AH7" s="163"/>
      <c r="AI7" s="176">
        <f>+VLOOKUP(A7, [2]Sheet2!$M$3:$X$76, 9, FALSE)</f>
        <v>6.0802911056501969</v>
      </c>
      <c r="AJ7" s="177">
        <f>+VLOOKUP($A7, [2]Sheet2!$M$3:$X$76, 10, FALSE)</f>
        <v>76.694091670471707</v>
      </c>
      <c r="AK7" s="175">
        <f t="shared" si="0"/>
        <v>-0.56698300509695265</v>
      </c>
      <c r="AL7" s="175"/>
      <c r="AM7" s="176">
        <f>+VLOOKUP($A7, [2]Sheet2!$M$3:$X$76, 11, FALSE)</f>
        <v>7.1419734977347176</v>
      </c>
      <c r="AN7" s="176">
        <f t="shared" si="1"/>
        <v>-1.6286653971814733</v>
      </c>
      <c r="AO7" s="176">
        <f>+VLOOKUP($A7, [2]Sheet2!$M$3:$X$76, 12, FALSE)</f>
        <v>1.3690868674409475</v>
      </c>
      <c r="AP7" s="176">
        <f t="shared" si="2"/>
        <v>0.23580211864227119</v>
      </c>
      <c r="AQ7" s="178"/>
      <c r="AR7" s="178"/>
      <c r="AS7" s="166" t="s">
        <v>749</v>
      </c>
      <c r="AT7" s="179" t="s">
        <v>750</v>
      </c>
      <c r="AU7" s="166" t="s">
        <v>742</v>
      </c>
      <c r="AV7" s="180"/>
      <c r="AW7" s="161" t="s">
        <v>743</v>
      </c>
      <c r="AX7" s="181">
        <v>269595.42</v>
      </c>
      <c r="AY7" s="181"/>
      <c r="AZ7" s="181">
        <f t="shared" ref="AZ7:AZ70" si="22">+AX7-AY7</f>
        <v>269595.42</v>
      </c>
      <c r="BA7" s="181"/>
      <c r="BB7" s="174" t="s">
        <v>744</v>
      </c>
      <c r="BC7" s="177" t="s">
        <v>745</v>
      </c>
      <c r="BD7" s="182">
        <v>100</v>
      </c>
      <c r="BE7" s="183">
        <f t="shared" si="3"/>
        <v>0</v>
      </c>
      <c r="BF7" s="183">
        <f t="shared" si="4"/>
        <v>0</v>
      </c>
      <c r="BG7" s="183">
        <f t="shared" si="5"/>
        <v>0</v>
      </c>
      <c r="BH7" s="183">
        <f t="shared" si="6"/>
        <v>0</v>
      </c>
      <c r="BI7" s="183">
        <f t="shared" si="7"/>
        <v>0</v>
      </c>
      <c r="BJ7" s="183">
        <f t="shared" si="8"/>
        <v>0</v>
      </c>
      <c r="BK7" s="183">
        <f t="shared" si="9"/>
        <v>0</v>
      </c>
      <c r="BL7" s="183">
        <f t="shared" si="10"/>
        <v>0</v>
      </c>
      <c r="BM7" s="183">
        <f t="shared" si="11"/>
        <v>1</v>
      </c>
      <c r="BN7" s="183">
        <f t="shared" si="12"/>
        <v>1</v>
      </c>
      <c r="BO7" s="183">
        <f t="shared" si="13"/>
        <v>0</v>
      </c>
      <c r="BP7" s="183">
        <f t="shared" si="14"/>
        <v>0</v>
      </c>
      <c r="BQ7" s="184">
        <f t="shared" si="15"/>
        <v>269595.42</v>
      </c>
      <c r="BR7" s="185">
        <v>100</v>
      </c>
      <c r="BS7" s="186">
        <f t="shared" si="16"/>
        <v>269595.42</v>
      </c>
      <c r="BT7" s="187"/>
      <c r="BU7" s="181">
        <f t="shared" si="17"/>
        <v>269595.42</v>
      </c>
      <c r="BV7" s="187">
        <v>0</v>
      </c>
      <c r="BW7" s="183" t="str">
        <f t="shared" si="18"/>
        <v>30+</v>
      </c>
      <c r="BX7" s="183" t="str">
        <f t="shared" si="19"/>
        <v>&lt;0.25</v>
      </c>
      <c r="BY7" s="188"/>
      <c r="BZ7" s="183" t="str">
        <f t="shared" si="20"/>
        <v>FL 30+</v>
      </c>
    </row>
    <row r="8" spans="1:78">
      <c r="A8" s="158" t="s">
        <v>61</v>
      </c>
      <c r="B8" s="159"/>
      <c r="C8" s="160">
        <v>45777</v>
      </c>
      <c r="D8" s="161" t="s">
        <v>731</v>
      </c>
      <c r="E8" s="158" t="s">
        <v>751</v>
      </c>
      <c r="F8" s="162" t="s">
        <v>752</v>
      </c>
      <c r="G8" s="163" t="s">
        <v>734</v>
      </c>
      <c r="H8" s="164">
        <v>3933327.3599999999</v>
      </c>
      <c r="I8" s="165"/>
      <c r="J8" s="163" t="s">
        <v>12</v>
      </c>
      <c r="K8" s="163" t="s">
        <v>735</v>
      </c>
      <c r="L8" s="166" t="s">
        <v>753</v>
      </c>
      <c r="M8" s="166" t="s">
        <v>737</v>
      </c>
      <c r="N8" s="167">
        <f>+VLOOKUP(A8, [2]Sheet2!$M$3:$Z$76, 14, FALSE)</f>
        <v>0.10422700000000003</v>
      </c>
      <c r="O8" s="168" t="s">
        <v>738</v>
      </c>
      <c r="P8" s="167">
        <v>0.01</v>
      </c>
      <c r="Q8" s="167">
        <f>+VLOOKUP($A8, [2]Sheet2!$M$3:$Z$76, 13, FALSE)</f>
        <v>6.0999999999999999E-2</v>
      </c>
      <c r="R8" s="166">
        <v>3</v>
      </c>
      <c r="S8" s="165"/>
      <c r="T8" s="167" t="s">
        <v>739</v>
      </c>
      <c r="U8" s="163">
        <f t="shared" si="21"/>
        <v>1.5833333333333333</v>
      </c>
      <c r="V8" s="170">
        <v>46356</v>
      </c>
      <c r="W8" s="163" t="s">
        <v>740</v>
      </c>
      <c r="X8" s="171">
        <v>100</v>
      </c>
      <c r="Y8" s="172"/>
      <c r="Z8" s="173"/>
      <c r="AA8" s="173"/>
      <c r="AB8" s="174">
        <v>283.8</v>
      </c>
      <c r="AC8" s="175">
        <v>2.65</v>
      </c>
      <c r="AD8" s="175">
        <v>5.41</v>
      </c>
      <c r="AE8" s="175"/>
      <c r="AF8" s="176">
        <v>5.45</v>
      </c>
      <c r="AG8" s="170">
        <f>+VLOOKUP($A8, [2]Sheet2!$M$3:$X$76, 8, FALSE)</f>
        <v>45688</v>
      </c>
      <c r="AH8" s="163"/>
      <c r="AI8" s="176">
        <f>+VLOOKUP(A8, [2]Sheet2!$M$3:$X$76, 9, FALSE)</f>
        <v>16.797917600666075</v>
      </c>
      <c r="AJ8" s="177">
        <f>+VLOOKUP($A8, [2]Sheet2!$M$3:$X$76, 10, FALSE)</f>
        <v>109.297</v>
      </c>
      <c r="AK8" s="175">
        <f t="shared" si="0"/>
        <v>-11.387917600666075</v>
      </c>
      <c r="AL8" s="175"/>
      <c r="AM8" s="176">
        <f>+VLOOKUP($A8, [2]Sheet2!$M$3:$X$76, 11, FALSE)</f>
        <v>17.284975799884716</v>
      </c>
      <c r="AN8" s="176">
        <f t="shared" si="1"/>
        <v>-11.834975799884717</v>
      </c>
      <c r="AO8" s="176">
        <f>+VLOOKUP($A8, [2]Sheet2!$M$3:$X$76, 12, FALSE)</f>
        <v>0.66578745385655624</v>
      </c>
      <c r="AP8" s="176">
        <f t="shared" si="2"/>
        <v>1.9842125461434437</v>
      </c>
      <c r="AQ8" s="177"/>
      <c r="AR8" s="178"/>
      <c r="AS8" s="166" t="s">
        <v>741</v>
      </c>
      <c r="AT8" s="179" t="s">
        <v>742</v>
      </c>
      <c r="AU8" s="166" t="s">
        <v>742</v>
      </c>
      <c r="AV8" s="180"/>
      <c r="AW8" s="161" t="s">
        <v>743</v>
      </c>
      <c r="AX8" s="181">
        <v>3933849.62</v>
      </c>
      <c r="AY8" s="181"/>
      <c r="AZ8" s="181">
        <f t="shared" si="22"/>
        <v>3933849.62</v>
      </c>
      <c r="BA8" s="181"/>
      <c r="BB8" s="174" t="s">
        <v>744</v>
      </c>
      <c r="BC8" s="177" t="s">
        <v>744</v>
      </c>
      <c r="BD8" s="190">
        <v>0</v>
      </c>
      <c r="BE8" s="183">
        <f t="shared" si="3"/>
        <v>0</v>
      </c>
      <c r="BF8" s="183">
        <f t="shared" si="4"/>
        <v>0</v>
      </c>
      <c r="BG8" s="183">
        <f t="shared" si="5"/>
        <v>0</v>
      </c>
      <c r="BH8" s="183">
        <f t="shared" si="6"/>
        <v>0</v>
      </c>
      <c r="BI8" s="183">
        <f t="shared" si="7"/>
        <v>0</v>
      </c>
      <c r="BJ8" s="183">
        <f t="shared" si="8"/>
        <v>0</v>
      </c>
      <c r="BK8" s="183">
        <f t="shared" si="9"/>
        <v>0</v>
      </c>
      <c r="BL8" s="183">
        <f t="shared" si="10"/>
        <v>0</v>
      </c>
      <c r="BM8" s="183">
        <f t="shared" si="11"/>
        <v>0</v>
      </c>
      <c r="BN8" s="183">
        <f t="shared" si="12"/>
        <v>1</v>
      </c>
      <c r="BO8" s="183">
        <f t="shared" si="13"/>
        <v>0</v>
      </c>
      <c r="BP8" s="183">
        <f t="shared" si="14"/>
        <v>0</v>
      </c>
      <c r="BQ8" s="184">
        <f t="shared" si="15"/>
        <v>3933327.3599999999</v>
      </c>
      <c r="BR8" s="185">
        <v>0</v>
      </c>
      <c r="BS8" s="186">
        <f t="shared" si="16"/>
        <v>0</v>
      </c>
      <c r="BT8" s="187"/>
      <c r="BU8" s="181">
        <f t="shared" si="17"/>
        <v>0</v>
      </c>
      <c r="BV8" s="187">
        <v>0</v>
      </c>
      <c r="BW8" s="183" t="str">
        <f t="shared" si="18"/>
        <v>30+</v>
      </c>
      <c r="BX8" s="183" t="str">
        <f t="shared" si="19"/>
        <v>&lt;0.25</v>
      </c>
      <c r="BY8" s="188"/>
      <c r="BZ8" s="183" t="str">
        <f t="shared" si="20"/>
        <v>FL 30+</v>
      </c>
    </row>
    <row r="9" spans="1:78">
      <c r="A9" s="158" t="s">
        <v>444</v>
      </c>
      <c r="B9" s="159"/>
      <c r="C9" s="160">
        <v>45777</v>
      </c>
      <c r="D9" s="161" t="s">
        <v>731</v>
      </c>
      <c r="E9" s="158" t="s">
        <v>754</v>
      </c>
      <c r="F9" s="162" t="s">
        <v>755</v>
      </c>
      <c r="G9" s="163" t="s">
        <v>734</v>
      </c>
      <c r="H9" s="164">
        <v>8816867.8200000003</v>
      </c>
      <c r="I9" s="189"/>
      <c r="J9" s="163" t="s">
        <v>12</v>
      </c>
      <c r="K9" s="163" t="s">
        <v>735</v>
      </c>
      <c r="L9" s="166" t="s">
        <v>756</v>
      </c>
      <c r="M9" s="166" t="s">
        <v>737</v>
      </c>
      <c r="N9" s="167">
        <f>+VLOOKUP(A9, [2]Sheet2!$M$3:$Z$76, 14, FALSE)</f>
        <v>0.10050563300492132</v>
      </c>
      <c r="O9" s="168" t="s">
        <v>738</v>
      </c>
      <c r="P9" s="167">
        <v>0.01</v>
      </c>
      <c r="Q9" s="167">
        <f>+VLOOKUP($A9, [2]Sheet2!$M$3:$Z$76, 13, FALSE)</f>
        <v>5.7500000000000002E-2</v>
      </c>
      <c r="R9" s="166">
        <v>3</v>
      </c>
      <c r="S9" s="165"/>
      <c r="T9" s="167" t="s">
        <v>739</v>
      </c>
      <c r="U9" s="163">
        <f t="shared" si="21"/>
        <v>4.3277777777777775</v>
      </c>
      <c r="V9" s="170">
        <v>47358</v>
      </c>
      <c r="W9" s="163" t="s">
        <v>740</v>
      </c>
      <c r="X9" s="171">
        <v>100</v>
      </c>
      <c r="Y9" s="172"/>
      <c r="Z9" s="173"/>
      <c r="AA9" s="173"/>
      <c r="AB9" s="174">
        <v>11.028693043071801</v>
      </c>
      <c r="AC9" s="175">
        <v>2.4621135704814532</v>
      </c>
      <c r="AD9" s="175">
        <v>2.8065191749483067</v>
      </c>
      <c r="AE9" s="175"/>
      <c r="AF9" s="176">
        <v>2.8065191749483067</v>
      </c>
      <c r="AG9" s="170">
        <f>+VLOOKUP($A9, [2]Sheet2!$M$3:$X$76, 8, FALSE)</f>
        <v>45688</v>
      </c>
      <c r="AH9" s="163"/>
      <c r="AI9" s="176">
        <f>+VLOOKUP(A9, [2]Sheet2!$M$3:$X$76, 9, FALSE)</f>
        <v>5.1697288861608461</v>
      </c>
      <c r="AJ9" s="177">
        <f>+VLOOKUP($A9, [2]Sheet2!$M$3:$X$76, 10, FALSE)</f>
        <v>11.1935270251616</v>
      </c>
      <c r="AK9" s="175">
        <f t="shared" si="0"/>
        <v>-2.3632097112125394</v>
      </c>
      <c r="AL9" s="175"/>
      <c r="AM9" s="176">
        <f>+VLOOKUP($A9, [2]Sheet2!$M$3:$X$76, 11, FALSE)</f>
        <v>5.1697288861608461</v>
      </c>
      <c r="AN9" s="176">
        <f t="shared" si="1"/>
        <v>-2.3632097112125394</v>
      </c>
      <c r="AO9" s="176">
        <f>+VLOOKUP($A9, [2]Sheet2!$M$3:$X$76, 12, FALSE)</f>
        <v>2.4989121269917134</v>
      </c>
      <c r="AP9" s="176">
        <f t="shared" si="2"/>
        <v>-3.6798556510260205E-2</v>
      </c>
      <c r="AQ9" s="178"/>
      <c r="AR9" s="178"/>
      <c r="AS9" s="166" t="s">
        <v>741</v>
      </c>
      <c r="AT9" s="179" t="s">
        <v>742</v>
      </c>
      <c r="AU9" s="166" t="s">
        <v>742</v>
      </c>
      <c r="AV9" s="180"/>
      <c r="AW9" s="161" t="s">
        <v>743</v>
      </c>
      <c r="AX9" s="181">
        <v>8816867.8200000003</v>
      </c>
      <c r="AY9" s="181"/>
      <c r="AZ9" s="181">
        <f t="shared" si="22"/>
        <v>8816867.8200000003</v>
      </c>
      <c r="BA9" s="181"/>
      <c r="BB9" s="174" t="s">
        <v>744</v>
      </c>
      <c r="BC9" s="177" t="s">
        <v>745</v>
      </c>
      <c r="BD9" s="182">
        <v>100</v>
      </c>
      <c r="BE9" s="183">
        <f t="shared" si="3"/>
        <v>0</v>
      </c>
      <c r="BF9" s="183">
        <f t="shared" si="4"/>
        <v>0</v>
      </c>
      <c r="BG9" s="183">
        <f t="shared" si="5"/>
        <v>0</v>
      </c>
      <c r="BH9" s="183">
        <f t="shared" si="6"/>
        <v>0</v>
      </c>
      <c r="BI9" s="183">
        <f t="shared" si="7"/>
        <v>0</v>
      </c>
      <c r="BJ9" s="183">
        <f t="shared" si="8"/>
        <v>1</v>
      </c>
      <c r="BK9" s="183">
        <f t="shared" si="9"/>
        <v>0</v>
      </c>
      <c r="BL9" s="183">
        <f t="shared" si="10"/>
        <v>0</v>
      </c>
      <c r="BM9" s="183">
        <f t="shared" si="11"/>
        <v>0</v>
      </c>
      <c r="BN9" s="183">
        <f t="shared" si="12"/>
        <v>0</v>
      </c>
      <c r="BO9" s="183">
        <f t="shared" si="13"/>
        <v>0</v>
      </c>
      <c r="BP9" s="183">
        <f t="shared" si="14"/>
        <v>0</v>
      </c>
      <c r="BQ9" s="184">
        <f t="shared" si="15"/>
        <v>8816867.8200000003</v>
      </c>
      <c r="BR9" s="185">
        <v>100</v>
      </c>
      <c r="BS9" s="186">
        <f t="shared" si="16"/>
        <v>8816867.8200000003</v>
      </c>
      <c r="BT9" s="187"/>
      <c r="BU9" s="181">
        <f t="shared" si="17"/>
        <v>8816867.8200000003</v>
      </c>
      <c r="BV9" s="187">
        <v>0</v>
      </c>
      <c r="BW9" s="183" t="str">
        <f t="shared" si="18"/>
        <v>15-</v>
      </c>
      <c r="BX9" s="183" t="str">
        <f t="shared" si="19"/>
        <v>&lt;0.25</v>
      </c>
      <c r="BY9" s="188"/>
      <c r="BZ9" s="183" t="str">
        <f t="shared" si="20"/>
        <v>FL 15-</v>
      </c>
    </row>
    <row r="10" spans="1:78">
      <c r="A10" s="158" t="s">
        <v>445</v>
      </c>
      <c r="B10" s="159"/>
      <c r="C10" s="160">
        <v>45777</v>
      </c>
      <c r="D10" s="161" t="s">
        <v>731</v>
      </c>
      <c r="E10" s="158" t="s">
        <v>757</v>
      </c>
      <c r="F10" s="162" t="s">
        <v>758</v>
      </c>
      <c r="G10" s="163" t="s">
        <v>734</v>
      </c>
      <c r="H10" s="164">
        <v>5472500</v>
      </c>
      <c r="I10" s="165"/>
      <c r="J10" s="163" t="s">
        <v>12</v>
      </c>
      <c r="K10" s="163" t="s">
        <v>735</v>
      </c>
      <c r="L10" s="166" t="s">
        <v>759</v>
      </c>
      <c r="M10" s="166" t="s">
        <v>737</v>
      </c>
      <c r="N10" s="167">
        <f>+VLOOKUP(A10, [2]Sheet2!$M$3:$Z$76, 14, FALSE)</f>
        <v>0.100664</v>
      </c>
      <c r="O10" s="168" t="s">
        <v>738</v>
      </c>
      <c r="P10" s="167">
        <v>0.01</v>
      </c>
      <c r="Q10" s="167">
        <f>+VLOOKUP($A10, [2]Sheet2!$M$3:$Z$76, 13, FALSE)</f>
        <v>5.7500000000000002E-2</v>
      </c>
      <c r="R10" s="166">
        <v>3</v>
      </c>
      <c r="S10" s="165"/>
      <c r="T10" s="167" t="s">
        <v>739</v>
      </c>
      <c r="U10" s="163">
        <f t="shared" si="21"/>
        <v>4.3694444444444445</v>
      </c>
      <c r="V10" s="170">
        <v>47374</v>
      </c>
      <c r="W10" s="163" t="s">
        <v>740</v>
      </c>
      <c r="X10" s="171">
        <v>100</v>
      </c>
      <c r="Y10" s="172"/>
      <c r="Z10" s="173"/>
      <c r="AA10" s="173"/>
      <c r="AB10" s="174">
        <v>63.670152000000002</v>
      </c>
      <c r="AC10" s="175">
        <v>1.4685834491201863</v>
      </c>
      <c r="AD10" s="175">
        <v>3.6605579206667747</v>
      </c>
      <c r="AE10" s="175"/>
      <c r="AF10" s="176">
        <v>6.1788209175313424</v>
      </c>
      <c r="AG10" s="170">
        <f>+VLOOKUP($A10, [2]Sheet2!$M$3:$X$76, 8, FALSE)</f>
        <v>45688</v>
      </c>
      <c r="AH10" s="163"/>
      <c r="AI10" s="176">
        <f>+VLOOKUP(A10, [2]Sheet2!$M$3:$X$76, 9, FALSE)</f>
        <v>3.8370895989926206</v>
      </c>
      <c r="AJ10" s="177">
        <f>+VLOOKUP($A10, [2]Sheet2!$M$3:$X$76, 10, FALSE)</f>
        <v>62.994301999999998</v>
      </c>
      <c r="AK10" s="175">
        <f t="shared" si="0"/>
        <v>-0.17653167832584593</v>
      </c>
      <c r="AL10" s="175"/>
      <c r="AM10" s="176">
        <f>+VLOOKUP($A10, [2]Sheet2!$M$3:$X$76, 11, FALSE)</f>
        <v>6.2182573433387676</v>
      </c>
      <c r="AN10" s="176">
        <f t="shared" si="1"/>
        <v>-3.9436425807425124E-2</v>
      </c>
      <c r="AO10" s="176">
        <f>+VLOOKUP($A10, [2]Sheet2!$M$3:$X$76, 12, FALSE)</f>
        <v>1.5420309493532627</v>
      </c>
      <c r="AP10" s="176">
        <f t="shared" si="2"/>
        <v>-7.3447500233076335E-2</v>
      </c>
      <c r="AQ10" s="178"/>
      <c r="AR10" s="178"/>
      <c r="AS10" s="166" t="s">
        <v>741</v>
      </c>
      <c r="AT10" s="179" t="s">
        <v>742</v>
      </c>
      <c r="AU10" s="166" t="s">
        <v>742</v>
      </c>
      <c r="AV10" s="180"/>
      <c r="AW10" s="161" t="s">
        <v>743</v>
      </c>
      <c r="AX10" s="181">
        <v>5472500</v>
      </c>
      <c r="AY10" s="181"/>
      <c r="AZ10" s="181">
        <f t="shared" si="22"/>
        <v>5472500</v>
      </c>
      <c r="BA10" s="181"/>
      <c r="BB10" s="174" t="s">
        <v>744</v>
      </c>
      <c r="BC10" s="177" t="s">
        <v>745</v>
      </c>
      <c r="BD10" s="182">
        <v>100</v>
      </c>
      <c r="BE10" s="183">
        <f t="shared" si="3"/>
        <v>0</v>
      </c>
      <c r="BF10" s="183">
        <f t="shared" si="4"/>
        <v>0</v>
      </c>
      <c r="BG10" s="183">
        <f t="shared" si="5"/>
        <v>0</v>
      </c>
      <c r="BH10" s="183">
        <f t="shared" si="6"/>
        <v>0</v>
      </c>
      <c r="BI10" s="183">
        <f t="shared" si="7"/>
        <v>0</v>
      </c>
      <c r="BJ10" s="183">
        <f t="shared" si="8"/>
        <v>0</v>
      </c>
      <c r="BK10" s="183">
        <f t="shared" si="9"/>
        <v>0</v>
      </c>
      <c r="BL10" s="183">
        <f t="shared" si="10"/>
        <v>0</v>
      </c>
      <c r="BM10" s="183">
        <f t="shared" si="11"/>
        <v>0</v>
      </c>
      <c r="BN10" s="183">
        <f t="shared" si="12"/>
        <v>0</v>
      </c>
      <c r="BO10" s="183">
        <f t="shared" si="13"/>
        <v>0</v>
      </c>
      <c r="BP10" s="183">
        <f t="shared" si="14"/>
        <v>0</v>
      </c>
      <c r="BQ10" s="184">
        <f t="shared" si="15"/>
        <v>5472500</v>
      </c>
      <c r="BR10" s="185">
        <v>100</v>
      </c>
      <c r="BS10" s="186">
        <f t="shared" si="16"/>
        <v>5472500</v>
      </c>
      <c r="BT10" s="187"/>
      <c r="BU10" s="181">
        <f t="shared" si="17"/>
        <v>5472500</v>
      </c>
      <c r="BV10" s="187">
        <v>0</v>
      </c>
      <c r="BW10" s="183" t="str">
        <f t="shared" si="18"/>
        <v>30+</v>
      </c>
      <c r="BX10" s="183" t="str">
        <f t="shared" si="19"/>
        <v>&lt;0.25</v>
      </c>
      <c r="BY10" s="188"/>
      <c r="BZ10" s="183" t="str">
        <f t="shared" si="20"/>
        <v>FL 30+</v>
      </c>
    </row>
    <row r="11" spans="1:78">
      <c r="A11" s="158" t="s">
        <v>446</v>
      </c>
      <c r="B11" s="159"/>
      <c r="C11" s="160">
        <v>45777</v>
      </c>
      <c r="D11" s="161" t="s">
        <v>731</v>
      </c>
      <c r="E11" s="158" t="s">
        <v>760</v>
      </c>
      <c r="F11" s="162" t="s">
        <v>761</v>
      </c>
      <c r="G11" s="163" t="s">
        <v>734</v>
      </c>
      <c r="H11" s="164">
        <v>248327.5</v>
      </c>
      <c r="I11" s="165"/>
      <c r="J11" s="163" t="s">
        <v>12</v>
      </c>
      <c r="K11" s="163" t="s">
        <v>735</v>
      </c>
      <c r="L11" s="166" t="s">
        <v>762</v>
      </c>
      <c r="M11" s="166" t="s">
        <v>737</v>
      </c>
      <c r="N11" s="167">
        <f>+VLOOKUP(A11, [2]Sheet2!$M$3:$Z$76, 14, FALSE)</f>
        <v>9.6492000000000022E-2</v>
      </c>
      <c r="O11" s="168" t="s">
        <v>738</v>
      </c>
      <c r="P11" s="167">
        <v>5.0000000000000001E-3</v>
      </c>
      <c r="Q11" s="167">
        <f>+VLOOKUP($A11, [2]Sheet2!$M$3:$Z$76, 13, FALSE)</f>
        <v>5.3499999999999999E-2</v>
      </c>
      <c r="R11" s="166">
        <v>3</v>
      </c>
      <c r="S11" s="165"/>
      <c r="T11" s="167" t="s">
        <v>739</v>
      </c>
      <c r="U11" s="163">
        <f t="shared" si="21"/>
        <v>4.2361111111111107</v>
      </c>
      <c r="V11" s="170">
        <v>47324</v>
      </c>
      <c r="W11" s="163" t="s">
        <v>740</v>
      </c>
      <c r="X11" s="171">
        <v>93</v>
      </c>
      <c r="Y11" s="172"/>
      <c r="Z11" s="173"/>
      <c r="AA11" s="173"/>
      <c r="AB11" s="174">
        <v>241.8</v>
      </c>
      <c r="AC11" s="175">
        <v>2.1552002673945743</v>
      </c>
      <c r="AD11" s="175">
        <v>5.0469960873862698</v>
      </c>
      <c r="AE11" s="175"/>
      <c r="AF11" s="176">
        <v>6.5151515877998341</v>
      </c>
      <c r="AG11" s="170">
        <f>+VLOOKUP($A11, [2]Sheet2!$M$3:$X$76, 8, FALSE)</f>
        <v>45565</v>
      </c>
      <c r="AH11" s="163"/>
      <c r="AI11" s="176">
        <f>+VLOOKUP(A11, [2]Sheet2!$M$3:$X$76, 9, FALSE)</f>
        <v>5.6274247491638789</v>
      </c>
      <c r="AJ11" s="177">
        <f>+VLOOKUP($A11, [2]Sheet2!$M$3:$X$76, 10, FALSE)</f>
        <v>299</v>
      </c>
      <c r="AK11" s="175">
        <f t="shared" si="0"/>
        <v>-0.5804286617776091</v>
      </c>
      <c r="AL11" s="175"/>
      <c r="AM11" s="176">
        <f>+VLOOKUP($A11, [2]Sheet2!$M$3:$X$76, 11, FALSE)</f>
        <v>6.8197324414715714</v>
      </c>
      <c r="AN11" s="176">
        <f t="shared" si="1"/>
        <v>-0.30458085367173737</v>
      </c>
      <c r="AO11" s="176">
        <f>+VLOOKUP($A11, [2]Sheet2!$M$3:$X$76, 12, FALSE)</f>
        <v>1.3906976744186046</v>
      </c>
      <c r="AP11" s="176">
        <f t="shared" si="2"/>
        <v>0.76450259297596967</v>
      </c>
      <c r="AQ11" s="178"/>
      <c r="AR11" s="178"/>
      <c r="AS11" s="166" t="s">
        <v>749</v>
      </c>
      <c r="AT11" s="179" t="s">
        <v>750</v>
      </c>
      <c r="AU11" s="166" t="s">
        <v>742</v>
      </c>
      <c r="AV11" s="180"/>
      <c r="AW11" s="161" t="s">
        <v>743</v>
      </c>
      <c r="AX11" s="181">
        <v>248327.5</v>
      </c>
      <c r="AY11" s="181"/>
      <c r="AZ11" s="181">
        <f t="shared" si="22"/>
        <v>248327.5</v>
      </c>
      <c r="BA11" s="181"/>
      <c r="BB11" s="174" t="s">
        <v>744</v>
      </c>
      <c r="BC11" s="177" t="s">
        <v>744</v>
      </c>
      <c r="BD11" s="190">
        <v>93</v>
      </c>
      <c r="BE11" s="183">
        <f t="shared" si="3"/>
        <v>0</v>
      </c>
      <c r="BF11" s="183">
        <f t="shared" si="4"/>
        <v>0</v>
      </c>
      <c r="BG11" s="183">
        <f t="shared" si="5"/>
        <v>0</v>
      </c>
      <c r="BH11" s="183">
        <f t="shared" si="6"/>
        <v>0</v>
      </c>
      <c r="BI11" s="183">
        <f t="shared" si="7"/>
        <v>0</v>
      </c>
      <c r="BJ11" s="183">
        <f t="shared" si="8"/>
        <v>0</v>
      </c>
      <c r="BK11" s="183">
        <f t="shared" si="9"/>
        <v>0</v>
      </c>
      <c r="BL11" s="183">
        <f t="shared" si="10"/>
        <v>0</v>
      </c>
      <c r="BM11" s="183">
        <f t="shared" si="11"/>
        <v>1</v>
      </c>
      <c r="BN11" s="183">
        <f t="shared" si="12"/>
        <v>1</v>
      </c>
      <c r="BO11" s="183">
        <f t="shared" si="13"/>
        <v>0</v>
      </c>
      <c r="BP11" s="183">
        <f t="shared" si="14"/>
        <v>0</v>
      </c>
      <c r="BQ11" s="184">
        <f t="shared" si="15"/>
        <v>248327.5</v>
      </c>
      <c r="BR11" s="185">
        <v>93</v>
      </c>
      <c r="BS11" s="186">
        <f t="shared" si="16"/>
        <v>230944.57500000001</v>
      </c>
      <c r="BT11" s="187"/>
      <c r="BU11" s="181">
        <f t="shared" si="17"/>
        <v>230944.57500000001</v>
      </c>
      <c r="BV11" s="187">
        <v>0</v>
      </c>
      <c r="BW11" s="183" t="str">
        <f t="shared" si="18"/>
        <v>30+</v>
      </c>
      <c r="BX11" s="183" t="str">
        <f t="shared" si="19"/>
        <v>&lt;0.25</v>
      </c>
      <c r="BY11" s="188"/>
      <c r="BZ11" s="183" t="str">
        <f t="shared" si="20"/>
        <v>FL 30+</v>
      </c>
    </row>
    <row r="12" spans="1:78">
      <c r="A12" s="158" t="s">
        <v>448</v>
      </c>
      <c r="B12" s="159"/>
      <c r="C12" s="160">
        <v>45777</v>
      </c>
      <c r="D12" s="161" t="s">
        <v>731</v>
      </c>
      <c r="E12" s="158" t="s">
        <v>763</v>
      </c>
      <c r="F12" s="162" t="s">
        <v>764</v>
      </c>
      <c r="G12" s="163" t="s">
        <v>734</v>
      </c>
      <c r="H12" s="164">
        <v>12170102.559999999</v>
      </c>
      <c r="I12" s="165"/>
      <c r="J12" s="163" t="s">
        <v>12</v>
      </c>
      <c r="K12" s="163" t="s">
        <v>735</v>
      </c>
      <c r="L12" s="166" t="s">
        <v>765</v>
      </c>
      <c r="M12" s="166" t="s">
        <v>737</v>
      </c>
      <c r="N12" s="167">
        <f>+VLOOKUP(A12, [2]Sheet2!$M$3:$Z$76, 14, FALSE)</f>
        <v>9.8032852215593491E-2</v>
      </c>
      <c r="O12" s="168" t="s">
        <v>738</v>
      </c>
      <c r="P12" s="167">
        <v>0.01</v>
      </c>
      <c r="Q12" s="167">
        <f>+VLOOKUP($A12, [2]Sheet2!$M$3:$Z$76, 13, FALSE)</f>
        <v>5.5E-2</v>
      </c>
      <c r="R12" s="166">
        <v>3</v>
      </c>
      <c r="S12" s="165"/>
      <c r="T12" s="167" t="s">
        <v>739</v>
      </c>
      <c r="U12" s="163">
        <f t="shared" si="21"/>
        <v>4.1416666666666666</v>
      </c>
      <c r="V12" s="170">
        <v>47290</v>
      </c>
      <c r="W12" s="163" t="s">
        <v>740</v>
      </c>
      <c r="X12" s="171">
        <v>100</v>
      </c>
      <c r="Y12" s="172"/>
      <c r="Z12" s="173"/>
      <c r="AA12" s="173"/>
      <c r="AB12" s="174">
        <v>18.21</v>
      </c>
      <c r="AC12" s="175">
        <v>4.25</v>
      </c>
      <c r="AD12" s="175">
        <v>3.7</v>
      </c>
      <c r="AE12" s="175"/>
      <c r="AF12" s="176">
        <v>4.2699999999999996</v>
      </c>
      <c r="AG12" s="170">
        <f>+VLOOKUP($A12, [2]Sheet2!$M$3:$X$76, 8, FALSE)</f>
        <v>45688</v>
      </c>
      <c r="AH12" s="163"/>
      <c r="AI12" s="176">
        <f>+VLOOKUP(A12, [2]Sheet2!$M$3:$X$76, 9, FALSE)</f>
        <v>4.9950226518417011</v>
      </c>
      <c r="AJ12" s="177">
        <f>+VLOOKUP($A12, [2]Sheet2!$M$3:$X$76, 10, FALSE)</f>
        <v>22.6422068913541</v>
      </c>
      <c r="AK12" s="175">
        <f t="shared" si="0"/>
        <v>-1.295022651841701</v>
      </c>
      <c r="AL12" s="175"/>
      <c r="AM12" s="176">
        <f>+VLOOKUP($A12, [2]Sheet2!$M$3:$X$76, 11, FALSE)</f>
        <v>5.5571201430919848</v>
      </c>
      <c r="AN12" s="176">
        <f t="shared" si="1"/>
        <v>-1.2871201430919852</v>
      </c>
      <c r="AO12" s="176">
        <f>+VLOOKUP($A12, [2]Sheet2!$M$3:$X$76, 12, FALSE)</f>
        <v>2.440748824140933</v>
      </c>
      <c r="AP12" s="176">
        <f t="shared" si="2"/>
        <v>1.809251175859067</v>
      </c>
      <c r="AQ12" s="178"/>
      <c r="AR12" s="178"/>
      <c r="AS12" s="166" t="s">
        <v>741</v>
      </c>
      <c r="AT12" s="179" t="s">
        <v>742</v>
      </c>
      <c r="AU12" s="166" t="s">
        <v>742</v>
      </c>
      <c r="AV12" s="180"/>
      <c r="AW12" s="161" t="s">
        <v>743</v>
      </c>
      <c r="AX12" s="181">
        <v>12170102.559999999</v>
      </c>
      <c r="AY12" s="181"/>
      <c r="AZ12" s="181">
        <f t="shared" si="22"/>
        <v>12170102.559999999</v>
      </c>
      <c r="BA12" s="181"/>
      <c r="BB12" s="174" t="s">
        <v>744</v>
      </c>
      <c r="BC12" s="177" t="s">
        <v>744</v>
      </c>
      <c r="BD12" s="182">
        <v>100</v>
      </c>
      <c r="BE12" s="183">
        <f t="shared" si="3"/>
        <v>0</v>
      </c>
      <c r="BF12" s="183">
        <f t="shared" si="4"/>
        <v>0</v>
      </c>
      <c r="BG12" s="183">
        <f t="shared" si="5"/>
        <v>0</v>
      </c>
      <c r="BH12" s="183">
        <f t="shared" si="6"/>
        <v>0</v>
      </c>
      <c r="BI12" s="183">
        <f t="shared" si="7"/>
        <v>0</v>
      </c>
      <c r="BJ12" s="183">
        <f t="shared" si="8"/>
        <v>0</v>
      </c>
      <c r="BK12" s="183">
        <f t="shared" si="9"/>
        <v>0</v>
      </c>
      <c r="BL12" s="183">
        <f t="shared" si="10"/>
        <v>0</v>
      </c>
      <c r="BM12" s="183">
        <f t="shared" si="11"/>
        <v>0</v>
      </c>
      <c r="BN12" s="183">
        <f t="shared" si="12"/>
        <v>0</v>
      </c>
      <c r="BO12" s="183">
        <f t="shared" si="13"/>
        <v>0</v>
      </c>
      <c r="BP12" s="183">
        <f t="shared" si="14"/>
        <v>0</v>
      </c>
      <c r="BQ12" s="184">
        <f t="shared" si="15"/>
        <v>12170102.559999999</v>
      </c>
      <c r="BR12" s="185">
        <v>100</v>
      </c>
      <c r="BS12" s="186">
        <f t="shared" si="16"/>
        <v>12170102.559999997</v>
      </c>
      <c r="BT12" s="187"/>
      <c r="BU12" s="181">
        <f t="shared" si="17"/>
        <v>12170102.559999997</v>
      </c>
      <c r="BV12" s="187">
        <v>0</v>
      </c>
      <c r="BW12" s="183" t="str">
        <f t="shared" si="18"/>
        <v>15-30</v>
      </c>
      <c r="BX12" s="183" t="str">
        <f t="shared" si="19"/>
        <v>&lt;0.25</v>
      </c>
      <c r="BY12" s="188"/>
      <c r="BZ12" s="183" t="str">
        <f t="shared" si="20"/>
        <v>FL 15-30</v>
      </c>
    </row>
    <row r="13" spans="1:78">
      <c r="A13" s="158" t="s">
        <v>451</v>
      </c>
      <c r="B13" s="159"/>
      <c r="C13" s="160">
        <v>45777</v>
      </c>
      <c r="D13" s="161" t="s">
        <v>731</v>
      </c>
      <c r="E13" s="158" t="s">
        <v>766</v>
      </c>
      <c r="F13" s="162" t="s">
        <v>767</v>
      </c>
      <c r="G13" s="163" t="s">
        <v>734</v>
      </c>
      <c r="H13" s="164">
        <v>8653790.4900000002</v>
      </c>
      <c r="I13" s="189"/>
      <c r="J13" s="163" t="s">
        <v>12</v>
      </c>
      <c r="K13" s="163" t="s">
        <v>735</v>
      </c>
      <c r="L13" s="166" t="s">
        <v>748</v>
      </c>
      <c r="M13" s="166" t="s">
        <v>737</v>
      </c>
      <c r="N13" s="167">
        <f>+VLOOKUP(A13, [2]Sheet2!$M$3:$Z$76, 14, FALSE)</f>
        <v>9.6993425792327004E-2</v>
      </c>
      <c r="O13" s="168" t="s">
        <v>738</v>
      </c>
      <c r="P13" s="167">
        <v>0.01</v>
      </c>
      <c r="Q13" s="167">
        <f>+VLOOKUP($A13, [2]Sheet2!$M$3:$Z$76, 13, FALSE)</f>
        <v>5.3999999999999999E-2</v>
      </c>
      <c r="R13" s="166">
        <v>3</v>
      </c>
      <c r="S13" s="165"/>
      <c r="T13" s="167" t="s">
        <v>739</v>
      </c>
      <c r="U13" s="163">
        <f t="shared" si="21"/>
        <v>1.3805555555555555</v>
      </c>
      <c r="V13" s="170">
        <v>46282</v>
      </c>
      <c r="W13" s="163" t="s">
        <v>740</v>
      </c>
      <c r="X13" s="171">
        <v>100</v>
      </c>
      <c r="Y13" s="172"/>
      <c r="Z13" s="173"/>
      <c r="AA13" s="173"/>
      <c r="AB13" s="174">
        <v>38.43</v>
      </c>
      <c r="AC13" s="175">
        <v>3.13</v>
      </c>
      <c r="AD13" s="175">
        <v>4.68</v>
      </c>
      <c r="AE13" s="175"/>
      <c r="AF13" s="176">
        <v>4.68</v>
      </c>
      <c r="AG13" s="170">
        <f>+VLOOKUP($A13, [2]Sheet2!$M$3:$X$76, 8, FALSE)</f>
        <v>45716</v>
      </c>
      <c r="AH13" s="163"/>
      <c r="AI13" s="176">
        <f>+VLOOKUP(A13, [2]Sheet2!$M$3:$X$76, 9, FALSE)</f>
        <v>5.8248222239587415</v>
      </c>
      <c r="AJ13" s="177">
        <f>+VLOOKUP($A13, [2]Sheet2!$M$3:$X$76, 10, FALSE)</f>
        <v>51.188000000000002</v>
      </c>
      <c r="AK13" s="175">
        <f t="shared" si="0"/>
        <v>-1.1448222239587418</v>
      </c>
      <c r="AL13" s="175"/>
      <c r="AM13" s="176">
        <f>+VLOOKUP($A13, [2]Sheet2!$M$3:$X$76, 11, FALSE)</f>
        <v>6.4096272563882168</v>
      </c>
      <c r="AN13" s="176">
        <f t="shared" si="1"/>
        <v>-1.7296272563882171</v>
      </c>
      <c r="AO13" s="176">
        <f>+VLOOKUP($A13, [2]Sheet2!$M$3:$X$76, 12, FALSE)</f>
        <v>1.2666221265434392</v>
      </c>
      <c r="AP13" s="176">
        <f t="shared" si="2"/>
        <v>1.8633778734565607</v>
      </c>
      <c r="AQ13" s="178"/>
      <c r="AR13" s="178"/>
      <c r="AS13" s="166" t="s">
        <v>741</v>
      </c>
      <c r="AT13" s="179" t="s">
        <v>742</v>
      </c>
      <c r="AU13" s="166" t="s">
        <v>742</v>
      </c>
      <c r="AV13" s="180"/>
      <c r="AW13" s="161" t="s">
        <v>743</v>
      </c>
      <c r="AX13" s="181">
        <v>8653790.4900000002</v>
      </c>
      <c r="AY13" s="181"/>
      <c r="AZ13" s="181">
        <f t="shared" si="22"/>
        <v>8653790.4900000002</v>
      </c>
      <c r="BA13" s="181"/>
      <c r="BB13" s="174" t="s">
        <v>744</v>
      </c>
      <c r="BC13" s="177" t="s">
        <v>744</v>
      </c>
      <c r="BD13" s="182">
        <v>100</v>
      </c>
      <c r="BE13" s="183">
        <f t="shared" si="3"/>
        <v>0</v>
      </c>
      <c r="BF13" s="183">
        <f t="shared" si="4"/>
        <v>0</v>
      </c>
      <c r="BG13" s="183">
        <f t="shared" si="5"/>
        <v>0</v>
      </c>
      <c r="BH13" s="183">
        <f t="shared" si="6"/>
        <v>0</v>
      </c>
      <c r="BI13" s="183">
        <f t="shared" si="7"/>
        <v>0</v>
      </c>
      <c r="BJ13" s="183">
        <f t="shared" si="8"/>
        <v>0</v>
      </c>
      <c r="BK13" s="183">
        <f t="shared" si="9"/>
        <v>0</v>
      </c>
      <c r="BL13" s="183">
        <f t="shared" si="10"/>
        <v>0</v>
      </c>
      <c r="BM13" s="183">
        <f t="shared" si="11"/>
        <v>0</v>
      </c>
      <c r="BN13" s="183">
        <f t="shared" si="12"/>
        <v>1</v>
      </c>
      <c r="BO13" s="183">
        <f t="shared" si="13"/>
        <v>0</v>
      </c>
      <c r="BP13" s="183">
        <f t="shared" si="14"/>
        <v>0</v>
      </c>
      <c r="BQ13" s="184">
        <f t="shared" si="15"/>
        <v>8653790.4900000002</v>
      </c>
      <c r="BR13" s="185">
        <v>100</v>
      </c>
      <c r="BS13" s="186">
        <f t="shared" si="16"/>
        <v>8653790.4900000002</v>
      </c>
      <c r="BT13" s="187"/>
      <c r="BU13" s="181">
        <f t="shared" si="17"/>
        <v>8653790.4900000002</v>
      </c>
      <c r="BV13" s="187">
        <v>0</v>
      </c>
      <c r="BW13" s="183" t="str">
        <f t="shared" si="18"/>
        <v>30+</v>
      </c>
      <c r="BX13" s="183" t="str">
        <f t="shared" si="19"/>
        <v>&lt;0.25</v>
      </c>
      <c r="BY13" s="188"/>
      <c r="BZ13" s="183" t="str">
        <f t="shared" si="20"/>
        <v>FL 30+</v>
      </c>
    </row>
    <row r="14" spans="1:78">
      <c r="A14" s="158" t="s">
        <v>453</v>
      </c>
      <c r="B14" s="159"/>
      <c r="C14" s="160">
        <v>45777</v>
      </c>
      <c r="D14" s="161" t="s">
        <v>731</v>
      </c>
      <c r="E14" s="158" t="s">
        <v>768</v>
      </c>
      <c r="F14" s="162" t="s">
        <v>769</v>
      </c>
      <c r="G14" s="163" t="s">
        <v>734</v>
      </c>
      <c r="H14" s="164">
        <v>2628762.46</v>
      </c>
      <c r="I14" s="165"/>
      <c r="J14" s="163" t="s">
        <v>12</v>
      </c>
      <c r="K14" s="163" t="s">
        <v>735</v>
      </c>
      <c r="L14" s="166" t="s">
        <v>770</v>
      </c>
      <c r="M14" s="166" t="s">
        <v>737</v>
      </c>
      <c r="N14" s="167">
        <f>+VLOOKUP(A14, [2]Sheet2!$M$3:$Z$76, 14, FALSE)</f>
        <v>0.10307674737868726</v>
      </c>
      <c r="O14" s="168" t="s">
        <v>738</v>
      </c>
      <c r="P14" s="167">
        <v>0.01</v>
      </c>
      <c r="Q14" s="167">
        <f>+VLOOKUP($A14, [2]Sheet2!$M$3:$Z$76, 13, FALSE)</f>
        <v>0.06</v>
      </c>
      <c r="R14" s="166">
        <v>3</v>
      </c>
      <c r="S14" s="165"/>
      <c r="T14" s="167" t="s">
        <v>739</v>
      </c>
      <c r="U14" s="163">
        <f t="shared" si="21"/>
        <v>0.5</v>
      </c>
      <c r="V14" s="170">
        <v>45961</v>
      </c>
      <c r="W14" s="163" t="s">
        <v>740</v>
      </c>
      <c r="X14" s="171">
        <v>100</v>
      </c>
      <c r="Y14" s="172"/>
      <c r="Z14" s="173"/>
      <c r="AA14" s="173"/>
      <c r="AB14" s="174">
        <v>57.954000000000001</v>
      </c>
      <c r="AC14" s="175">
        <v>1.980744711418549</v>
      </c>
      <c r="AD14" s="175">
        <v>6.9721040533871692</v>
      </c>
      <c r="AE14" s="175"/>
      <c r="AF14" s="176">
        <v>7.0842619717362041</v>
      </c>
      <c r="AG14" s="170">
        <f>+VLOOKUP($A14, [2]Sheet2!$M$3:$X$76, 8, FALSE)</f>
        <v>45657</v>
      </c>
      <c r="AH14" s="163"/>
      <c r="AI14" s="176">
        <f>+VLOOKUP(A14, [2]Sheet2!$M$3:$X$76, 9, FALSE)</f>
        <v>7.6702880694568503</v>
      </c>
      <c r="AJ14" s="177">
        <f>+VLOOKUP($A14, [2]Sheet2!$M$3:$X$76, 10, FALSE)</f>
        <v>103.79010446427387</v>
      </c>
      <c r="AK14" s="175">
        <f t="shared" si="0"/>
        <v>-0.69818401606968106</v>
      </c>
      <c r="AL14" s="175"/>
      <c r="AM14" s="176">
        <f>+VLOOKUP($A14, [2]Sheet2!$M$3:$X$76, 11, FALSE)</f>
        <v>7.7329144636930893</v>
      </c>
      <c r="AN14" s="176">
        <f t="shared" si="1"/>
        <v>-0.64865249195688524</v>
      </c>
      <c r="AO14" s="176">
        <f>+VLOOKUP($A14, [2]Sheet2!$M$3:$X$76, 12, FALSE)</f>
        <v>1.5967892476636316</v>
      </c>
      <c r="AP14" s="176">
        <f t="shared" si="2"/>
        <v>0.3839554637549174</v>
      </c>
      <c r="AQ14" s="178"/>
      <c r="AR14" s="178"/>
      <c r="AS14" s="166" t="s">
        <v>741</v>
      </c>
      <c r="AT14" s="179" t="s">
        <v>742</v>
      </c>
      <c r="AU14" s="166" t="s">
        <v>742</v>
      </c>
      <c r="AV14" s="180"/>
      <c r="AW14" s="161" t="s">
        <v>743</v>
      </c>
      <c r="AX14" s="181">
        <v>2628762.46</v>
      </c>
      <c r="AY14" s="181"/>
      <c r="AZ14" s="181">
        <f t="shared" si="22"/>
        <v>2628762.46</v>
      </c>
      <c r="BA14" s="181"/>
      <c r="BB14" s="174" t="s">
        <v>744</v>
      </c>
      <c r="BC14" s="177" t="s">
        <v>744</v>
      </c>
      <c r="BD14" s="182">
        <v>100</v>
      </c>
      <c r="BE14" s="183">
        <f t="shared" si="3"/>
        <v>0</v>
      </c>
      <c r="BF14" s="183">
        <f t="shared" si="4"/>
        <v>0</v>
      </c>
      <c r="BG14" s="183">
        <f t="shared" si="5"/>
        <v>0</v>
      </c>
      <c r="BH14" s="183">
        <f t="shared" si="6"/>
        <v>0</v>
      </c>
      <c r="BI14" s="183">
        <f t="shared" si="7"/>
        <v>0</v>
      </c>
      <c r="BJ14" s="183">
        <f t="shared" si="8"/>
        <v>0</v>
      </c>
      <c r="BK14" s="183">
        <f t="shared" si="9"/>
        <v>0</v>
      </c>
      <c r="BL14" s="183">
        <f t="shared" si="10"/>
        <v>0</v>
      </c>
      <c r="BM14" s="183">
        <f t="shared" si="11"/>
        <v>0</v>
      </c>
      <c r="BN14" s="183">
        <f t="shared" si="12"/>
        <v>1</v>
      </c>
      <c r="BO14" s="183">
        <f t="shared" si="13"/>
        <v>0</v>
      </c>
      <c r="BP14" s="183">
        <f t="shared" si="14"/>
        <v>0</v>
      </c>
      <c r="BQ14" s="184">
        <f t="shared" si="15"/>
        <v>2628762.46</v>
      </c>
      <c r="BR14" s="185">
        <v>100</v>
      </c>
      <c r="BS14" s="186">
        <f t="shared" si="16"/>
        <v>2628762.46</v>
      </c>
      <c r="BT14" s="187"/>
      <c r="BU14" s="181">
        <f t="shared" si="17"/>
        <v>2628762.46</v>
      </c>
      <c r="BV14" s="187">
        <v>0</v>
      </c>
      <c r="BW14" s="183" t="str">
        <f t="shared" si="18"/>
        <v>30+</v>
      </c>
      <c r="BX14" s="183" t="str">
        <f t="shared" si="19"/>
        <v>&lt;0.25</v>
      </c>
      <c r="BY14" s="188"/>
      <c r="BZ14" s="183" t="str">
        <f t="shared" si="20"/>
        <v>FL 30+</v>
      </c>
    </row>
    <row r="15" spans="1:78">
      <c r="A15" s="158" t="s">
        <v>454</v>
      </c>
      <c r="B15" s="159"/>
      <c r="C15" s="160">
        <v>45777</v>
      </c>
      <c r="D15" s="161" t="s">
        <v>731</v>
      </c>
      <c r="E15" s="158" t="s">
        <v>771</v>
      </c>
      <c r="F15" s="162" t="s">
        <v>772</v>
      </c>
      <c r="G15" s="163" t="s">
        <v>734</v>
      </c>
      <c r="H15" s="164">
        <v>1492500</v>
      </c>
      <c r="I15" s="165"/>
      <c r="J15" s="163" t="s">
        <v>12</v>
      </c>
      <c r="K15" s="163" t="s">
        <v>735</v>
      </c>
      <c r="L15" s="166" t="s">
        <v>759</v>
      </c>
      <c r="M15" s="166" t="s">
        <v>737</v>
      </c>
      <c r="N15" s="167">
        <f>+VLOOKUP(A15, [2]Sheet2!$M$3:$Z$76, 14, FALSE)</f>
        <v>0.10299200000000003</v>
      </c>
      <c r="O15" s="168" t="s">
        <v>738</v>
      </c>
      <c r="P15" s="167">
        <v>0.01</v>
      </c>
      <c r="Q15" s="167">
        <f>+VLOOKUP($A15, [2]Sheet2!$M$3:$Z$76, 13, FALSE)</f>
        <v>0.06</v>
      </c>
      <c r="R15" s="166">
        <v>3</v>
      </c>
      <c r="S15" s="165"/>
      <c r="T15" s="167" t="s">
        <v>739</v>
      </c>
      <c r="U15" s="163">
        <f t="shared" si="21"/>
        <v>4.25</v>
      </c>
      <c r="V15" s="170">
        <v>47330</v>
      </c>
      <c r="W15" s="163" t="s">
        <v>740</v>
      </c>
      <c r="X15" s="171">
        <v>100</v>
      </c>
      <c r="Y15" s="172"/>
      <c r="Z15" s="173"/>
      <c r="AA15" s="173"/>
      <c r="AB15" s="174">
        <v>19.728528000000001</v>
      </c>
      <c r="AC15" s="175">
        <v>2.1230411923320749</v>
      </c>
      <c r="AD15" s="175">
        <v>3.9042798834256662</v>
      </c>
      <c r="AE15" s="175"/>
      <c r="AF15" s="176">
        <v>4.243889610010438</v>
      </c>
      <c r="AG15" s="170">
        <f>+VLOOKUP($A15, [2]Sheet2!$M$3:$X$76, 8, FALSE)</f>
        <v>45657</v>
      </c>
      <c r="AH15" s="163"/>
      <c r="AI15" s="176">
        <f>+VLOOKUP(A15, [2]Sheet2!$M$3:$X$76, 9, FALSE)</f>
        <v>4.1226115897217221</v>
      </c>
      <c r="AJ15" s="177">
        <f>+VLOOKUP($A15, [2]Sheet2!$M$3:$X$76, 10, FALSE)</f>
        <v>19.426833999999999</v>
      </c>
      <c r="AK15" s="175">
        <f t="shared" si="0"/>
        <v>-0.21833170629605592</v>
      </c>
      <c r="AL15" s="175"/>
      <c r="AM15" s="176">
        <f>+VLOOKUP($A15, [2]Sheet2!$M$3:$X$76, 11, FALSE)</f>
        <v>4.4674953726376625</v>
      </c>
      <c r="AN15" s="176">
        <f t="shared" si="1"/>
        <v>-0.22360576262722454</v>
      </c>
      <c r="AO15" s="176">
        <f>+VLOOKUP($A15, [2]Sheet2!$M$3:$X$76, 12, FALSE)</f>
        <v>2.1580575427682733</v>
      </c>
      <c r="AP15" s="176">
        <f t="shared" si="2"/>
        <v>-3.501635043619844E-2</v>
      </c>
      <c r="AQ15" s="178"/>
      <c r="AR15" s="178"/>
      <c r="AS15" s="166" t="s">
        <v>741</v>
      </c>
      <c r="AT15" s="179" t="s">
        <v>742</v>
      </c>
      <c r="AU15" s="166" t="s">
        <v>742</v>
      </c>
      <c r="AV15" s="180"/>
      <c r="AW15" s="161" t="s">
        <v>743</v>
      </c>
      <c r="AX15" s="181">
        <v>1492500</v>
      </c>
      <c r="AY15" s="181"/>
      <c r="AZ15" s="181">
        <f t="shared" si="22"/>
        <v>1492500</v>
      </c>
      <c r="BA15" s="181"/>
      <c r="BB15" s="174" t="s">
        <v>744</v>
      </c>
      <c r="BC15" s="177" t="s">
        <v>745</v>
      </c>
      <c r="BD15" s="182">
        <v>100</v>
      </c>
      <c r="BE15" s="183">
        <f t="shared" si="3"/>
        <v>0</v>
      </c>
      <c r="BF15" s="183">
        <f t="shared" si="4"/>
        <v>0</v>
      </c>
      <c r="BG15" s="183">
        <f t="shared" si="5"/>
        <v>0</v>
      </c>
      <c r="BH15" s="183">
        <f t="shared" si="6"/>
        <v>0</v>
      </c>
      <c r="BI15" s="183">
        <f t="shared" si="7"/>
        <v>0</v>
      </c>
      <c r="BJ15" s="183">
        <f t="shared" si="8"/>
        <v>0</v>
      </c>
      <c r="BK15" s="183">
        <f t="shared" si="9"/>
        <v>0</v>
      </c>
      <c r="BL15" s="183">
        <f t="shared" si="10"/>
        <v>0</v>
      </c>
      <c r="BM15" s="183">
        <f t="shared" si="11"/>
        <v>0</v>
      </c>
      <c r="BN15" s="183">
        <f t="shared" si="12"/>
        <v>0</v>
      </c>
      <c r="BO15" s="183">
        <f t="shared" si="13"/>
        <v>0</v>
      </c>
      <c r="BP15" s="183">
        <f t="shared" si="14"/>
        <v>0</v>
      </c>
      <c r="BQ15" s="184">
        <f t="shared" si="15"/>
        <v>1492500</v>
      </c>
      <c r="BR15" s="185">
        <v>100</v>
      </c>
      <c r="BS15" s="186">
        <f t="shared" si="16"/>
        <v>1492500</v>
      </c>
      <c r="BT15" s="187"/>
      <c r="BU15" s="181">
        <f t="shared" si="17"/>
        <v>1492500</v>
      </c>
      <c r="BV15" s="187">
        <v>0</v>
      </c>
      <c r="BW15" s="183" t="str">
        <f t="shared" si="18"/>
        <v>15-30</v>
      </c>
      <c r="BX15" s="183" t="str">
        <f t="shared" si="19"/>
        <v>&lt;0.25</v>
      </c>
      <c r="BY15" s="188"/>
      <c r="BZ15" s="183" t="str">
        <f t="shared" si="20"/>
        <v>FL 15-30</v>
      </c>
    </row>
    <row r="16" spans="1:78">
      <c r="A16" s="158" t="s">
        <v>456</v>
      </c>
      <c r="B16" s="159"/>
      <c r="C16" s="160">
        <v>45777</v>
      </c>
      <c r="D16" s="161" t="s">
        <v>731</v>
      </c>
      <c r="E16" s="158" t="s">
        <v>773</v>
      </c>
      <c r="F16" s="162" t="s">
        <v>774</v>
      </c>
      <c r="G16" s="163" t="s">
        <v>734</v>
      </c>
      <c r="H16" s="164">
        <v>6298498.8200000003</v>
      </c>
      <c r="I16" s="165"/>
      <c r="J16" s="163" t="s">
        <v>12</v>
      </c>
      <c r="K16" s="163" t="s">
        <v>735</v>
      </c>
      <c r="L16" s="166" t="s">
        <v>775</v>
      </c>
      <c r="M16" s="166" t="s">
        <v>737</v>
      </c>
      <c r="N16" s="167">
        <f>+VLOOKUP(A16, [2]Sheet2!$M$3:$Z$76, 14, FALSE)</f>
        <v>0.10503471539906084</v>
      </c>
      <c r="O16" s="168" t="s">
        <v>738</v>
      </c>
      <c r="P16" s="167">
        <v>0.01</v>
      </c>
      <c r="Q16" s="167">
        <f>+VLOOKUP($A16, [2]Sheet2!$M$3:$Z$76, 13, FALSE)</f>
        <v>6.1899999999999997E-2</v>
      </c>
      <c r="R16" s="166">
        <v>3</v>
      </c>
      <c r="S16" s="165"/>
      <c r="T16" s="167" t="s">
        <v>739</v>
      </c>
      <c r="U16" s="163">
        <f t="shared" si="21"/>
        <v>1.3055555555555556</v>
      </c>
      <c r="V16" s="170">
        <v>46254</v>
      </c>
      <c r="W16" s="163" t="s">
        <v>740</v>
      </c>
      <c r="X16" s="171">
        <v>100</v>
      </c>
      <c r="Y16" s="172"/>
      <c r="Z16" s="173"/>
      <c r="AA16" s="173"/>
      <c r="AB16" s="174">
        <v>12.232999999999999</v>
      </c>
      <c r="AC16" s="175">
        <v>1.3879915005982586</v>
      </c>
      <c r="AD16" s="175">
        <v>5.2933867407831299</v>
      </c>
      <c r="AE16" s="175"/>
      <c r="AF16" s="176">
        <v>5.2933867407831299</v>
      </c>
      <c r="AG16" s="170">
        <f>+VLOOKUP($A16, [2]Sheet2!$M$3:$X$76, 8, FALSE)</f>
        <v>45716</v>
      </c>
      <c r="AH16" s="163"/>
      <c r="AI16" s="176">
        <f>+VLOOKUP(A16, [2]Sheet2!$M$3:$X$76, 9, FALSE)</f>
        <v>5.4679368809803588</v>
      </c>
      <c r="AJ16" s="177">
        <f>+VLOOKUP($A16, [2]Sheet2!$M$3:$X$76, 10, FALSE)</f>
        <v>11.914</v>
      </c>
      <c r="AK16" s="175">
        <f t="shared" si="0"/>
        <v>-0.17455014019722892</v>
      </c>
      <c r="AL16" s="175"/>
      <c r="AM16" s="176">
        <f>+VLOOKUP($A16, [2]Sheet2!$M$3:$X$76, 11, FALSE)</f>
        <v>5.4679368809803588</v>
      </c>
      <c r="AN16" s="176">
        <f t="shared" si="1"/>
        <v>-0.17455014019722892</v>
      </c>
      <c r="AO16" s="176">
        <f>+VLOOKUP($A16, [2]Sheet2!$M$3:$X$76, 12, FALSE)</f>
        <v>1.563517060367454</v>
      </c>
      <c r="AP16" s="176">
        <f t="shared" si="2"/>
        <v>-0.17552555976919537</v>
      </c>
      <c r="AQ16" s="178"/>
      <c r="AR16" s="178"/>
      <c r="AS16" s="166" t="s">
        <v>741</v>
      </c>
      <c r="AT16" s="179" t="s">
        <v>742</v>
      </c>
      <c r="AU16" s="166" t="s">
        <v>742</v>
      </c>
      <c r="AV16" s="180"/>
      <c r="AW16" s="161" t="s">
        <v>743</v>
      </c>
      <c r="AX16" s="181">
        <v>6298498.8200000003</v>
      </c>
      <c r="AY16" s="181"/>
      <c r="AZ16" s="181">
        <f t="shared" si="22"/>
        <v>6298498.8200000003</v>
      </c>
      <c r="BA16" s="181"/>
      <c r="BB16" s="174" t="s">
        <v>744</v>
      </c>
      <c r="BC16" s="177" t="s">
        <v>745</v>
      </c>
      <c r="BD16" s="182">
        <v>100</v>
      </c>
      <c r="BE16" s="183">
        <f t="shared" si="3"/>
        <v>0</v>
      </c>
      <c r="BF16" s="183">
        <f t="shared" si="4"/>
        <v>0</v>
      </c>
      <c r="BG16" s="183">
        <f t="shared" si="5"/>
        <v>0</v>
      </c>
      <c r="BH16" s="183">
        <f t="shared" si="6"/>
        <v>0</v>
      </c>
      <c r="BI16" s="183">
        <f t="shared" si="7"/>
        <v>0</v>
      </c>
      <c r="BJ16" s="183">
        <f t="shared" si="8"/>
        <v>1</v>
      </c>
      <c r="BK16" s="183">
        <f t="shared" si="9"/>
        <v>0</v>
      </c>
      <c r="BL16" s="183">
        <f t="shared" si="10"/>
        <v>0</v>
      </c>
      <c r="BM16" s="183">
        <f t="shared" si="11"/>
        <v>0</v>
      </c>
      <c r="BN16" s="183">
        <f t="shared" si="12"/>
        <v>0</v>
      </c>
      <c r="BO16" s="183">
        <f t="shared" si="13"/>
        <v>0</v>
      </c>
      <c r="BP16" s="183">
        <f t="shared" si="14"/>
        <v>0</v>
      </c>
      <c r="BQ16" s="184">
        <f t="shared" si="15"/>
        <v>6298498.8200000003</v>
      </c>
      <c r="BR16" s="185">
        <v>100</v>
      </c>
      <c r="BS16" s="186">
        <f t="shared" si="16"/>
        <v>6298498.8200000003</v>
      </c>
      <c r="BT16" s="187"/>
      <c r="BU16" s="181">
        <f t="shared" si="17"/>
        <v>6298498.8200000003</v>
      </c>
      <c r="BV16" s="187">
        <v>0</v>
      </c>
      <c r="BW16" s="183" t="str">
        <f t="shared" si="18"/>
        <v>15-</v>
      </c>
      <c r="BX16" s="183" t="str">
        <f t="shared" si="19"/>
        <v>&lt;0.25</v>
      </c>
      <c r="BY16" s="188"/>
      <c r="BZ16" s="183" t="str">
        <f t="shared" si="20"/>
        <v>FL 15-</v>
      </c>
    </row>
    <row r="17" spans="1:78">
      <c r="A17" s="158" t="s">
        <v>458</v>
      </c>
      <c r="B17" s="159"/>
      <c r="C17" s="160">
        <v>45777</v>
      </c>
      <c r="D17" s="161" t="s">
        <v>731</v>
      </c>
      <c r="E17" s="158" t="s">
        <v>776</v>
      </c>
      <c r="F17" s="162" t="s">
        <v>777</v>
      </c>
      <c r="G17" s="163" t="s">
        <v>734</v>
      </c>
      <c r="H17" s="164">
        <v>6900150.7599999998</v>
      </c>
      <c r="I17" s="165"/>
      <c r="J17" s="163" t="s">
        <v>12</v>
      </c>
      <c r="K17" s="163" t="s">
        <v>735</v>
      </c>
      <c r="L17" s="166" t="s">
        <v>775</v>
      </c>
      <c r="M17" s="166" t="s">
        <v>737</v>
      </c>
      <c r="N17" s="167">
        <f>+VLOOKUP(A17, [2]Sheet2!$M$3:$Z$76, 14, FALSE)</f>
        <v>9.8248999999999989E-2</v>
      </c>
      <c r="O17" s="168" t="s">
        <v>738</v>
      </c>
      <c r="P17" s="167">
        <v>0.01</v>
      </c>
      <c r="Q17" s="167">
        <f>+VLOOKUP($A17, [2]Sheet2!$M$3:$Z$76, 13, FALSE)</f>
        <v>5.5E-2</v>
      </c>
      <c r="R17" s="166">
        <v>3</v>
      </c>
      <c r="S17" s="165"/>
      <c r="T17" s="167" t="s">
        <v>739</v>
      </c>
      <c r="U17" s="163">
        <f t="shared" si="21"/>
        <v>4.7694444444444448</v>
      </c>
      <c r="V17" s="170">
        <v>47521</v>
      </c>
      <c r="W17" s="163" t="s">
        <v>740</v>
      </c>
      <c r="X17" s="171">
        <v>100</v>
      </c>
      <c r="Y17" s="172"/>
      <c r="Z17" s="173"/>
      <c r="AA17" s="173"/>
      <c r="AB17" s="174">
        <v>19.457816168527103</v>
      </c>
      <c r="AC17" s="175">
        <v>4.7515886745321634</v>
      </c>
      <c r="AD17" s="175">
        <v>2.7673367384731251</v>
      </c>
      <c r="AE17" s="175"/>
      <c r="AF17" s="176">
        <v>2.7673367384731251</v>
      </c>
      <c r="AG17" s="170">
        <f>+VLOOKUP($A17, [2]Sheet2!$M$3:$X$76, 8, FALSE)</f>
        <v>45657</v>
      </c>
      <c r="AH17" s="163"/>
      <c r="AI17" s="176">
        <f>+VLOOKUP(A17, [2]Sheet2!$M$3:$X$76, 9, FALSE)</f>
        <v>4.3739976377833463</v>
      </c>
      <c r="AJ17" s="177">
        <f>+VLOOKUP($A17, [2]Sheet2!$M$3:$X$76, 10, FALSE)</f>
        <v>19.147375599051099</v>
      </c>
      <c r="AK17" s="175">
        <f t="shared" si="0"/>
        <v>-1.6066608993102212</v>
      </c>
      <c r="AL17" s="175"/>
      <c r="AM17" s="176">
        <f>+VLOOKUP($A17, [2]Sheet2!$M$3:$X$76, 11, FALSE)</f>
        <v>4.3739976377833463</v>
      </c>
      <c r="AN17" s="176">
        <f t="shared" si="1"/>
        <v>-1.6066608993102212</v>
      </c>
      <c r="AO17" s="176">
        <f>+VLOOKUP($A17, [2]Sheet2!$M$3:$X$76, 12, FALSE)</f>
        <v>2.1762896124820288</v>
      </c>
      <c r="AP17" s="176">
        <f t="shared" si="2"/>
        <v>2.5752990620501346</v>
      </c>
      <c r="AQ17" s="178"/>
      <c r="AR17" s="178"/>
      <c r="AS17" s="166" t="s">
        <v>741</v>
      </c>
      <c r="AT17" s="179" t="s">
        <v>742</v>
      </c>
      <c r="AU17" s="166" t="s">
        <v>742</v>
      </c>
      <c r="AV17" s="180"/>
      <c r="AW17" s="161" t="s">
        <v>743</v>
      </c>
      <c r="AX17" s="181">
        <v>6900150.7599999998</v>
      </c>
      <c r="AY17" s="181"/>
      <c r="AZ17" s="181">
        <f t="shared" si="22"/>
        <v>6900150.7599999998</v>
      </c>
      <c r="BA17" s="181"/>
      <c r="BB17" s="174" t="s">
        <v>744</v>
      </c>
      <c r="BC17" s="177" t="s">
        <v>744</v>
      </c>
      <c r="BD17" s="182">
        <v>100</v>
      </c>
      <c r="BE17" s="183">
        <f t="shared" si="3"/>
        <v>0</v>
      </c>
      <c r="BF17" s="183">
        <f t="shared" si="4"/>
        <v>0</v>
      </c>
      <c r="BG17" s="183">
        <f t="shared" si="5"/>
        <v>0</v>
      </c>
      <c r="BH17" s="183">
        <f t="shared" si="6"/>
        <v>0</v>
      </c>
      <c r="BI17" s="183">
        <f t="shared" si="7"/>
        <v>0</v>
      </c>
      <c r="BJ17" s="183">
        <f t="shared" si="8"/>
        <v>0</v>
      </c>
      <c r="BK17" s="183">
        <f t="shared" si="9"/>
        <v>0</v>
      </c>
      <c r="BL17" s="183">
        <f t="shared" si="10"/>
        <v>0</v>
      </c>
      <c r="BM17" s="183">
        <f t="shared" si="11"/>
        <v>0</v>
      </c>
      <c r="BN17" s="183">
        <f t="shared" si="12"/>
        <v>0</v>
      </c>
      <c r="BO17" s="183">
        <f t="shared" si="13"/>
        <v>0</v>
      </c>
      <c r="BP17" s="183">
        <f t="shared" si="14"/>
        <v>0</v>
      </c>
      <c r="BQ17" s="184">
        <f t="shared" si="15"/>
        <v>6900150.7599999998</v>
      </c>
      <c r="BR17" s="185">
        <v>100</v>
      </c>
      <c r="BS17" s="186">
        <f t="shared" si="16"/>
        <v>6900150.7599999998</v>
      </c>
      <c r="BT17" s="187"/>
      <c r="BU17" s="181">
        <f t="shared" si="17"/>
        <v>6900150.7599999998</v>
      </c>
      <c r="BV17" s="187">
        <v>0</v>
      </c>
      <c r="BW17" s="183" t="str">
        <f t="shared" si="18"/>
        <v>15-30</v>
      </c>
      <c r="BX17" s="183" t="str">
        <f t="shared" si="19"/>
        <v>&lt;0.25</v>
      </c>
      <c r="BY17" s="188"/>
      <c r="BZ17" s="183" t="str">
        <f t="shared" si="20"/>
        <v>FL 15-30</v>
      </c>
    </row>
    <row r="18" spans="1:78">
      <c r="A18" s="158" t="s">
        <v>459</v>
      </c>
      <c r="B18" s="159"/>
      <c r="C18" s="160">
        <v>45777</v>
      </c>
      <c r="D18" s="161" t="s">
        <v>731</v>
      </c>
      <c r="E18" s="158" t="s">
        <v>778</v>
      </c>
      <c r="F18" s="162" t="s">
        <v>779</v>
      </c>
      <c r="G18" s="163" t="s">
        <v>734</v>
      </c>
      <c r="H18" s="164">
        <v>1116738.2</v>
      </c>
      <c r="I18" s="165"/>
      <c r="J18" s="163" t="s">
        <v>12</v>
      </c>
      <c r="K18" s="163" t="s">
        <v>735</v>
      </c>
      <c r="L18" s="166" t="s">
        <v>765</v>
      </c>
      <c r="M18" s="166" t="s">
        <v>737</v>
      </c>
      <c r="N18" s="167">
        <f>+VLOOKUP(A18, [2]Sheet2!$M$3:$Z$76, 14, FALSE)</f>
        <v>9.549199999999998E-2</v>
      </c>
      <c r="O18" s="168" t="s">
        <v>738</v>
      </c>
      <c r="P18" s="167">
        <v>0.01</v>
      </c>
      <c r="Q18" s="167">
        <f>+VLOOKUP($A18, [2]Sheet2!$M$3:$Z$76, 13, FALSE)</f>
        <v>5.2499999999999998E-2</v>
      </c>
      <c r="R18" s="166">
        <v>3</v>
      </c>
      <c r="S18" s="165"/>
      <c r="T18" s="167" t="s">
        <v>739</v>
      </c>
      <c r="U18" s="163">
        <f t="shared" si="21"/>
        <v>4.583333333333333</v>
      </c>
      <c r="V18" s="170">
        <v>47452</v>
      </c>
      <c r="W18" s="163" t="s">
        <v>740</v>
      </c>
      <c r="X18" s="171">
        <v>100</v>
      </c>
      <c r="Y18" s="172"/>
      <c r="Z18" s="173"/>
      <c r="AA18" s="173"/>
      <c r="AB18" s="174">
        <v>10.781094416153847</v>
      </c>
      <c r="AC18" s="175">
        <v>2.3900626088839778</v>
      </c>
      <c r="AD18" s="175">
        <v>1.4414121053161031</v>
      </c>
      <c r="AE18" s="175"/>
      <c r="AF18" s="176">
        <v>1.4414121053161031</v>
      </c>
      <c r="AG18" s="170">
        <f>+VLOOKUP($A18, [2]Sheet2!$M$3:$X$76, 8, FALSE)</f>
        <v>45688</v>
      </c>
      <c r="AH18" s="163"/>
      <c r="AI18" s="176">
        <f>+VLOOKUP(A18, [2]Sheet2!$M$3:$X$76, 9, FALSE)</f>
        <v>3.3981829412631543</v>
      </c>
      <c r="AJ18" s="177">
        <f>+VLOOKUP($A18, [2]Sheet2!$M$3:$X$76, 10, FALSE)</f>
        <v>18.586850999999999</v>
      </c>
      <c r="AK18" s="175">
        <f t="shared" si="0"/>
        <v>-1.9567708359470513</v>
      </c>
      <c r="AL18" s="175"/>
      <c r="AM18" s="176">
        <f>+VLOOKUP($A18, [2]Sheet2!$M$3:$X$76, 11, FALSE)</f>
        <v>3.3981829412631543</v>
      </c>
      <c r="AN18" s="176">
        <f t="shared" si="1"/>
        <v>-1.9567708359470513</v>
      </c>
      <c r="AO18" s="176">
        <f>+VLOOKUP($A18, [2]Sheet2!$M$3:$X$76, 12, FALSE)</f>
        <v>2.1388707518846308</v>
      </c>
      <c r="AP18" s="176">
        <f t="shared" si="2"/>
        <v>0.25119185699934699</v>
      </c>
      <c r="AQ18" s="178"/>
      <c r="AR18" s="178"/>
      <c r="AS18" s="166" t="s">
        <v>741</v>
      </c>
      <c r="AT18" s="179" t="s">
        <v>742</v>
      </c>
      <c r="AU18" s="166" t="s">
        <v>742</v>
      </c>
      <c r="AV18" s="180"/>
      <c r="AW18" s="161" t="s">
        <v>743</v>
      </c>
      <c r="AX18" s="181">
        <v>1116738.2</v>
      </c>
      <c r="AY18" s="181"/>
      <c r="AZ18" s="181">
        <f t="shared" si="22"/>
        <v>1116738.2</v>
      </c>
      <c r="BA18" s="181"/>
      <c r="BB18" s="174" t="s">
        <v>744</v>
      </c>
      <c r="BC18" s="177" t="s">
        <v>744</v>
      </c>
      <c r="BD18" s="182">
        <v>100</v>
      </c>
      <c r="BE18" s="183">
        <f t="shared" si="3"/>
        <v>0</v>
      </c>
      <c r="BF18" s="183">
        <f t="shared" si="4"/>
        <v>0</v>
      </c>
      <c r="BG18" s="183">
        <f t="shared" si="5"/>
        <v>0</v>
      </c>
      <c r="BH18" s="183">
        <f t="shared" si="6"/>
        <v>0</v>
      </c>
      <c r="BI18" s="183">
        <f t="shared" si="7"/>
        <v>0</v>
      </c>
      <c r="BJ18" s="183">
        <f t="shared" si="8"/>
        <v>0</v>
      </c>
      <c r="BK18" s="183">
        <f t="shared" si="9"/>
        <v>0</v>
      </c>
      <c r="BL18" s="183">
        <f t="shared" si="10"/>
        <v>0</v>
      </c>
      <c r="BM18" s="183">
        <f t="shared" si="11"/>
        <v>0</v>
      </c>
      <c r="BN18" s="183">
        <f t="shared" si="12"/>
        <v>0</v>
      </c>
      <c r="BO18" s="183">
        <f t="shared" si="13"/>
        <v>0</v>
      </c>
      <c r="BP18" s="183">
        <f t="shared" si="14"/>
        <v>0</v>
      </c>
      <c r="BQ18" s="184">
        <f t="shared" si="15"/>
        <v>1116738.2</v>
      </c>
      <c r="BR18" s="185">
        <v>100</v>
      </c>
      <c r="BS18" s="186">
        <f t="shared" si="16"/>
        <v>1116738.2</v>
      </c>
      <c r="BT18" s="187"/>
      <c r="BU18" s="181">
        <f t="shared" si="17"/>
        <v>1116738.2</v>
      </c>
      <c r="BV18" s="187">
        <v>0</v>
      </c>
      <c r="BW18" s="183" t="str">
        <f t="shared" si="18"/>
        <v>15-30</v>
      </c>
      <c r="BX18" s="183" t="str">
        <f t="shared" si="19"/>
        <v>&lt;0.25</v>
      </c>
      <c r="BY18" s="188"/>
      <c r="BZ18" s="183" t="str">
        <f t="shared" si="20"/>
        <v>FL 15-30</v>
      </c>
    </row>
    <row r="19" spans="1:78">
      <c r="A19" s="158" t="s">
        <v>461</v>
      </c>
      <c r="B19" s="159"/>
      <c r="C19" s="160">
        <v>45777</v>
      </c>
      <c r="D19" s="161" t="s">
        <v>731</v>
      </c>
      <c r="E19" s="158" t="s">
        <v>780</v>
      </c>
      <c r="F19" s="162" t="s">
        <v>781</v>
      </c>
      <c r="G19" s="163" t="s">
        <v>734</v>
      </c>
      <c r="H19" s="164">
        <v>5205875.05</v>
      </c>
      <c r="I19" s="165"/>
      <c r="J19" s="163" t="s">
        <v>12</v>
      </c>
      <c r="K19" s="163" t="s">
        <v>735</v>
      </c>
      <c r="L19" s="166" t="s">
        <v>748</v>
      </c>
      <c r="M19" s="166" t="s">
        <v>737</v>
      </c>
      <c r="N19" s="167">
        <f>+VLOOKUP(A19, [2]Sheet2!$M$3:$Z$76, 14, FALSE)</f>
        <v>0.10049200000000001</v>
      </c>
      <c r="O19" s="168" t="s">
        <v>738</v>
      </c>
      <c r="P19" s="167">
        <v>0.01</v>
      </c>
      <c r="Q19" s="167">
        <f>+VLOOKUP($A19, [2]Sheet2!$M$3:$Z$76, 13, FALSE)</f>
        <v>5.7500000000000002E-2</v>
      </c>
      <c r="R19" s="166">
        <v>3</v>
      </c>
      <c r="S19" s="165"/>
      <c r="T19" s="167" t="s">
        <v>739</v>
      </c>
      <c r="U19" s="163">
        <f t="shared" si="21"/>
        <v>3.1222222222222222</v>
      </c>
      <c r="V19" s="170">
        <v>46918</v>
      </c>
      <c r="W19" s="163" t="s">
        <v>740</v>
      </c>
      <c r="X19" s="171">
        <v>100</v>
      </c>
      <c r="Y19" s="172"/>
      <c r="Z19" s="173"/>
      <c r="AA19" s="173"/>
      <c r="AB19" s="174">
        <v>24.97</v>
      </c>
      <c r="AC19" s="175">
        <v>3.95</v>
      </c>
      <c r="AD19" s="175">
        <v>2.86</v>
      </c>
      <c r="AE19" s="175"/>
      <c r="AF19" s="176">
        <v>2.86</v>
      </c>
      <c r="AG19" s="170">
        <f>+VLOOKUP($A19, [2]Sheet2!$M$3:$X$76, 8, FALSE)</f>
        <v>45716</v>
      </c>
      <c r="AH19" s="163"/>
      <c r="AI19" s="176">
        <f>+VLOOKUP(A19, [2]Sheet2!$M$3:$X$76, 9, FALSE)</f>
        <v>3.2680580859332187</v>
      </c>
      <c r="AJ19" s="177">
        <f>+VLOOKUP($A19, [2]Sheet2!$M$3:$X$76, 10, FALSE)</f>
        <v>19.711492299253582</v>
      </c>
      <c r="AK19" s="175">
        <f t="shared" si="0"/>
        <v>-0.40805808593321879</v>
      </c>
      <c r="AL19" s="175"/>
      <c r="AM19" s="176">
        <f>+VLOOKUP($A19, [2]Sheet2!$M$3:$X$76, 11, FALSE)</f>
        <v>3.2680580859332187</v>
      </c>
      <c r="AN19" s="176">
        <f t="shared" si="1"/>
        <v>-0.40805808593321879</v>
      </c>
      <c r="AO19" s="176">
        <f>+VLOOKUP($A19, [2]Sheet2!$M$3:$X$76, 12, FALSE)</f>
        <v>2.5267405100399336</v>
      </c>
      <c r="AP19" s="176">
        <f t="shared" si="2"/>
        <v>1.4232594899600666</v>
      </c>
      <c r="AQ19" s="178"/>
      <c r="AR19" s="178"/>
      <c r="AS19" s="166" t="s">
        <v>741</v>
      </c>
      <c r="AT19" s="179" t="s">
        <v>742</v>
      </c>
      <c r="AU19" s="166" t="s">
        <v>742</v>
      </c>
      <c r="AV19" s="180"/>
      <c r="AW19" s="161" t="s">
        <v>743</v>
      </c>
      <c r="AX19" s="181">
        <v>5205875.05</v>
      </c>
      <c r="AY19" s="181"/>
      <c r="AZ19" s="181">
        <f t="shared" si="22"/>
        <v>5205875.05</v>
      </c>
      <c r="BA19" s="181"/>
      <c r="BB19" s="174" t="s">
        <v>744</v>
      </c>
      <c r="BC19" s="177" t="s">
        <v>745</v>
      </c>
      <c r="BD19" s="182">
        <v>100</v>
      </c>
      <c r="BE19" s="183">
        <f t="shared" si="3"/>
        <v>0</v>
      </c>
      <c r="BF19" s="183">
        <f t="shared" si="4"/>
        <v>0</v>
      </c>
      <c r="BG19" s="183">
        <f t="shared" si="5"/>
        <v>0</v>
      </c>
      <c r="BH19" s="183">
        <f t="shared" si="6"/>
        <v>0</v>
      </c>
      <c r="BI19" s="183">
        <f t="shared" si="7"/>
        <v>0</v>
      </c>
      <c r="BJ19" s="183">
        <f t="shared" si="8"/>
        <v>0</v>
      </c>
      <c r="BK19" s="183">
        <f t="shared" si="9"/>
        <v>0</v>
      </c>
      <c r="BL19" s="183">
        <f t="shared" si="10"/>
        <v>0</v>
      </c>
      <c r="BM19" s="183">
        <f t="shared" si="11"/>
        <v>0</v>
      </c>
      <c r="BN19" s="183">
        <f t="shared" si="12"/>
        <v>0</v>
      </c>
      <c r="BO19" s="183">
        <f t="shared" si="13"/>
        <v>0</v>
      </c>
      <c r="BP19" s="183">
        <f t="shared" si="14"/>
        <v>0</v>
      </c>
      <c r="BQ19" s="184">
        <f t="shared" si="15"/>
        <v>5205875.05</v>
      </c>
      <c r="BR19" s="185">
        <v>100</v>
      </c>
      <c r="BS19" s="186">
        <f t="shared" si="16"/>
        <v>5205875.05</v>
      </c>
      <c r="BT19" s="187"/>
      <c r="BU19" s="181">
        <f t="shared" si="17"/>
        <v>5205875.05</v>
      </c>
      <c r="BV19" s="187">
        <v>0</v>
      </c>
      <c r="BW19" s="183" t="str">
        <f t="shared" si="18"/>
        <v>15-30</v>
      </c>
      <c r="BX19" s="183" t="str">
        <f t="shared" si="19"/>
        <v>&lt;0.25</v>
      </c>
      <c r="BY19" s="188"/>
      <c r="BZ19" s="183" t="str">
        <f t="shared" si="20"/>
        <v>FL 15-30</v>
      </c>
    </row>
    <row r="20" spans="1:78">
      <c r="A20" s="158" t="s">
        <v>463</v>
      </c>
      <c r="B20" s="159"/>
      <c r="C20" s="160">
        <v>45777</v>
      </c>
      <c r="D20" s="161" t="s">
        <v>731</v>
      </c>
      <c r="E20" s="158" t="s">
        <v>782</v>
      </c>
      <c r="F20" s="162" t="s">
        <v>783</v>
      </c>
      <c r="G20" s="163" t="s">
        <v>734</v>
      </c>
      <c r="H20" s="164">
        <v>4503279.1500000004</v>
      </c>
      <c r="I20" s="165"/>
      <c r="J20" s="163" t="s">
        <v>12</v>
      </c>
      <c r="K20" s="163" t="s">
        <v>735</v>
      </c>
      <c r="L20" s="166" t="s">
        <v>784</v>
      </c>
      <c r="M20" s="166" t="s">
        <v>737</v>
      </c>
      <c r="N20" s="167">
        <f>+VLOOKUP(A20, [2]Sheet2!$M$3:$Z$76, 14, FALSE)</f>
        <v>9.5491999999999994E-2</v>
      </c>
      <c r="O20" s="168" t="s">
        <v>738</v>
      </c>
      <c r="P20" s="167">
        <v>0.01</v>
      </c>
      <c r="Q20" s="167">
        <f>+VLOOKUP($A20, [2]Sheet2!$M$3:$Z$76, 13, FALSE)</f>
        <v>5.2499999999999998E-2</v>
      </c>
      <c r="R20" s="166">
        <v>3</v>
      </c>
      <c r="S20" s="165"/>
      <c r="T20" s="167" t="s">
        <v>739</v>
      </c>
      <c r="U20" s="163">
        <f t="shared" si="21"/>
        <v>4.4194444444444443</v>
      </c>
      <c r="V20" s="170">
        <v>47392</v>
      </c>
      <c r="W20" s="163" t="s">
        <v>740</v>
      </c>
      <c r="X20" s="171">
        <v>100</v>
      </c>
      <c r="Y20" s="172"/>
      <c r="Z20" s="173"/>
      <c r="AA20" s="173"/>
      <c r="AB20" s="174">
        <v>28.019479251625501</v>
      </c>
      <c r="AC20" s="175">
        <v>2.2183007873550942</v>
      </c>
      <c r="AD20" s="175">
        <v>2.96508008781713</v>
      </c>
      <c r="AE20" s="175"/>
      <c r="AF20" s="176">
        <v>2.96508008781713</v>
      </c>
      <c r="AG20" s="170">
        <f>+VLOOKUP($A20, [2]Sheet2!$M$3:$X$76, 8, FALSE)</f>
        <v>45688</v>
      </c>
      <c r="AH20" s="163"/>
      <c r="AI20" s="176">
        <f>+VLOOKUP(A20, [2]Sheet2!$M$3:$X$76, 9, FALSE)</f>
        <v>2.924068765712649</v>
      </c>
      <c r="AJ20" s="177">
        <f>+VLOOKUP($A20, [2]Sheet2!$M$3:$X$76, 10, FALSE)</f>
        <v>30.845843937605807</v>
      </c>
      <c r="AK20" s="175">
        <f t="shared" si="0"/>
        <v>4.1011322104480996E-2</v>
      </c>
      <c r="AL20" s="175"/>
      <c r="AM20" s="176">
        <f>+VLOOKUP($A20, [2]Sheet2!$M$3:$X$76, 11, FALSE)</f>
        <v>2.924068765712649</v>
      </c>
      <c r="AN20" s="176">
        <f t="shared" si="1"/>
        <v>4.1011322104480996E-2</v>
      </c>
      <c r="AO20" s="176">
        <f>+VLOOKUP($A20, [2]Sheet2!$M$3:$X$76, 12, FALSE)</f>
        <v>2.4420639398376309</v>
      </c>
      <c r="AP20" s="176">
        <f t="shared" si="2"/>
        <v>-0.22376315248253675</v>
      </c>
      <c r="AQ20" s="178"/>
      <c r="AR20" s="178"/>
      <c r="AS20" s="166" t="s">
        <v>741</v>
      </c>
      <c r="AT20" s="179" t="s">
        <v>742</v>
      </c>
      <c r="AU20" s="166" t="s">
        <v>742</v>
      </c>
      <c r="AV20" s="180"/>
      <c r="AW20" s="161" t="s">
        <v>743</v>
      </c>
      <c r="AX20" s="181">
        <v>4503279.1500000004</v>
      </c>
      <c r="AY20" s="181"/>
      <c r="AZ20" s="181">
        <f t="shared" si="22"/>
        <v>4503279.1500000004</v>
      </c>
      <c r="BA20" s="181"/>
      <c r="BB20" s="174" t="s">
        <v>744</v>
      </c>
      <c r="BC20" s="177" t="s">
        <v>745</v>
      </c>
      <c r="BD20" s="182">
        <v>100</v>
      </c>
      <c r="BE20" s="183">
        <f t="shared" si="3"/>
        <v>0</v>
      </c>
      <c r="BF20" s="183">
        <f t="shared" si="4"/>
        <v>0</v>
      </c>
      <c r="BG20" s="183">
        <f t="shared" si="5"/>
        <v>0</v>
      </c>
      <c r="BH20" s="183">
        <f t="shared" si="6"/>
        <v>0</v>
      </c>
      <c r="BI20" s="183">
        <f t="shared" si="7"/>
        <v>0</v>
      </c>
      <c r="BJ20" s="183">
        <f t="shared" si="8"/>
        <v>0</v>
      </c>
      <c r="BK20" s="183">
        <f t="shared" si="9"/>
        <v>0</v>
      </c>
      <c r="BL20" s="183">
        <f t="shared" si="10"/>
        <v>0</v>
      </c>
      <c r="BM20" s="183">
        <f t="shared" si="11"/>
        <v>0</v>
      </c>
      <c r="BN20" s="183">
        <f t="shared" si="12"/>
        <v>0</v>
      </c>
      <c r="BO20" s="183">
        <f t="shared" si="13"/>
        <v>0</v>
      </c>
      <c r="BP20" s="183">
        <f t="shared" si="14"/>
        <v>0</v>
      </c>
      <c r="BQ20" s="184">
        <f t="shared" si="15"/>
        <v>4503279.1500000004</v>
      </c>
      <c r="BR20" s="185">
        <v>100</v>
      </c>
      <c r="BS20" s="186">
        <f t="shared" si="16"/>
        <v>4503279.1500000004</v>
      </c>
      <c r="BT20" s="187"/>
      <c r="BU20" s="181">
        <f t="shared" si="17"/>
        <v>4503279.1500000004</v>
      </c>
      <c r="BV20" s="187">
        <v>0</v>
      </c>
      <c r="BW20" s="183" t="str">
        <f t="shared" si="18"/>
        <v>30+</v>
      </c>
      <c r="BX20" s="183" t="str">
        <f t="shared" si="19"/>
        <v>&lt;0.25</v>
      </c>
      <c r="BY20" s="188"/>
      <c r="BZ20" s="183" t="str">
        <f t="shared" si="20"/>
        <v>FL 30+</v>
      </c>
    </row>
    <row r="21" spans="1:78">
      <c r="A21" s="158" t="s">
        <v>465</v>
      </c>
      <c r="B21" s="159"/>
      <c r="C21" s="160">
        <v>45777</v>
      </c>
      <c r="D21" s="161" t="s">
        <v>731</v>
      </c>
      <c r="E21" s="158" t="s">
        <v>785</v>
      </c>
      <c r="F21" s="162" t="s">
        <v>786</v>
      </c>
      <c r="G21" s="163" t="s">
        <v>734</v>
      </c>
      <c r="H21" s="164">
        <v>2506425.7000000002</v>
      </c>
      <c r="I21" s="189"/>
      <c r="J21" s="163" t="s">
        <v>12</v>
      </c>
      <c r="K21" s="163" t="s">
        <v>735</v>
      </c>
      <c r="L21" s="166" t="s">
        <v>765</v>
      </c>
      <c r="M21" s="166" t="s">
        <v>737</v>
      </c>
      <c r="N21" s="167">
        <f>+VLOOKUP(A21, [2]Sheet2!$M$3:$Z$76, 14, FALSE)</f>
        <v>9.0492000000000017E-2</v>
      </c>
      <c r="O21" s="168" t="s">
        <v>738</v>
      </c>
      <c r="P21" s="167">
        <v>0.01</v>
      </c>
      <c r="Q21" s="167">
        <f>+VLOOKUP($A21, [2]Sheet2!$M$3:$Z$76, 13, FALSE)</f>
        <v>4.7500000000000001E-2</v>
      </c>
      <c r="R21" s="166">
        <v>3</v>
      </c>
      <c r="S21" s="165"/>
      <c r="T21" s="167" t="s">
        <v>739</v>
      </c>
      <c r="U21" s="163">
        <f t="shared" si="21"/>
        <v>0.7583333333333333</v>
      </c>
      <c r="V21" s="170">
        <v>46056</v>
      </c>
      <c r="W21" s="163" t="s">
        <v>740</v>
      </c>
      <c r="X21" s="171">
        <v>100</v>
      </c>
      <c r="Y21" s="172"/>
      <c r="Z21" s="173"/>
      <c r="AA21" s="173"/>
      <c r="AB21" s="174">
        <v>28.067827269920599</v>
      </c>
      <c r="AC21" s="175">
        <v>2.715134445268911</v>
      </c>
      <c r="AD21" s="175">
        <v>4.8079959557333325</v>
      </c>
      <c r="AE21" s="175"/>
      <c r="AF21" s="176">
        <v>4.8079959557333325</v>
      </c>
      <c r="AG21" s="170">
        <f>+VLOOKUP($A21, [2]Sheet2!$M$3:$X$76, 8, FALSE)</f>
        <v>45688</v>
      </c>
      <c r="AH21" s="163"/>
      <c r="AI21" s="176">
        <f>+VLOOKUP(A21, [2]Sheet2!$M$3:$X$76, 9, FALSE)</f>
        <v>3.225158225833153</v>
      </c>
      <c r="AJ21" s="177">
        <f>+VLOOKUP($A21, [2]Sheet2!$M$3:$X$76, 10, FALSE)</f>
        <v>78.527000000000001</v>
      </c>
      <c r="AK21" s="175">
        <f t="shared" si="0"/>
        <v>1.5828377299001795</v>
      </c>
      <c r="AL21" s="175"/>
      <c r="AM21" s="176">
        <f>+VLOOKUP($A21, [2]Sheet2!$M$3:$X$76, 11, FALSE)</f>
        <v>3.225158225833153</v>
      </c>
      <c r="AN21" s="176">
        <f t="shared" si="1"/>
        <v>1.5828377299001795</v>
      </c>
      <c r="AO21" s="176">
        <f>+VLOOKUP($A21, [2]Sheet2!$M$3:$X$76, 12, FALSE)</f>
        <v>2.7631049295140295</v>
      </c>
      <c r="AP21" s="176">
        <f t="shared" si="2"/>
        <v>-4.7970484245118516E-2</v>
      </c>
      <c r="AQ21" s="178"/>
      <c r="AR21" s="178"/>
      <c r="AS21" s="166" t="s">
        <v>741</v>
      </c>
      <c r="AT21" s="179" t="s">
        <v>742</v>
      </c>
      <c r="AU21" s="166" t="s">
        <v>742</v>
      </c>
      <c r="AV21" s="180"/>
      <c r="AW21" s="161" t="s">
        <v>743</v>
      </c>
      <c r="AX21" s="181">
        <v>2506425.7000000002</v>
      </c>
      <c r="AY21" s="181"/>
      <c r="AZ21" s="181">
        <f t="shared" si="22"/>
        <v>2506425.7000000002</v>
      </c>
      <c r="BA21" s="181"/>
      <c r="BB21" s="174" t="s">
        <v>744</v>
      </c>
      <c r="BC21" s="177" t="s">
        <v>745</v>
      </c>
      <c r="BD21" s="182">
        <v>100</v>
      </c>
      <c r="BE21" s="183">
        <f t="shared" si="3"/>
        <v>0</v>
      </c>
      <c r="BF21" s="183">
        <f t="shared" si="4"/>
        <v>0</v>
      </c>
      <c r="BG21" s="183">
        <f t="shared" si="5"/>
        <v>0</v>
      </c>
      <c r="BH21" s="183">
        <f t="shared" si="6"/>
        <v>0</v>
      </c>
      <c r="BI21" s="183">
        <f t="shared" si="7"/>
        <v>0</v>
      </c>
      <c r="BJ21" s="183">
        <f t="shared" si="8"/>
        <v>0</v>
      </c>
      <c r="BK21" s="183">
        <f t="shared" si="9"/>
        <v>0</v>
      </c>
      <c r="BL21" s="183">
        <f t="shared" si="10"/>
        <v>0</v>
      </c>
      <c r="BM21" s="183">
        <f t="shared" si="11"/>
        <v>0</v>
      </c>
      <c r="BN21" s="183">
        <f t="shared" si="12"/>
        <v>0</v>
      </c>
      <c r="BO21" s="183">
        <f t="shared" si="13"/>
        <v>0</v>
      </c>
      <c r="BP21" s="183">
        <f t="shared" si="14"/>
        <v>0</v>
      </c>
      <c r="BQ21" s="184">
        <f t="shared" si="15"/>
        <v>2506425.7000000002</v>
      </c>
      <c r="BR21" s="185">
        <v>100</v>
      </c>
      <c r="BS21" s="186">
        <f t="shared" si="16"/>
        <v>2506425.7000000002</v>
      </c>
      <c r="BT21" s="187"/>
      <c r="BU21" s="181">
        <f t="shared" si="17"/>
        <v>2506425.7000000002</v>
      </c>
      <c r="BV21" s="187">
        <v>0</v>
      </c>
      <c r="BW21" s="183" t="str">
        <f t="shared" si="18"/>
        <v>30+</v>
      </c>
      <c r="BX21" s="183" t="str">
        <f t="shared" si="19"/>
        <v>&lt;0.25</v>
      </c>
      <c r="BY21" s="188"/>
      <c r="BZ21" s="183" t="str">
        <f t="shared" si="20"/>
        <v>FL 30+</v>
      </c>
    </row>
    <row r="22" spans="1:78">
      <c r="A22" s="158" t="s">
        <v>467</v>
      </c>
      <c r="B22" s="159"/>
      <c r="C22" s="160">
        <v>45777</v>
      </c>
      <c r="D22" s="161" t="s">
        <v>731</v>
      </c>
      <c r="E22" s="158" t="s">
        <v>787</v>
      </c>
      <c r="F22" s="162" t="s">
        <v>788</v>
      </c>
      <c r="G22" s="163" t="s">
        <v>734</v>
      </c>
      <c r="H22" s="164">
        <v>3780604.54</v>
      </c>
      <c r="I22" s="165"/>
      <c r="J22" s="163" t="s">
        <v>12</v>
      </c>
      <c r="K22" s="163" t="s">
        <v>735</v>
      </c>
      <c r="L22" s="166" t="s">
        <v>765</v>
      </c>
      <c r="M22" s="166" t="s">
        <v>737</v>
      </c>
      <c r="N22" s="167">
        <f>+VLOOKUP(A22, [2]Sheet2!$M$3:$Z$76, 14, FALSE)</f>
        <v>0.10549200000000002</v>
      </c>
      <c r="O22" s="168" t="s">
        <v>738</v>
      </c>
      <c r="P22" s="167">
        <v>0.01</v>
      </c>
      <c r="Q22" s="167">
        <f>+VLOOKUP($A22, [2]Sheet2!$M$3:$Z$76, 13, FALSE)</f>
        <v>6.25E-2</v>
      </c>
      <c r="R22" s="166">
        <v>3</v>
      </c>
      <c r="S22" s="165"/>
      <c r="T22" s="167" t="s">
        <v>739</v>
      </c>
      <c r="U22" s="163">
        <f t="shared" si="21"/>
        <v>3.4722222222222223</v>
      </c>
      <c r="V22" s="170">
        <v>47046</v>
      </c>
      <c r="W22" s="163" t="s">
        <v>740</v>
      </c>
      <c r="X22" s="171">
        <v>100</v>
      </c>
      <c r="Y22" s="172"/>
      <c r="Z22" s="173"/>
      <c r="AA22" s="173"/>
      <c r="AB22" s="174">
        <v>20.031938040081101</v>
      </c>
      <c r="AC22" s="175">
        <v>2.1230956296951433</v>
      </c>
      <c r="AD22" s="175">
        <v>3.9142020728655642</v>
      </c>
      <c r="AE22" s="175"/>
      <c r="AF22" s="176">
        <v>3.9142020728655642</v>
      </c>
      <c r="AG22" s="170">
        <f>+VLOOKUP($A22, [2]Sheet2!$M$3:$X$76, 8, FALSE)</f>
        <v>45657</v>
      </c>
      <c r="AH22" s="163"/>
      <c r="AI22" s="176">
        <f>+VLOOKUP(A22, [2]Sheet2!$M$3:$X$76, 9, FALSE)</f>
        <v>3.8625698509237436</v>
      </c>
      <c r="AJ22" s="177">
        <f>+VLOOKUP($A22, [2]Sheet2!$M$3:$X$76, 10, FALSE)</f>
        <v>18.519535635813213</v>
      </c>
      <c r="AK22" s="175">
        <f t="shared" si="0"/>
        <v>5.16322219418206E-2</v>
      </c>
      <c r="AL22" s="175"/>
      <c r="AM22" s="176">
        <f>+VLOOKUP($A22, [2]Sheet2!$M$3:$X$76, 11, FALSE)</f>
        <v>3.8625698509237436</v>
      </c>
      <c r="AN22" s="176">
        <f t="shared" si="1"/>
        <v>5.16322219418206E-2</v>
      </c>
      <c r="AO22" s="176">
        <f>+VLOOKUP($A22, [2]Sheet2!$M$3:$X$76, 12, FALSE)</f>
        <v>1.9605591286232311</v>
      </c>
      <c r="AP22" s="176">
        <f t="shared" si="2"/>
        <v>0.1625365010719122</v>
      </c>
      <c r="AQ22" s="178"/>
      <c r="AR22" s="178"/>
      <c r="AS22" s="166" t="s">
        <v>741</v>
      </c>
      <c r="AT22" s="179" t="s">
        <v>742</v>
      </c>
      <c r="AU22" s="166" t="s">
        <v>742</v>
      </c>
      <c r="AV22" s="180"/>
      <c r="AW22" s="161" t="s">
        <v>743</v>
      </c>
      <c r="AX22" s="181">
        <v>3780604.54</v>
      </c>
      <c r="AY22" s="181"/>
      <c r="AZ22" s="181">
        <f t="shared" si="22"/>
        <v>3780604.54</v>
      </c>
      <c r="BA22" s="181"/>
      <c r="BB22" s="174" t="s">
        <v>744</v>
      </c>
      <c r="BC22" s="177" t="s">
        <v>745</v>
      </c>
      <c r="BD22" s="182">
        <v>100</v>
      </c>
      <c r="BE22" s="183">
        <f t="shared" si="3"/>
        <v>0</v>
      </c>
      <c r="BF22" s="183">
        <f t="shared" si="4"/>
        <v>0</v>
      </c>
      <c r="BG22" s="183">
        <f t="shared" si="5"/>
        <v>0</v>
      </c>
      <c r="BH22" s="183">
        <f t="shared" si="6"/>
        <v>0</v>
      </c>
      <c r="BI22" s="183">
        <f t="shared" si="7"/>
        <v>0</v>
      </c>
      <c r="BJ22" s="183">
        <f t="shared" si="8"/>
        <v>0</v>
      </c>
      <c r="BK22" s="183">
        <f t="shared" si="9"/>
        <v>0</v>
      </c>
      <c r="BL22" s="183">
        <f t="shared" si="10"/>
        <v>0</v>
      </c>
      <c r="BM22" s="183">
        <f t="shared" si="11"/>
        <v>0</v>
      </c>
      <c r="BN22" s="183">
        <f t="shared" si="12"/>
        <v>0</v>
      </c>
      <c r="BO22" s="183">
        <f t="shared" si="13"/>
        <v>0</v>
      </c>
      <c r="BP22" s="183">
        <f t="shared" si="14"/>
        <v>0</v>
      </c>
      <c r="BQ22" s="184">
        <f t="shared" si="15"/>
        <v>3780604.54</v>
      </c>
      <c r="BR22" s="185">
        <v>100</v>
      </c>
      <c r="BS22" s="186">
        <f t="shared" si="16"/>
        <v>3780604.54</v>
      </c>
      <c r="BT22" s="187"/>
      <c r="BU22" s="181">
        <f t="shared" si="17"/>
        <v>3780604.54</v>
      </c>
      <c r="BV22" s="187">
        <v>0</v>
      </c>
      <c r="BW22" s="183" t="str">
        <f t="shared" si="18"/>
        <v>15-30</v>
      </c>
      <c r="BX22" s="183" t="str">
        <f t="shared" si="19"/>
        <v>&lt;0.25</v>
      </c>
      <c r="BY22" s="188"/>
      <c r="BZ22" s="183" t="str">
        <f t="shared" si="20"/>
        <v>FL 15-30</v>
      </c>
    </row>
    <row r="23" spans="1:78">
      <c r="A23" s="158" t="s">
        <v>468</v>
      </c>
      <c r="B23" s="159"/>
      <c r="C23" s="160">
        <v>45777</v>
      </c>
      <c r="D23" s="161" t="s">
        <v>731</v>
      </c>
      <c r="E23" s="158" t="s">
        <v>789</v>
      </c>
      <c r="F23" s="162" t="s">
        <v>790</v>
      </c>
      <c r="G23" s="163" t="s">
        <v>734</v>
      </c>
      <c r="H23" s="164">
        <v>995000</v>
      </c>
      <c r="I23" s="165"/>
      <c r="J23" s="163" t="s">
        <v>12</v>
      </c>
      <c r="K23" s="163" t="s">
        <v>735</v>
      </c>
      <c r="L23" s="166" t="s">
        <v>791</v>
      </c>
      <c r="M23" s="166" t="s">
        <v>737</v>
      </c>
      <c r="N23" s="167">
        <f>+VLOOKUP(A23, [2]Sheet2!$M$3:$Z$76, 14, FALSE)</f>
        <v>9.6894000000000008E-2</v>
      </c>
      <c r="O23" s="168" t="s">
        <v>738</v>
      </c>
      <c r="P23" s="167">
        <v>0.01</v>
      </c>
      <c r="Q23" s="167">
        <f>+VLOOKUP($A23, [2]Sheet2!$M$3:$Z$76, 13, FALSE)</f>
        <v>5.3600000000000002E-2</v>
      </c>
      <c r="R23" s="166">
        <v>3</v>
      </c>
      <c r="S23" s="165"/>
      <c r="T23" s="167" t="s">
        <v>739</v>
      </c>
      <c r="U23" s="163">
        <f t="shared" si="21"/>
        <v>2.2944444444444443</v>
      </c>
      <c r="V23" s="170">
        <v>46615</v>
      </c>
      <c r="W23" s="163" t="s">
        <v>740</v>
      </c>
      <c r="X23" s="171">
        <v>100</v>
      </c>
      <c r="Y23" s="172"/>
      <c r="Z23" s="173"/>
      <c r="AA23" s="173"/>
      <c r="AB23" s="174">
        <v>23.523</v>
      </c>
      <c r="AC23" s="175">
        <v>1.6090518973026531</v>
      </c>
      <c r="AD23" s="175">
        <v>4.8333746739647401</v>
      </c>
      <c r="AE23" s="175"/>
      <c r="AF23" s="176">
        <v>5.2218170888683497</v>
      </c>
      <c r="AG23" s="170">
        <f>+VLOOKUP($A23, [2]Sheet2!$M$3:$X$76, 8, FALSE)</f>
        <v>45716</v>
      </c>
      <c r="AH23" s="163"/>
      <c r="AI23" s="176">
        <f>+VLOOKUP(A23, [2]Sheet2!$M$3:$X$76, 9, FALSE)</f>
        <v>5.1279919010774462</v>
      </c>
      <c r="AJ23" s="177">
        <f>+VLOOKUP($A23, [2]Sheet2!$M$3:$X$76, 10, FALSE)</f>
        <v>27.658000000000001</v>
      </c>
      <c r="AK23" s="175">
        <f t="shared" si="0"/>
        <v>-0.2946172271127061</v>
      </c>
      <c r="AL23" s="175"/>
      <c r="AM23" s="176">
        <f>+VLOOKUP($A23, [2]Sheet2!$M$3:$X$76, 11, FALSE)</f>
        <v>5.1279919010774462</v>
      </c>
      <c r="AN23" s="176">
        <f t="shared" si="1"/>
        <v>9.3825187790903541E-2</v>
      </c>
      <c r="AO23" s="176">
        <f>+VLOOKUP($A23, [2]Sheet2!$M$3:$X$76, 12, FALSE)</f>
        <v>2.2152983580296359</v>
      </c>
      <c r="AP23" s="176">
        <f t="shared" si="2"/>
        <v>-0.60624646072698285</v>
      </c>
      <c r="AQ23" s="178"/>
      <c r="AR23" s="178"/>
      <c r="AS23" s="166" t="s">
        <v>741</v>
      </c>
      <c r="AT23" s="179" t="s">
        <v>742</v>
      </c>
      <c r="AU23" s="166" t="s">
        <v>742</v>
      </c>
      <c r="AV23" s="180"/>
      <c r="AW23" s="161" t="s">
        <v>743</v>
      </c>
      <c r="AX23" s="181">
        <v>995000</v>
      </c>
      <c r="AY23" s="181"/>
      <c r="AZ23" s="181">
        <f t="shared" si="22"/>
        <v>995000</v>
      </c>
      <c r="BA23" s="181"/>
      <c r="BB23" s="174" t="s">
        <v>744</v>
      </c>
      <c r="BC23" s="177" t="s">
        <v>745</v>
      </c>
      <c r="BD23" s="182">
        <v>100</v>
      </c>
      <c r="BE23" s="183">
        <f t="shared" si="3"/>
        <v>0</v>
      </c>
      <c r="BF23" s="183">
        <f t="shared" si="4"/>
        <v>0</v>
      </c>
      <c r="BG23" s="183">
        <f t="shared" si="5"/>
        <v>0</v>
      </c>
      <c r="BH23" s="183">
        <f t="shared" si="6"/>
        <v>0</v>
      </c>
      <c r="BI23" s="183">
        <f t="shared" si="7"/>
        <v>0</v>
      </c>
      <c r="BJ23" s="183">
        <f t="shared" si="8"/>
        <v>0</v>
      </c>
      <c r="BK23" s="183">
        <f t="shared" si="9"/>
        <v>0</v>
      </c>
      <c r="BL23" s="183">
        <f t="shared" si="10"/>
        <v>0</v>
      </c>
      <c r="BM23" s="183">
        <f t="shared" si="11"/>
        <v>0</v>
      </c>
      <c r="BN23" s="183">
        <f t="shared" si="12"/>
        <v>0</v>
      </c>
      <c r="BO23" s="183">
        <f t="shared" si="13"/>
        <v>0</v>
      </c>
      <c r="BP23" s="183">
        <f t="shared" si="14"/>
        <v>0</v>
      </c>
      <c r="BQ23" s="184">
        <f t="shared" si="15"/>
        <v>995000</v>
      </c>
      <c r="BR23" s="185">
        <v>100</v>
      </c>
      <c r="BS23" s="186">
        <f t="shared" si="16"/>
        <v>995000</v>
      </c>
      <c r="BT23" s="187"/>
      <c r="BU23" s="181">
        <f t="shared" si="17"/>
        <v>995000</v>
      </c>
      <c r="BV23" s="187">
        <v>0</v>
      </c>
      <c r="BW23" s="183" t="str">
        <f t="shared" si="18"/>
        <v>15-30</v>
      </c>
      <c r="BX23" s="183" t="str">
        <f t="shared" si="19"/>
        <v>&lt;0.25</v>
      </c>
      <c r="BY23" s="188"/>
      <c r="BZ23" s="183" t="str">
        <f t="shared" si="20"/>
        <v>FL 15-30</v>
      </c>
    </row>
    <row r="24" spans="1:78">
      <c r="A24" s="158" t="s">
        <v>470</v>
      </c>
      <c r="B24" s="159"/>
      <c r="C24" s="160">
        <v>45777</v>
      </c>
      <c r="D24" s="161" t="s">
        <v>731</v>
      </c>
      <c r="E24" s="158" t="s">
        <v>792</v>
      </c>
      <c r="F24" s="162" t="s">
        <v>793</v>
      </c>
      <c r="G24" s="163" t="s">
        <v>734</v>
      </c>
      <c r="H24" s="164">
        <v>14449789.950000001</v>
      </c>
      <c r="I24" s="189"/>
      <c r="J24" s="163" t="s">
        <v>12</v>
      </c>
      <c r="K24" s="163" t="s">
        <v>735</v>
      </c>
      <c r="L24" s="166" t="s">
        <v>794</v>
      </c>
      <c r="M24" s="166" t="s">
        <v>737</v>
      </c>
      <c r="N24" s="167">
        <f>+VLOOKUP(A24, [2]Sheet2!$M$3:$Z$76, 14, FALSE)</f>
        <v>9.6708885281157106E-2</v>
      </c>
      <c r="O24" s="168" t="s">
        <v>738</v>
      </c>
      <c r="P24" s="167">
        <v>0.01</v>
      </c>
      <c r="Q24" s="167">
        <f>+VLOOKUP($A24, [2]Sheet2!$M$3:$Z$76, 13, FALSE)</f>
        <v>5.3499999999999999E-2</v>
      </c>
      <c r="R24" s="166">
        <v>3</v>
      </c>
      <c r="S24" s="165"/>
      <c r="T24" s="167" t="s">
        <v>739</v>
      </c>
      <c r="U24" s="163">
        <f t="shared" si="21"/>
        <v>2.3333333333333335</v>
      </c>
      <c r="V24" s="170">
        <v>46630</v>
      </c>
      <c r="W24" s="163" t="s">
        <v>740</v>
      </c>
      <c r="X24" s="171">
        <v>100</v>
      </c>
      <c r="Y24" s="172"/>
      <c r="Z24" s="173"/>
      <c r="AA24" s="173"/>
      <c r="AB24" s="174">
        <v>70.42</v>
      </c>
      <c r="AC24" s="175">
        <v>4.96</v>
      </c>
      <c r="AD24" s="175">
        <v>1.63</v>
      </c>
      <c r="AE24" s="175"/>
      <c r="AF24" s="176">
        <v>1.63</v>
      </c>
      <c r="AG24" s="170">
        <f>+VLOOKUP($A24, [2]Sheet2!$M$3:$X$76, 8, FALSE)</f>
        <v>45657</v>
      </c>
      <c r="AH24" s="163"/>
      <c r="AI24" s="176">
        <f>+VLOOKUP(A24, [2]Sheet2!$M$3:$X$76, 9, FALSE)</f>
        <v>1.297475925084703</v>
      </c>
      <c r="AJ24" s="177">
        <f>+VLOOKUP($A24, [2]Sheet2!$M$3:$X$76, 10, FALSE)</f>
        <v>96.404405640000036</v>
      </c>
      <c r="AK24" s="175">
        <f t="shared" si="0"/>
        <v>0.3325240749152969</v>
      </c>
      <c r="AL24" s="175"/>
      <c r="AM24" s="176">
        <f>+VLOOKUP($A24, [2]Sheet2!$M$3:$X$76, 11, FALSE)</f>
        <v>1.297475925084703</v>
      </c>
      <c r="AN24" s="176">
        <f t="shared" si="1"/>
        <v>0.3325240749152969</v>
      </c>
      <c r="AO24" s="176">
        <f>+VLOOKUP($A24, [2]Sheet2!$M$3:$X$76, 12, FALSE)</f>
        <v>6.1659887773502637</v>
      </c>
      <c r="AP24" s="176">
        <f t="shared" si="2"/>
        <v>-1.2059887773502638</v>
      </c>
      <c r="AQ24" s="178"/>
      <c r="AR24" s="178"/>
      <c r="AS24" s="166" t="s">
        <v>741</v>
      </c>
      <c r="AT24" s="179" t="s">
        <v>742</v>
      </c>
      <c r="AU24" s="166" t="s">
        <v>742</v>
      </c>
      <c r="AV24" s="180"/>
      <c r="AW24" s="161" t="s">
        <v>743</v>
      </c>
      <c r="AX24" s="181">
        <v>14449789.950000001</v>
      </c>
      <c r="AY24" s="181"/>
      <c r="AZ24" s="181">
        <f t="shared" si="22"/>
        <v>14449789.950000001</v>
      </c>
      <c r="BA24" s="181"/>
      <c r="BB24" s="174" t="s">
        <v>744</v>
      </c>
      <c r="BC24" s="177" t="s">
        <v>745</v>
      </c>
      <c r="BD24" s="182">
        <v>100</v>
      </c>
      <c r="BE24" s="183">
        <f t="shared" si="3"/>
        <v>0</v>
      </c>
      <c r="BF24" s="183">
        <f t="shared" si="4"/>
        <v>0</v>
      </c>
      <c r="BG24" s="183">
        <f t="shared" si="5"/>
        <v>0</v>
      </c>
      <c r="BH24" s="183">
        <f t="shared" si="6"/>
        <v>0</v>
      </c>
      <c r="BI24" s="183">
        <f t="shared" si="7"/>
        <v>0</v>
      </c>
      <c r="BJ24" s="183">
        <f t="shared" si="8"/>
        <v>0</v>
      </c>
      <c r="BK24" s="183">
        <f t="shared" si="9"/>
        <v>0</v>
      </c>
      <c r="BL24" s="183">
        <f t="shared" si="10"/>
        <v>0</v>
      </c>
      <c r="BM24" s="183">
        <f t="shared" si="11"/>
        <v>0</v>
      </c>
      <c r="BN24" s="183">
        <f t="shared" si="12"/>
        <v>0</v>
      </c>
      <c r="BO24" s="183">
        <f t="shared" si="13"/>
        <v>0</v>
      </c>
      <c r="BP24" s="183">
        <f t="shared" si="14"/>
        <v>0</v>
      </c>
      <c r="BQ24" s="184">
        <f t="shared" si="15"/>
        <v>14449789.950000001</v>
      </c>
      <c r="BR24" s="185">
        <v>100</v>
      </c>
      <c r="BS24" s="186">
        <f t="shared" si="16"/>
        <v>14449789.949999999</v>
      </c>
      <c r="BT24" s="187"/>
      <c r="BU24" s="181">
        <f t="shared" si="17"/>
        <v>14449789.949999999</v>
      </c>
      <c r="BV24" s="187">
        <v>0</v>
      </c>
      <c r="BW24" s="183" t="str">
        <f t="shared" si="18"/>
        <v>30+</v>
      </c>
      <c r="BX24" s="183" t="str">
        <f t="shared" si="19"/>
        <v>&lt;0.25</v>
      </c>
      <c r="BY24" s="188"/>
      <c r="BZ24" s="183" t="str">
        <f t="shared" si="20"/>
        <v>FL 30+</v>
      </c>
    </row>
    <row r="25" spans="1:78">
      <c r="A25" s="158" t="s">
        <v>472</v>
      </c>
      <c r="B25" s="159"/>
      <c r="C25" s="160">
        <v>45777</v>
      </c>
      <c r="D25" s="161" t="s">
        <v>731</v>
      </c>
      <c r="E25" s="158" t="s">
        <v>795</v>
      </c>
      <c r="F25" s="162" t="s">
        <v>796</v>
      </c>
      <c r="G25" s="163" t="s">
        <v>734</v>
      </c>
      <c r="H25" s="164">
        <v>5466430.4500000002</v>
      </c>
      <c r="I25" s="189"/>
      <c r="J25" s="163" t="s">
        <v>12</v>
      </c>
      <c r="K25" s="163" t="s">
        <v>735</v>
      </c>
      <c r="L25" s="166" t="s">
        <v>770</v>
      </c>
      <c r="M25" s="166" t="s">
        <v>737</v>
      </c>
      <c r="N25" s="167">
        <f>+VLOOKUP(A25, [2]Sheet2!$M$3:$Z$76, 14, FALSE)</f>
        <v>0.100492</v>
      </c>
      <c r="O25" s="168" t="s">
        <v>738</v>
      </c>
      <c r="P25" s="167">
        <v>0.01</v>
      </c>
      <c r="Q25" s="167">
        <f>+VLOOKUP($A25, [2]Sheet2!$M$3:$Z$76, 13, FALSE)</f>
        <v>5.7500000000000002E-2</v>
      </c>
      <c r="R25" s="166">
        <v>3</v>
      </c>
      <c r="S25" s="165"/>
      <c r="T25" s="167" t="s">
        <v>739</v>
      </c>
      <c r="U25" s="163">
        <f t="shared" si="21"/>
        <v>3.6944444444444446</v>
      </c>
      <c r="V25" s="170">
        <v>47128</v>
      </c>
      <c r="W25" s="163" t="s">
        <v>740</v>
      </c>
      <c r="X25" s="171">
        <v>100</v>
      </c>
      <c r="Y25" s="172"/>
      <c r="Z25" s="173"/>
      <c r="AA25" s="173"/>
      <c r="AB25" s="174">
        <v>11.98</v>
      </c>
      <c r="AC25" s="175">
        <v>2.31</v>
      </c>
      <c r="AD25" s="175">
        <v>3.63</v>
      </c>
      <c r="AE25" s="175"/>
      <c r="AF25" s="176">
        <v>3.63</v>
      </c>
      <c r="AG25" s="170">
        <f>+VLOOKUP($A25, [2]Sheet2!$M$3:$X$76, 8, FALSE)</f>
        <v>45688</v>
      </c>
      <c r="AH25" s="163"/>
      <c r="AI25" s="176">
        <f>+VLOOKUP(A25, [2]Sheet2!$M$3:$X$76, 9, FALSE)</f>
        <v>3.0453753223187818</v>
      </c>
      <c r="AJ25" s="177">
        <f>+VLOOKUP($A25, [2]Sheet2!$M$3:$X$76, 10, FALSE)</f>
        <v>27.922666666666696</v>
      </c>
      <c r="AK25" s="175">
        <f t="shared" si="0"/>
        <v>0.58462467768121806</v>
      </c>
      <c r="AL25" s="175"/>
      <c r="AM25" s="176">
        <f>+VLOOKUP($A25, [2]Sheet2!$M$3:$X$76, 11, FALSE)</f>
        <v>3.0453753223187818</v>
      </c>
      <c r="AN25" s="176">
        <f t="shared" si="1"/>
        <v>0.58462467768121806</v>
      </c>
      <c r="AO25" s="176">
        <f>+VLOOKUP($A25, [2]Sheet2!$M$3:$X$76, 12, FALSE)</f>
        <v>2.4962155074795902</v>
      </c>
      <c r="AP25" s="176">
        <f t="shared" si="2"/>
        <v>-0.18621550747959015</v>
      </c>
      <c r="AQ25" s="178"/>
      <c r="AR25" s="178"/>
      <c r="AS25" s="166" t="s">
        <v>741</v>
      </c>
      <c r="AT25" s="179" t="s">
        <v>742</v>
      </c>
      <c r="AU25" s="166" t="s">
        <v>742</v>
      </c>
      <c r="AV25" s="180"/>
      <c r="AW25" s="161" t="s">
        <v>743</v>
      </c>
      <c r="AX25" s="181">
        <v>5466430.4500000002</v>
      </c>
      <c r="AY25" s="181"/>
      <c r="AZ25" s="181">
        <f t="shared" si="22"/>
        <v>5466430.4500000002</v>
      </c>
      <c r="BA25" s="181"/>
      <c r="BB25" s="174" t="s">
        <v>744</v>
      </c>
      <c r="BC25" s="177" t="s">
        <v>745</v>
      </c>
      <c r="BD25" s="182">
        <v>100</v>
      </c>
      <c r="BE25" s="183">
        <f t="shared" si="3"/>
        <v>0</v>
      </c>
      <c r="BF25" s="183">
        <f t="shared" si="4"/>
        <v>0</v>
      </c>
      <c r="BG25" s="183">
        <f t="shared" si="5"/>
        <v>0</v>
      </c>
      <c r="BH25" s="183">
        <f t="shared" si="6"/>
        <v>0</v>
      </c>
      <c r="BI25" s="183">
        <f t="shared" si="7"/>
        <v>0</v>
      </c>
      <c r="BJ25" s="183">
        <f t="shared" si="8"/>
        <v>0</v>
      </c>
      <c r="BK25" s="183">
        <f t="shared" si="9"/>
        <v>0</v>
      </c>
      <c r="BL25" s="183">
        <f t="shared" si="10"/>
        <v>0</v>
      </c>
      <c r="BM25" s="183">
        <f t="shared" si="11"/>
        <v>0</v>
      </c>
      <c r="BN25" s="183">
        <f t="shared" si="12"/>
        <v>0</v>
      </c>
      <c r="BO25" s="183">
        <f t="shared" si="13"/>
        <v>0</v>
      </c>
      <c r="BP25" s="183">
        <f t="shared" si="14"/>
        <v>0</v>
      </c>
      <c r="BQ25" s="184">
        <f t="shared" si="15"/>
        <v>5466430.4500000002</v>
      </c>
      <c r="BR25" s="185">
        <v>100</v>
      </c>
      <c r="BS25" s="186">
        <f t="shared" si="16"/>
        <v>5466430.4500000002</v>
      </c>
      <c r="BT25" s="187"/>
      <c r="BU25" s="181">
        <f t="shared" si="17"/>
        <v>5466430.4500000002</v>
      </c>
      <c r="BV25" s="187">
        <v>0</v>
      </c>
      <c r="BW25" s="183" t="str">
        <f t="shared" si="18"/>
        <v>15-30</v>
      </c>
      <c r="BX25" s="183" t="str">
        <f t="shared" si="19"/>
        <v>&lt;0.25</v>
      </c>
      <c r="BY25" s="188"/>
      <c r="BZ25" s="183" t="str">
        <f t="shared" si="20"/>
        <v>FL 15-30</v>
      </c>
    </row>
    <row r="26" spans="1:78">
      <c r="A26" s="158" t="s">
        <v>473</v>
      </c>
      <c r="B26" s="159"/>
      <c r="C26" s="160">
        <v>45777</v>
      </c>
      <c r="D26" s="161" t="s">
        <v>731</v>
      </c>
      <c r="E26" s="158" t="s">
        <v>797</v>
      </c>
      <c r="F26" s="162" t="s">
        <v>798</v>
      </c>
      <c r="G26" s="163" t="s">
        <v>734</v>
      </c>
      <c r="H26" s="164">
        <v>1362351.4</v>
      </c>
      <c r="I26" s="165"/>
      <c r="J26" s="163" t="s">
        <v>12</v>
      </c>
      <c r="K26" s="163" t="s">
        <v>735</v>
      </c>
      <c r="L26" s="166" t="s">
        <v>765</v>
      </c>
      <c r="M26" s="166" t="s">
        <v>737</v>
      </c>
      <c r="N26" s="167">
        <f>+VLOOKUP(A26, [2]Sheet2!$M$3:$Z$76, 14, FALSE)</f>
        <v>0.10063999999999998</v>
      </c>
      <c r="O26" s="168" t="s">
        <v>738</v>
      </c>
      <c r="P26" s="167">
        <v>0.01</v>
      </c>
      <c r="Q26" s="167">
        <f>+VLOOKUP($A26, [2]Sheet2!$M$3:$Z$76, 13, FALSE)</f>
        <v>5.7500000000000002E-2</v>
      </c>
      <c r="R26" s="166">
        <v>3</v>
      </c>
      <c r="S26" s="165"/>
      <c r="T26" s="167" t="s">
        <v>739</v>
      </c>
      <c r="U26" s="163">
        <f t="shared" si="21"/>
        <v>5.0277777777777777</v>
      </c>
      <c r="V26" s="170">
        <v>47613</v>
      </c>
      <c r="W26" s="163" t="s">
        <v>740</v>
      </c>
      <c r="X26" s="171">
        <v>100</v>
      </c>
      <c r="Y26" s="172"/>
      <c r="Z26" s="173"/>
      <c r="AA26" s="173"/>
      <c r="AB26" s="174">
        <v>15.03</v>
      </c>
      <c r="AC26" s="175">
        <v>2.36</v>
      </c>
      <c r="AD26" s="175">
        <v>3.5</v>
      </c>
      <c r="AE26" s="175"/>
      <c r="AF26" s="176">
        <v>3.5</v>
      </c>
      <c r="AG26" s="170">
        <f>+VLOOKUP($A26, [2]Sheet2!$M$3:$X$76, 8, FALSE)</f>
        <v>45716</v>
      </c>
      <c r="AH26" s="191"/>
      <c r="AI26" s="176">
        <f>+VLOOKUP(A26, [2]Sheet2!$M$3:$X$76, 9, FALSE)</f>
        <v>3.6137097433137755</v>
      </c>
      <c r="AJ26" s="177">
        <f>+VLOOKUP($A26, [2]Sheet2!$M$3:$X$76, 10, FALSE)</f>
        <v>13.2217063333333</v>
      </c>
      <c r="AK26" s="175">
        <f t="shared" si="0"/>
        <v>-0.11370974331377548</v>
      </c>
      <c r="AL26" s="175"/>
      <c r="AM26" s="176">
        <f>+VLOOKUP($A26, [2]Sheet2!$M$3:$X$76, 11, FALSE)</f>
        <v>3.6137097433137755</v>
      </c>
      <c r="AN26" s="176">
        <f t="shared" si="1"/>
        <v>-0.11370974331377548</v>
      </c>
      <c r="AO26" s="176">
        <f>+VLOOKUP($A26, [2]Sheet2!$M$3:$X$76, 12, FALSE)</f>
        <v>2.5331098787795705</v>
      </c>
      <c r="AP26" s="176">
        <f t="shared" si="2"/>
        <v>-0.17310987877957063</v>
      </c>
      <c r="AQ26" s="192"/>
      <c r="AR26" s="192"/>
      <c r="AS26" s="166" t="s">
        <v>741</v>
      </c>
      <c r="AT26" s="179" t="s">
        <v>742</v>
      </c>
      <c r="AU26" s="166" t="s">
        <v>742</v>
      </c>
      <c r="AV26" s="180"/>
      <c r="AW26" s="161" t="s">
        <v>743</v>
      </c>
      <c r="AX26" s="181">
        <v>1362351.4</v>
      </c>
      <c r="AY26" s="181"/>
      <c r="AZ26" s="181">
        <f t="shared" si="22"/>
        <v>1362351.4</v>
      </c>
      <c r="BA26" s="181"/>
      <c r="BB26" s="174" t="s">
        <v>744</v>
      </c>
      <c r="BC26" s="177" t="s">
        <v>745</v>
      </c>
      <c r="BD26" s="182">
        <v>100</v>
      </c>
      <c r="BE26" s="183">
        <f t="shared" si="3"/>
        <v>0</v>
      </c>
      <c r="BF26" s="183">
        <f t="shared" si="4"/>
        <v>0</v>
      </c>
      <c r="BG26" s="183">
        <f t="shared" si="5"/>
        <v>0</v>
      </c>
      <c r="BH26" s="183">
        <f t="shared" si="6"/>
        <v>0</v>
      </c>
      <c r="BI26" s="183">
        <f t="shared" si="7"/>
        <v>0</v>
      </c>
      <c r="BJ26" s="183">
        <f t="shared" si="8"/>
        <v>1</v>
      </c>
      <c r="BK26" s="183">
        <f t="shared" si="9"/>
        <v>0</v>
      </c>
      <c r="BL26" s="183">
        <f t="shared" si="10"/>
        <v>0</v>
      </c>
      <c r="BM26" s="183">
        <f t="shared" si="11"/>
        <v>0</v>
      </c>
      <c r="BN26" s="183">
        <f t="shared" si="12"/>
        <v>0</v>
      </c>
      <c r="BO26" s="183">
        <f t="shared" si="13"/>
        <v>0</v>
      </c>
      <c r="BP26" s="183">
        <f t="shared" si="14"/>
        <v>0</v>
      </c>
      <c r="BQ26" s="184">
        <f t="shared" si="15"/>
        <v>1362351.4</v>
      </c>
      <c r="BR26" s="185">
        <v>100</v>
      </c>
      <c r="BS26" s="186">
        <f t="shared" si="16"/>
        <v>1362351.4</v>
      </c>
      <c r="BT26" s="187"/>
      <c r="BU26" s="181">
        <f t="shared" si="17"/>
        <v>1362351.4</v>
      </c>
      <c r="BV26" s="187">
        <v>0</v>
      </c>
      <c r="BW26" s="183" t="str">
        <f t="shared" si="18"/>
        <v>15-</v>
      </c>
      <c r="BX26" s="183" t="str">
        <f t="shared" si="19"/>
        <v>&lt;0.25</v>
      </c>
      <c r="BY26" s="188"/>
      <c r="BZ26" s="183" t="str">
        <f t="shared" si="20"/>
        <v>FL 15-</v>
      </c>
    </row>
    <row r="27" spans="1:78">
      <c r="A27" s="158" t="s">
        <v>475</v>
      </c>
      <c r="B27" s="159"/>
      <c r="C27" s="160">
        <v>45777</v>
      </c>
      <c r="D27" s="161" t="s">
        <v>731</v>
      </c>
      <c r="E27" s="158" t="s">
        <v>799</v>
      </c>
      <c r="F27" s="162" t="s">
        <v>800</v>
      </c>
      <c r="G27" s="163" t="s">
        <v>734</v>
      </c>
      <c r="H27" s="164">
        <v>6578437.7699999996</v>
      </c>
      <c r="I27" s="165"/>
      <c r="J27" s="163" t="s">
        <v>12</v>
      </c>
      <c r="K27" s="163" t="s">
        <v>735</v>
      </c>
      <c r="L27" s="166" t="s">
        <v>784</v>
      </c>
      <c r="M27" s="166" t="s">
        <v>737</v>
      </c>
      <c r="N27" s="167">
        <f>+VLOOKUP(A27, [2]Sheet2!$M$3:$Z$76, 14, FALSE)</f>
        <v>9.3028713378175296E-2</v>
      </c>
      <c r="O27" s="168" t="s">
        <v>738</v>
      </c>
      <c r="P27" s="167">
        <v>0.01</v>
      </c>
      <c r="Q27" s="167">
        <f>+VLOOKUP($A27, [2]Sheet2!$M$3:$Z$76, 13, FALSE)</f>
        <v>0.05</v>
      </c>
      <c r="R27" s="166">
        <v>3</v>
      </c>
      <c r="S27" s="165"/>
      <c r="T27" s="167" t="s">
        <v>739</v>
      </c>
      <c r="U27" s="163">
        <f t="shared" si="21"/>
        <v>5.4083333333333332</v>
      </c>
      <c r="V27" s="170">
        <v>47753</v>
      </c>
      <c r="W27" s="163" t="s">
        <v>740</v>
      </c>
      <c r="X27" s="171">
        <v>100</v>
      </c>
      <c r="Y27" s="172"/>
      <c r="Z27" s="173"/>
      <c r="AA27" s="173"/>
      <c r="AB27" s="174">
        <v>19.444154453153992</v>
      </c>
      <c r="AC27" s="175">
        <v>2.738613303261126</v>
      </c>
      <c r="AD27" s="175">
        <v>2.5044460574165517</v>
      </c>
      <c r="AE27" s="175"/>
      <c r="AF27" s="176">
        <v>2.8335938234158013</v>
      </c>
      <c r="AG27" s="170">
        <f>+VLOOKUP($A27, [2]Sheet2!$M$3:$X$76, 8, FALSE)</f>
        <v>45716</v>
      </c>
      <c r="AH27" s="163"/>
      <c r="AI27" s="176">
        <f>+VLOOKUP(A27, [2]Sheet2!$M$3:$X$76, 9, FALSE)</f>
        <v>3.4736408460116199</v>
      </c>
      <c r="AJ27" s="177">
        <f>+VLOOKUP($A27, [2]Sheet2!$M$3:$X$76, 10, FALSE)</f>
        <v>19.786580290508851</v>
      </c>
      <c r="AK27" s="175">
        <f t="shared" si="0"/>
        <v>-0.96919478859506825</v>
      </c>
      <c r="AL27" s="175"/>
      <c r="AM27" s="176">
        <f>+VLOOKUP($A27, [2]Sheet2!$M$3:$X$76, 11, FALSE)</f>
        <v>3.7970923927687887</v>
      </c>
      <c r="AN27" s="176">
        <f t="shared" si="1"/>
        <v>-0.96349856935298739</v>
      </c>
      <c r="AO27" s="176">
        <f>+VLOOKUP($A27, [2]Sheet2!$M$3:$X$76, 12, FALSE)</f>
        <v>2.7868422944378666</v>
      </c>
      <c r="AP27" s="176">
        <f t="shared" si="2"/>
        <v>-4.8228991176740621E-2</v>
      </c>
      <c r="AQ27" s="178"/>
      <c r="AR27" s="178"/>
      <c r="AS27" s="166" t="s">
        <v>741</v>
      </c>
      <c r="AT27" s="179" t="s">
        <v>742</v>
      </c>
      <c r="AU27" s="166" t="s">
        <v>742</v>
      </c>
      <c r="AV27" s="180"/>
      <c r="AW27" s="161" t="s">
        <v>743</v>
      </c>
      <c r="AX27" s="181">
        <v>6578437.7699999996</v>
      </c>
      <c r="AY27" s="181"/>
      <c r="AZ27" s="181">
        <f t="shared" si="22"/>
        <v>6578437.7699999996</v>
      </c>
      <c r="BA27" s="181"/>
      <c r="BB27" s="174" t="s">
        <v>744</v>
      </c>
      <c r="BC27" s="177" t="s">
        <v>745</v>
      </c>
      <c r="BD27" s="182">
        <v>100</v>
      </c>
      <c r="BE27" s="183">
        <f t="shared" si="3"/>
        <v>0</v>
      </c>
      <c r="BF27" s="183">
        <f t="shared" si="4"/>
        <v>0</v>
      </c>
      <c r="BG27" s="183">
        <f t="shared" si="5"/>
        <v>0</v>
      </c>
      <c r="BH27" s="183">
        <f t="shared" si="6"/>
        <v>0</v>
      </c>
      <c r="BI27" s="183">
        <f t="shared" si="7"/>
        <v>0</v>
      </c>
      <c r="BJ27" s="183">
        <f t="shared" si="8"/>
        <v>0</v>
      </c>
      <c r="BK27" s="183">
        <f t="shared" si="9"/>
        <v>0</v>
      </c>
      <c r="BL27" s="183">
        <f t="shared" si="10"/>
        <v>0</v>
      </c>
      <c r="BM27" s="183">
        <f t="shared" si="11"/>
        <v>0</v>
      </c>
      <c r="BN27" s="183">
        <f t="shared" si="12"/>
        <v>0</v>
      </c>
      <c r="BO27" s="183">
        <f t="shared" si="13"/>
        <v>0</v>
      </c>
      <c r="BP27" s="183">
        <f t="shared" si="14"/>
        <v>0</v>
      </c>
      <c r="BQ27" s="184">
        <f t="shared" si="15"/>
        <v>6578437.7699999996</v>
      </c>
      <c r="BR27" s="185">
        <v>100</v>
      </c>
      <c r="BS27" s="186">
        <f t="shared" si="16"/>
        <v>6578437.7699999996</v>
      </c>
      <c r="BT27" s="187"/>
      <c r="BU27" s="181">
        <f t="shared" si="17"/>
        <v>6578437.7699999996</v>
      </c>
      <c r="BV27" s="187">
        <v>0</v>
      </c>
      <c r="BW27" s="183" t="str">
        <f t="shared" si="18"/>
        <v>15-30</v>
      </c>
      <c r="BX27" s="183" t="str">
        <f t="shared" si="19"/>
        <v>&lt;0.25</v>
      </c>
      <c r="BY27" s="188"/>
      <c r="BZ27" s="183" t="str">
        <f t="shared" si="20"/>
        <v>FL 15-30</v>
      </c>
    </row>
    <row r="28" spans="1:78">
      <c r="A28" s="158" t="s">
        <v>138</v>
      </c>
      <c r="B28" s="159"/>
      <c r="C28" s="160">
        <v>45777</v>
      </c>
      <c r="D28" s="161" t="s">
        <v>731</v>
      </c>
      <c r="E28" s="158" t="s">
        <v>801</v>
      </c>
      <c r="F28" s="162" t="s">
        <v>802</v>
      </c>
      <c r="G28" s="163" t="s">
        <v>734</v>
      </c>
      <c r="H28" s="164">
        <v>1970075.18</v>
      </c>
      <c r="I28" s="165"/>
      <c r="J28" s="163" t="s">
        <v>12</v>
      </c>
      <c r="K28" s="163" t="s">
        <v>735</v>
      </c>
      <c r="L28" s="166" t="s">
        <v>765</v>
      </c>
      <c r="M28" s="166" t="s">
        <v>737</v>
      </c>
      <c r="N28" s="167">
        <f>+VLOOKUP(A28, [2]Sheet2!$M$3:$Z$76, 14, FALSE)</f>
        <v>9.7166000000000002E-2</v>
      </c>
      <c r="O28" s="168" t="s">
        <v>738</v>
      </c>
      <c r="P28" s="167">
        <v>0.01</v>
      </c>
      <c r="Q28" s="167">
        <f>+VLOOKUP($A28, [2]Sheet2!$M$3:$Z$76, 13, FALSE)</f>
        <v>5.5E-2</v>
      </c>
      <c r="R28" s="166">
        <v>3</v>
      </c>
      <c r="S28" s="165"/>
      <c r="T28" s="167" t="s">
        <v>739</v>
      </c>
      <c r="U28" s="163">
        <f t="shared" si="21"/>
        <v>4.1305555555555555</v>
      </c>
      <c r="V28" s="170">
        <v>47286</v>
      </c>
      <c r="W28" s="163" t="s">
        <v>740</v>
      </c>
      <c r="X28" s="171">
        <v>100</v>
      </c>
      <c r="Y28" s="172"/>
      <c r="Z28" s="173"/>
      <c r="AA28" s="173"/>
      <c r="AB28" s="174">
        <v>52.85</v>
      </c>
      <c r="AC28" s="175">
        <v>2.5</v>
      </c>
      <c r="AD28" s="175">
        <v>4.7</v>
      </c>
      <c r="AE28" s="175"/>
      <c r="AF28" s="176">
        <v>4.7</v>
      </c>
      <c r="AG28" s="170">
        <f>+VLOOKUP($A28, [2]Sheet2!$M$3:$X$76, 8, FALSE)</f>
        <v>45688</v>
      </c>
      <c r="AH28" s="163"/>
      <c r="AI28" s="176">
        <f>+VLOOKUP(A28, [2]Sheet2!$M$3:$X$76, 9, FALSE)</f>
        <v>3.9355296111810749</v>
      </c>
      <c r="AJ28" s="177">
        <f>+VLOOKUP($A28, [2]Sheet2!$M$3:$X$76, 10, FALSE)</f>
        <v>56.378638000747401</v>
      </c>
      <c r="AK28" s="175">
        <f t="shared" si="0"/>
        <v>0.76447038881892526</v>
      </c>
      <c r="AL28" s="175"/>
      <c r="AM28" s="176">
        <f>+VLOOKUP($A28, [2]Sheet2!$M$3:$X$76, 11, FALSE)</f>
        <v>3.9355296111810749</v>
      </c>
      <c r="AN28" s="176">
        <f t="shared" si="1"/>
        <v>0.76447038881892526</v>
      </c>
      <c r="AO28" s="176">
        <f>+VLOOKUP($A28, [2]Sheet2!$M$3:$X$76, 12, FALSE)</f>
        <v>2.2076188817076186</v>
      </c>
      <c r="AP28" s="176">
        <f t="shared" si="2"/>
        <v>0.29238111829238145</v>
      </c>
      <c r="AQ28" s="178"/>
      <c r="AR28" s="178"/>
      <c r="AS28" s="166" t="s">
        <v>741</v>
      </c>
      <c r="AT28" s="179" t="s">
        <v>742</v>
      </c>
      <c r="AU28" s="166" t="s">
        <v>742</v>
      </c>
      <c r="AV28" s="180"/>
      <c r="AW28" s="161" t="s">
        <v>743</v>
      </c>
      <c r="AX28" s="181">
        <v>1970075.18</v>
      </c>
      <c r="AY28" s="181"/>
      <c r="AZ28" s="181">
        <f t="shared" si="22"/>
        <v>1970075.18</v>
      </c>
      <c r="BA28" s="181"/>
      <c r="BB28" s="174" t="s">
        <v>744</v>
      </c>
      <c r="BC28" s="177" t="s">
        <v>745</v>
      </c>
      <c r="BD28" s="182">
        <v>100</v>
      </c>
      <c r="BE28" s="183">
        <f t="shared" si="3"/>
        <v>0</v>
      </c>
      <c r="BF28" s="183">
        <f t="shared" si="4"/>
        <v>0</v>
      </c>
      <c r="BG28" s="183">
        <f t="shared" si="5"/>
        <v>0</v>
      </c>
      <c r="BH28" s="183">
        <f t="shared" si="6"/>
        <v>0</v>
      </c>
      <c r="BI28" s="183">
        <f t="shared" si="7"/>
        <v>0</v>
      </c>
      <c r="BJ28" s="183">
        <f t="shared" si="8"/>
        <v>0</v>
      </c>
      <c r="BK28" s="183">
        <f t="shared" si="9"/>
        <v>0</v>
      </c>
      <c r="BL28" s="183">
        <f t="shared" si="10"/>
        <v>0</v>
      </c>
      <c r="BM28" s="183">
        <f t="shared" si="11"/>
        <v>0</v>
      </c>
      <c r="BN28" s="183">
        <f t="shared" si="12"/>
        <v>0</v>
      </c>
      <c r="BO28" s="183">
        <f t="shared" si="13"/>
        <v>0</v>
      </c>
      <c r="BP28" s="183">
        <f t="shared" si="14"/>
        <v>0</v>
      </c>
      <c r="BQ28" s="184">
        <f t="shared" si="15"/>
        <v>1970075.18</v>
      </c>
      <c r="BR28" s="185">
        <v>100</v>
      </c>
      <c r="BS28" s="186">
        <f t="shared" si="16"/>
        <v>1970075.18</v>
      </c>
      <c r="BT28" s="187"/>
      <c r="BU28" s="181">
        <f t="shared" si="17"/>
        <v>1970075.18</v>
      </c>
      <c r="BV28" s="187">
        <v>0</v>
      </c>
      <c r="BW28" s="183" t="str">
        <f t="shared" si="18"/>
        <v>30+</v>
      </c>
      <c r="BX28" s="183" t="str">
        <f t="shared" si="19"/>
        <v>&lt;0.25</v>
      </c>
      <c r="BY28" s="188"/>
      <c r="BZ28" s="183" t="str">
        <f t="shared" si="20"/>
        <v>FL 30+</v>
      </c>
    </row>
    <row r="29" spans="1:78">
      <c r="A29" s="158" t="s">
        <v>175</v>
      </c>
      <c r="B29" s="159"/>
      <c r="C29" s="160">
        <v>45777</v>
      </c>
      <c r="D29" s="161" t="s">
        <v>731</v>
      </c>
      <c r="E29" s="158" t="s">
        <v>803</v>
      </c>
      <c r="F29" s="162" t="s">
        <v>804</v>
      </c>
      <c r="G29" s="163" t="s">
        <v>734</v>
      </c>
      <c r="H29" s="164">
        <v>8726327.5</v>
      </c>
      <c r="I29" s="165"/>
      <c r="J29" s="163" t="s">
        <v>12</v>
      </c>
      <c r="K29" s="163" t="s">
        <v>735</v>
      </c>
      <c r="L29" s="166" t="s">
        <v>756</v>
      </c>
      <c r="M29" s="166" t="s">
        <v>737</v>
      </c>
      <c r="N29" s="167">
        <f>+VLOOKUP(A29, [2]Sheet2!$M$3:$Z$76, 14, FALSE)</f>
        <v>9.3220999999999998E-2</v>
      </c>
      <c r="O29" s="168" t="s">
        <v>738</v>
      </c>
      <c r="P29" s="167">
        <v>0.01</v>
      </c>
      <c r="Q29" s="167">
        <f>+VLOOKUP($A29, [2]Sheet2!$M$3:$Z$76, 13, FALSE)</f>
        <v>0.05</v>
      </c>
      <c r="R29" s="166">
        <v>3</v>
      </c>
      <c r="S29" s="165"/>
      <c r="T29" s="167" t="s">
        <v>739</v>
      </c>
      <c r="U29" s="163">
        <f t="shared" si="21"/>
        <v>5.2750000000000004</v>
      </c>
      <c r="V29" s="170">
        <v>47704</v>
      </c>
      <c r="W29" s="163" t="s">
        <v>740</v>
      </c>
      <c r="X29" s="171">
        <v>100</v>
      </c>
      <c r="Y29" s="172"/>
      <c r="Z29" s="173"/>
      <c r="AA29" s="173"/>
      <c r="AB29" s="174">
        <v>27.971819</v>
      </c>
      <c r="AC29" s="175">
        <v>4.9331709124682259</v>
      </c>
      <c r="AD29" s="175">
        <v>2.4767070028588418</v>
      </c>
      <c r="AE29" s="175"/>
      <c r="AF29" s="176">
        <v>2.4767070028588418</v>
      </c>
      <c r="AG29" s="170">
        <f>+VLOOKUP($A29, [2]Sheet2!$M$3:$X$76, 8, FALSE)</f>
        <v>45716</v>
      </c>
      <c r="AH29" s="163"/>
      <c r="AI29" s="176">
        <f>+VLOOKUP(A29, [2]Sheet2!$M$3:$X$76, 9, FALSE)</f>
        <v>4.2699985740767143</v>
      </c>
      <c r="AJ29" s="177">
        <f>+VLOOKUP($A29, [2]Sheet2!$M$3:$X$76, 10, FALSE)</f>
        <v>28.052000000000003</v>
      </c>
      <c r="AK29" s="175">
        <f t="shared" si="0"/>
        <v>-1.7932915712178725</v>
      </c>
      <c r="AL29" s="175"/>
      <c r="AM29" s="176">
        <f>+VLOOKUP($A29, [2]Sheet2!$M$3:$X$76, 11, FALSE)</f>
        <v>4.2699985740767143</v>
      </c>
      <c r="AN29" s="176">
        <f t="shared" si="1"/>
        <v>-1.7932915712178725</v>
      </c>
      <c r="AO29" s="176">
        <f>+VLOOKUP($A29, [2]Sheet2!$M$3:$X$76, 12, FALSE)</f>
        <v>4.9473118082366643</v>
      </c>
      <c r="AP29" s="176">
        <f t="shared" si="2"/>
        <v>-1.4140895768438355E-2</v>
      </c>
      <c r="AQ29" s="178"/>
      <c r="AR29" s="178"/>
      <c r="AS29" s="166" t="s">
        <v>741</v>
      </c>
      <c r="AT29" s="179" t="s">
        <v>742</v>
      </c>
      <c r="AU29" s="166" t="s">
        <v>742</v>
      </c>
      <c r="AV29" s="180"/>
      <c r="AW29" s="161" t="s">
        <v>743</v>
      </c>
      <c r="AX29" s="181">
        <v>8726327.5</v>
      </c>
      <c r="AY29" s="181"/>
      <c r="AZ29" s="181">
        <f t="shared" si="22"/>
        <v>8726327.5</v>
      </c>
      <c r="BA29" s="181"/>
      <c r="BB29" s="174" t="s">
        <v>744</v>
      </c>
      <c r="BC29" s="177" t="s">
        <v>745</v>
      </c>
      <c r="BD29" s="182">
        <v>100</v>
      </c>
      <c r="BE29" s="183">
        <f t="shared" si="3"/>
        <v>0</v>
      </c>
      <c r="BF29" s="183">
        <f t="shared" si="4"/>
        <v>0</v>
      </c>
      <c r="BG29" s="183">
        <f t="shared" si="5"/>
        <v>0</v>
      </c>
      <c r="BH29" s="183">
        <f t="shared" si="6"/>
        <v>0</v>
      </c>
      <c r="BI29" s="183">
        <f t="shared" si="7"/>
        <v>0</v>
      </c>
      <c r="BJ29" s="183">
        <f t="shared" si="8"/>
        <v>0</v>
      </c>
      <c r="BK29" s="183">
        <f t="shared" si="9"/>
        <v>0</v>
      </c>
      <c r="BL29" s="183">
        <f t="shared" si="10"/>
        <v>0</v>
      </c>
      <c r="BM29" s="183">
        <f t="shared" si="11"/>
        <v>0</v>
      </c>
      <c r="BN29" s="183">
        <f t="shared" si="12"/>
        <v>0</v>
      </c>
      <c r="BO29" s="183">
        <f t="shared" si="13"/>
        <v>0</v>
      </c>
      <c r="BP29" s="183">
        <f t="shared" si="14"/>
        <v>0</v>
      </c>
      <c r="BQ29" s="184">
        <f t="shared" si="15"/>
        <v>8726327.5</v>
      </c>
      <c r="BR29" s="185">
        <v>100</v>
      </c>
      <c r="BS29" s="186">
        <f t="shared" si="16"/>
        <v>8726327.5</v>
      </c>
      <c r="BT29" s="187"/>
      <c r="BU29" s="181">
        <f t="shared" si="17"/>
        <v>8726327.5</v>
      </c>
      <c r="BV29" s="187">
        <v>0</v>
      </c>
      <c r="BW29" s="183" t="str">
        <f t="shared" si="18"/>
        <v>15-30</v>
      </c>
      <c r="BX29" s="183" t="str">
        <f t="shared" si="19"/>
        <v>&lt;0.25</v>
      </c>
      <c r="BY29" s="188"/>
      <c r="BZ29" s="183" t="str">
        <f t="shared" si="20"/>
        <v>FL 15-30</v>
      </c>
    </row>
    <row r="30" spans="1:78">
      <c r="A30" s="158" t="s">
        <v>478</v>
      </c>
      <c r="B30" s="159"/>
      <c r="C30" s="160">
        <v>45777</v>
      </c>
      <c r="D30" s="161" t="s">
        <v>731</v>
      </c>
      <c r="E30" s="158" t="s">
        <v>805</v>
      </c>
      <c r="F30" s="162" t="s">
        <v>806</v>
      </c>
      <c r="G30" s="163" t="s">
        <v>734</v>
      </c>
      <c r="H30" s="164">
        <v>7618243.3600000003</v>
      </c>
      <c r="I30" s="165"/>
      <c r="J30" s="163" t="s">
        <v>12</v>
      </c>
      <c r="K30" s="163" t="s">
        <v>735</v>
      </c>
      <c r="L30" s="166" t="s">
        <v>775</v>
      </c>
      <c r="M30" s="166" t="s">
        <v>737</v>
      </c>
      <c r="N30" s="167">
        <f>+VLOOKUP(A30, [2]Sheet2!$M$3:$Z$76, 14, FALSE)</f>
        <v>0.10212005460384567</v>
      </c>
      <c r="O30" s="168" t="s">
        <v>738</v>
      </c>
      <c r="P30" s="167">
        <v>0.01</v>
      </c>
      <c r="Q30" s="167">
        <f>+VLOOKUP($A30, [2]Sheet2!$M$3:$Z$76, 13, FALSE)</f>
        <v>5.8999999999999997E-2</v>
      </c>
      <c r="R30" s="166">
        <v>3</v>
      </c>
      <c r="S30" s="165"/>
      <c r="T30" s="167" t="s">
        <v>739</v>
      </c>
      <c r="U30" s="163">
        <f t="shared" si="21"/>
        <v>1.0277777777777777</v>
      </c>
      <c r="V30" s="170">
        <v>46152</v>
      </c>
      <c r="W30" s="163" t="s">
        <v>740</v>
      </c>
      <c r="X30" s="171">
        <v>100</v>
      </c>
      <c r="Y30" s="172" t="s">
        <v>807</v>
      </c>
      <c r="Z30" s="173"/>
      <c r="AA30" s="173"/>
      <c r="AB30" s="174">
        <v>19.486999999999998</v>
      </c>
      <c r="AC30" s="175">
        <v>3.2136878994021849</v>
      </c>
      <c r="AD30" s="175">
        <v>3.4022168625237335</v>
      </c>
      <c r="AE30" s="175"/>
      <c r="AF30" s="176">
        <v>3.5562169651562581</v>
      </c>
      <c r="AG30" s="170">
        <f>+VLOOKUP($A30, [2]Sheet2!$M$3:$X$76, 8, FALSE)</f>
        <v>45716</v>
      </c>
      <c r="AH30" s="163"/>
      <c r="AI30" s="176">
        <f>+VLOOKUP(A30, [2]Sheet2!$M$3:$X$76, 9, FALSE)</f>
        <v>3.0055761763850639</v>
      </c>
      <c r="AJ30" s="177">
        <f>+VLOOKUP($A30, [2]Sheet2!$M$3:$X$76, 10, FALSE)</f>
        <v>58.463000000000001</v>
      </c>
      <c r="AK30" s="175">
        <f t="shared" si="0"/>
        <v>0.39664068613866954</v>
      </c>
      <c r="AL30" s="175"/>
      <c r="AM30" s="176">
        <f>+VLOOKUP($A30, [2]Sheet2!$M$3:$X$76, 11, FALSE)</f>
        <v>3.0055761763850639</v>
      </c>
      <c r="AN30" s="176">
        <f t="shared" si="1"/>
        <v>0.55064078877119416</v>
      </c>
      <c r="AO30" s="176">
        <f>+VLOOKUP($A30, [2]Sheet2!$M$3:$X$76, 12, FALSE)</f>
        <v>2.5529694323144105</v>
      </c>
      <c r="AP30" s="176">
        <f t="shared" si="2"/>
        <v>0.66071846708777437</v>
      </c>
      <c r="AQ30" s="178"/>
      <c r="AR30" s="178"/>
      <c r="AS30" s="166" t="s">
        <v>741</v>
      </c>
      <c r="AT30" s="179" t="s">
        <v>742</v>
      </c>
      <c r="AU30" s="166" t="s">
        <v>742</v>
      </c>
      <c r="AV30" s="193"/>
      <c r="AW30" s="193" t="s">
        <v>743</v>
      </c>
      <c r="AX30" s="181">
        <v>7618243.3600000003</v>
      </c>
      <c r="AY30" s="181"/>
      <c r="AZ30" s="181">
        <f t="shared" si="22"/>
        <v>7618243.3600000003</v>
      </c>
      <c r="BA30" s="181"/>
      <c r="BB30" s="174" t="s">
        <v>744</v>
      </c>
      <c r="BC30" s="177" t="s">
        <v>745</v>
      </c>
      <c r="BD30" s="182">
        <v>100</v>
      </c>
      <c r="BE30" s="183">
        <f t="shared" si="3"/>
        <v>0</v>
      </c>
      <c r="BF30" s="183">
        <f t="shared" si="4"/>
        <v>0</v>
      </c>
      <c r="BG30" s="183">
        <f t="shared" si="5"/>
        <v>0</v>
      </c>
      <c r="BH30" s="183">
        <f t="shared" si="6"/>
        <v>0</v>
      </c>
      <c r="BI30" s="183">
        <f t="shared" si="7"/>
        <v>0</v>
      </c>
      <c r="BJ30" s="183">
        <f t="shared" si="8"/>
        <v>0</v>
      </c>
      <c r="BK30" s="183">
        <f t="shared" si="9"/>
        <v>0</v>
      </c>
      <c r="BL30" s="183">
        <f t="shared" si="10"/>
        <v>0</v>
      </c>
      <c r="BM30" s="183">
        <f t="shared" si="11"/>
        <v>0</v>
      </c>
      <c r="BN30" s="183">
        <f t="shared" si="12"/>
        <v>0</v>
      </c>
      <c r="BO30" s="183">
        <f t="shared" si="13"/>
        <v>0</v>
      </c>
      <c r="BP30" s="183">
        <f t="shared" si="14"/>
        <v>0</v>
      </c>
      <c r="BQ30" s="184">
        <f t="shared" si="15"/>
        <v>7618243.3600000003</v>
      </c>
      <c r="BR30" s="185">
        <v>100</v>
      </c>
      <c r="BS30" s="186">
        <f t="shared" si="16"/>
        <v>7618243.3600000003</v>
      </c>
      <c r="BT30" s="187"/>
      <c r="BU30" s="181">
        <f t="shared" si="17"/>
        <v>7618243.3600000003</v>
      </c>
      <c r="BV30" s="187">
        <v>0</v>
      </c>
      <c r="BW30" s="183" t="str">
        <f t="shared" si="18"/>
        <v>30+</v>
      </c>
      <c r="BX30" s="183" t="str">
        <f t="shared" si="19"/>
        <v>&lt;0.25</v>
      </c>
      <c r="BY30" s="188"/>
      <c r="BZ30" s="183" t="str">
        <f t="shared" si="20"/>
        <v>FL 30+</v>
      </c>
    </row>
    <row r="31" spans="1:78">
      <c r="A31" s="158" t="s">
        <v>479</v>
      </c>
      <c r="B31" s="159"/>
      <c r="C31" s="160">
        <v>45777</v>
      </c>
      <c r="D31" s="161" t="s">
        <v>731</v>
      </c>
      <c r="E31" s="158" t="s">
        <v>808</v>
      </c>
      <c r="F31" s="162" t="s">
        <v>809</v>
      </c>
      <c r="G31" s="163" t="s">
        <v>734</v>
      </c>
      <c r="H31" s="164">
        <v>5118399.22</v>
      </c>
      <c r="I31" s="189"/>
      <c r="J31" s="163" t="s">
        <v>12</v>
      </c>
      <c r="K31" s="163" t="s">
        <v>735</v>
      </c>
      <c r="L31" s="166" t="s">
        <v>784</v>
      </c>
      <c r="M31" s="166" t="s">
        <v>737</v>
      </c>
      <c r="N31" s="167">
        <f>+VLOOKUP(A31, [2]Sheet2!$M$3:$Z$76, 14, FALSE)</f>
        <v>9.7991999999999996E-2</v>
      </c>
      <c r="O31" s="168" t="s">
        <v>738</v>
      </c>
      <c r="P31" s="167">
        <v>0.01</v>
      </c>
      <c r="Q31" s="167">
        <f>+VLOOKUP($A31, [2]Sheet2!$M$3:$Z$76, 13, FALSE)</f>
        <v>5.5E-2</v>
      </c>
      <c r="R31" s="166">
        <v>3</v>
      </c>
      <c r="S31" s="194"/>
      <c r="T31" s="167" t="s">
        <v>739</v>
      </c>
      <c r="U31" s="163">
        <f t="shared" si="21"/>
        <v>3.661111111111111</v>
      </c>
      <c r="V31" s="170">
        <v>47115</v>
      </c>
      <c r="W31" s="163" t="s">
        <v>740</v>
      </c>
      <c r="X31" s="171">
        <v>100</v>
      </c>
      <c r="Y31" s="187"/>
      <c r="Z31" s="187"/>
      <c r="AA31" s="187"/>
      <c r="AB31" s="174">
        <v>35.462000000000003</v>
      </c>
      <c r="AC31" s="175">
        <v>2.1396485406139227</v>
      </c>
      <c r="AD31" s="175">
        <v>3.9237907312052336</v>
      </c>
      <c r="AE31" s="175"/>
      <c r="AF31" s="176">
        <v>3.9237907312052336</v>
      </c>
      <c r="AG31" s="170">
        <f>+VLOOKUP($A31, [2]Sheet2!$M$3:$X$76, 8, FALSE)</f>
        <v>45716</v>
      </c>
      <c r="AH31" s="163"/>
      <c r="AI31" s="176">
        <f>+VLOOKUP(A31, [2]Sheet2!$M$3:$X$76, 9, FALSE)</f>
        <v>5.1442628656404734</v>
      </c>
      <c r="AJ31" s="177">
        <f>+VLOOKUP($A31, [2]Sheet2!$M$3:$X$76, 10, FALSE)</f>
        <v>63.210999999999999</v>
      </c>
      <c r="AK31" s="175">
        <f t="shared" si="0"/>
        <v>-1.2204721344352398</v>
      </c>
      <c r="AL31" s="175"/>
      <c r="AM31" s="176">
        <f>+VLOOKUP($A31, [2]Sheet2!$M$3:$X$76, 11, FALSE)</f>
        <v>5.1442628656404734</v>
      </c>
      <c r="AN31" s="176">
        <f t="shared" si="1"/>
        <v>-1.2204721344352398</v>
      </c>
      <c r="AO31" s="176">
        <f>+VLOOKUP($A31, [2]Sheet2!$M$3:$X$76, 12, FALSE)</f>
        <v>2.0660565451871222</v>
      </c>
      <c r="AP31" s="176">
        <f t="shared" si="2"/>
        <v>7.3591995426800505E-2</v>
      </c>
      <c r="AQ31" s="178"/>
      <c r="AR31" s="178"/>
      <c r="AS31" s="166" t="s">
        <v>741</v>
      </c>
      <c r="AT31" s="179" t="s">
        <v>742</v>
      </c>
      <c r="AU31" s="166" t="s">
        <v>742</v>
      </c>
      <c r="AV31" s="180"/>
      <c r="AW31" s="161" t="s">
        <v>743</v>
      </c>
      <c r="AX31" s="181">
        <v>5118399.22</v>
      </c>
      <c r="AY31" s="181"/>
      <c r="AZ31" s="181">
        <f t="shared" si="22"/>
        <v>5118399.22</v>
      </c>
      <c r="BA31" s="181"/>
      <c r="BB31" s="174" t="s">
        <v>744</v>
      </c>
      <c r="BC31" s="177" t="s">
        <v>745</v>
      </c>
      <c r="BD31" s="182">
        <v>100</v>
      </c>
      <c r="BE31" s="183">
        <f t="shared" si="3"/>
        <v>0</v>
      </c>
      <c r="BF31" s="183">
        <f t="shared" si="4"/>
        <v>0</v>
      </c>
      <c r="BG31" s="183">
        <f t="shared" si="5"/>
        <v>0</v>
      </c>
      <c r="BH31" s="183">
        <f t="shared" si="6"/>
        <v>0</v>
      </c>
      <c r="BI31" s="183">
        <f t="shared" si="7"/>
        <v>0</v>
      </c>
      <c r="BJ31" s="183">
        <f t="shared" si="8"/>
        <v>0</v>
      </c>
      <c r="BK31" s="183">
        <f t="shared" si="9"/>
        <v>0</v>
      </c>
      <c r="BL31" s="183">
        <f t="shared" si="10"/>
        <v>0</v>
      </c>
      <c r="BM31" s="183">
        <f t="shared" si="11"/>
        <v>0</v>
      </c>
      <c r="BN31" s="183">
        <f t="shared" si="12"/>
        <v>0</v>
      </c>
      <c r="BO31" s="183">
        <f t="shared" si="13"/>
        <v>0</v>
      </c>
      <c r="BP31" s="183">
        <f t="shared" si="14"/>
        <v>0</v>
      </c>
      <c r="BQ31" s="184">
        <f t="shared" si="15"/>
        <v>5118399.22</v>
      </c>
      <c r="BR31" s="185">
        <v>100</v>
      </c>
      <c r="BS31" s="186">
        <f t="shared" si="16"/>
        <v>5118399.22</v>
      </c>
      <c r="BT31" s="187"/>
      <c r="BU31" s="181">
        <f t="shared" si="17"/>
        <v>5118399.22</v>
      </c>
      <c r="BV31" s="187">
        <v>0</v>
      </c>
      <c r="BW31" s="183" t="str">
        <f t="shared" si="18"/>
        <v>30+</v>
      </c>
      <c r="BX31" s="183" t="str">
        <f t="shared" si="19"/>
        <v>&lt;0.25</v>
      </c>
      <c r="BY31" s="188"/>
      <c r="BZ31" s="183" t="str">
        <f t="shared" si="20"/>
        <v>FL 30+</v>
      </c>
    </row>
    <row r="32" spans="1:78">
      <c r="A32" s="158" t="s">
        <v>481</v>
      </c>
      <c r="B32" s="159"/>
      <c r="C32" s="160">
        <v>45777</v>
      </c>
      <c r="D32" s="161" t="s">
        <v>731</v>
      </c>
      <c r="E32" s="158" t="s">
        <v>810</v>
      </c>
      <c r="F32" s="162" t="s">
        <v>811</v>
      </c>
      <c r="G32" s="163" t="s">
        <v>734</v>
      </c>
      <c r="H32" s="164">
        <v>2051982.1099999999</v>
      </c>
      <c r="I32" s="165"/>
      <c r="J32" s="163" t="s">
        <v>12</v>
      </c>
      <c r="K32" s="163" t="s">
        <v>735</v>
      </c>
      <c r="L32" s="166" t="s">
        <v>775</v>
      </c>
      <c r="M32" s="166" t="s">
        <v>737</v>
      </c>
      <c r="N32" s="167">
        <f>+VLOOKUP(A32, [2]Sheet2!$M$3:$Z$76, 14, FALSE)</f>
        <v>9.7992000000000024E-2</v>
      </c>
      <c r="O32" s="168" t="s">
        <v>738</v>
      </c>
      <c r="P32" s="167">
        <v>0.01</v>
      </c>
      <c r="Q32" s="167">
        <f>+VLOOKUP($A32, [2]Sheet2!$M$3:$Z$76, 13, FALSE)</f>
        <v>5.5E-2</v>
      </c>
      <c r="R32" s="166">
        <v>3</v>
      </c>
      <c r="S32" s="165"/>
      <c r="T32" s="167" t="s">
        <v>739</v>
      </c>
      <c r="U32" s="163">
        <f t="shared" si="21"/>
        <v>1.5027777777777778</v>
      </c>
      <c r="V32" s="170">
        <v>46327</v>
      </c>
      <c r="W32" s="163" t="s">
        <v>740</v>
      </c>
      <c r="X32" s="171">
        <v>100</v>
      </c>
      <c r="Y32" s="172"/>
      <c r="Z32" s="173"/>
      <c r="AA32" s="173"/>
      <c r="AB32" s="174">
        <v>30.91</v>
      </c>
      <c r="AC32" s="175">
        <v>4.26</v>
      </c>
      <c r="AD32" s="175">
        <v>3</v>
      </c>
      <c r="AE32" s="175"/>
      <c r="AF32" s="176">
        <v>3</v>
      </c>
      <c r="AG32" s="170">
        <f>+VLOOKUP($A32, [2]Sheet2!$M$3:$X$76, 8, FALSE)</f>
        <v>45716</v>
      </c>
      <c r="AH32" s="163"/>
      <c r="AI32" s="176">
        <f>+VLOOKUP(A32, [2]Sheet2!$M$3:$X$76, 9, FALSE)</f>
        <v>3.2535092072297247</v>
      </c>
      <c r="AJ32" s="177">
        <f>+VLOOKUP($A32, [2]Sheet2!$M$3:$X$76, 10, FALSE)</f>
        <v>49.399276289999989</v>
      </c>
      <c r="AK32" s="175">
        <f t="shared" si="0"/>
        <v>-0.2535092072297247</v>
      </c>
      <c r="AL32" s="175"/>
      <c r="AM32" s="176">
        <f>+VLOOKUP($A32, [2]Sheet2!$M$3:$X$76, 11, FALSE)</f>
        <v>3.2535092072297247</v>
      </c>
      <c r="AN32" s="176">
        <f t="shared" si="1"/>
        <v>-0.2535092072297247</v>
      </c>
      <c r="AO32" s="176">
        <f>+VLOOKUP($A32, [2]Sheet2!$M$3:$X$76, 12, FALSE)</f>
        <v>3.0077525018838136</v>
      </c>
      <c r="AP32" s="176">
        <f t="shared" si="2"/>
        <v>1.2522474981161862</v>
      </c>
      <c r="AQ32" s="178"/>
      <c r="AR32" s="178"/>
      <c r="AS32" s="166" t="s">
        <v>741</v>
      </c>
      <c r="AT32" s="179" t="s">
        <v>742</v>
      </c>
      <c r="AU32" s="166" t="s">
        <v>742</v>
      </c>
      <c r="AV32" s="180"/>
      <c r="AW32" s="161" t="s">
        <v>743</v>
      </c>
      <c r="AX32" s="181">
        <v>2051982.1099999999</v>
      </c>
      <c r="AY32" s="181"/>
      <c r="AZ32" s="181">
        <f t="shared" si="22"/>
        <v>2051982.1099999999</v>
      </c>
      <c r="BA32" s="181"/>
      <c r="BB32" s="174" t="s">
        <v>744</v>
      </c>
      <c r="BC32" s="177" t="s">
        <v>744</v>
      </c>
      <c r="BD32" s="182">
        <v>100</v>
      </c>
      <c r="BE32" s="183">
        <f t="shared" si="3"/>
        <v>0</v>
      </c>
      <c r="BF32" s="183">
        <f t="shared" si="4"/>
        <v>0</v>
      </c>
      <c r="BG32" s="183">
        <f t="shared" si="5"/>
        <v>0</v>
      </c>
      <c r="BH32" s="183">
        <f t="shared" si="6"/>
        <v>0</v>
      </c>
      <c r="BI32" s="183">
        <f t="shared" si="7"/>
        <v>0</v>
      </c>
      <c r="BJ32" s="183">
        <f t="shared" si="8"/>
        <v>0</v>
      </c>
      <c r="BK32" s="183">
        <f t="shared" si="9"/>
        <v>0</v>
      </c>
      <c r="BL32" s="183">
        <f t="shared" si="10"/>
        <v>0</v>
      </c>
      <c r="BM32" s="183">
        <f t="shared" si="11"/>
        <v>0</v>
      </c>
      <c r="BN32" s="183">
        <f t="shared" si="12"/>
        <v>0</v>
      </c>
      <c r="BO32" s="183">
        <f t="shared" si="13"/>
        <v>0</v>
      </c>
      <c r="BP32" s="183">
        <f t="shared" si="14"/>
        <v>0</v>
      </c>
      <c r="BQ32" s="184">
        <f t="shared" si="15"/>
        <v>2051982.1099999999</v>
      </c>
      <c r="BR32" s="185">
        <v>100</v>
      </c>
      <c r="BS32" s="186">
        <f t="shared" si="16"/>
        <v>2051982.11</v>
      </c>
      <c r="BT32" s="187"/>
      <c r="BU32" s="181">
        <f t="shared" si="17"/>
        <v>2051982.11</v>
      </c>
      <c r="BV32" s="187">
        <v>0</v>
      </c>
      <c r="BW32" s="183" t="str">
        <f t="shared" si="18"/>
        <v>30+</v>
      </c>
      <c r="BX32" s="183" t="str">
        <f t="shared" si="19"/>
        <v>&lt;0.25</v>
      </c>
      <c r="BY32" s="188"/>
      <c r="BZ32" s="183" t="str">
        <f t="shared" si="20"/>
        <v>FL 30+</v>
      </c>
    </row>
    <row r="33" spans="1:78">
      <c r="A33" s="158" t="s">
        <v>483</v>
      </c>
      <c r="B33" s="159"/>
      <c r="C33" s="160">
        <v>45777</v>
      </c>
      <c r="D33" s="161" t="s">
        <v>731</v>
      </c>
      <c r="E33" s="158" t="s">
        <v>812</v>
      </c>
      <c r="F33" s="162" t="s">
        <v>813</v>
      </c>
      <c r="G33" s="163" t="s">
        <v>734</v>
      </c>
      <c r="H33" s="164">
        <v>1975484.48</v>
      </c>
      <c r="I33" s="165"/>
      <c r="J33" s="163" t="s">
        <v>12</v>
      </c>
      <c r="K33" s="163" t="s">
        <v>735</v>
      </c>
      <c r="L33" s="166" t="s">
        <v>814</v>
      </c>
      <c r="M33" s="166" t="s">
        <v>737</v>
      </c>
      <c r="N33" s="167">
        <f>+VLOOKUP(A33, [2]Sheet2!$M$3:$Z$76, 14, FALSE)</f>
        <v>0.119394</v>
      </c>
      <c r="O33" s="168" t="s">
        <v>738</v>
      </c>
      <c r="P33" s="167">
        <v>0.01</v>
      </c>
      <c r="Q33" s="167">
        <f>+VLOOKUP($A33, [2]Sheet2!$M$3:$Z$76, 13, FALSE)</f>
        <v>7.6100000000000001E-2</v>
      </c>
      <c r="R33" s="166">
        <v>3</v>
      </c>
      <c r="S33" s="195"/>
      <c r="T33" s="167" t="s">
        <v>739</v>
      </c>
      <c r="U33" s="163">
        <f t="shared" si="21"/>
        <v>0.16666666666666666</v>
      </c>
      <c r="V33" s="170">
        <v>45838</v>
      </c>
      <c r="W33" s="163" t="s">
        <v>740</v>
      </c>
      <c r="X33" s="171">
        <v>100</v>
      </c>
      <c r="Y33" s="196"/>
      <c r="Z33" s="197"/>
      <c r="AA33" s="173"/>
      <c r="AB33" s="174">
        <v>50.402999999999999</v>
      </c>
      <c r="AC33" s="175">
        <v>1.6109885895100202</v>
      </c>
      <c r="AD33" s="175">
        <v>5.0177507886435331</v>
      </c>
      <c r="AE33" s="175"/>
      <c r="AF33" s="176">
        <v>5.0177507886435331</v>
      </c>
      <c r="AG33" s="170">
        <f>+VLOOKUP($A33, [2]Sheet2!$M$3:$X$76, 8, FALSE)</f>
        <v>45716</v>
      </c>
      <c r="AH33" s="163"/>
      <c r="AI33" s="176">
        <f>+VLOOKUP(A33, [2]Sheet2!$M$3:$X$76, 9, FALSE)</f>
        <v>4.9069445238279146</v>
      </c>
      <c r="AJ33" s="177">
        <f>+VLOOKUP($A33, [2]Sheet2!$M$3:$X$76, 10, FALSE)</f>
        <v>51.787999999999997</v>
      </c>
      <c r="AK33" s="175">
        <f t="shared" si="0"/>
        <v>0.1108062648156185</v>
      </c>
      <c r="AL33" s="175"/>
      <c r="AM33" s="176">
        <f>+VLOOKUP($A33, [2]Sheet2!$M$3:$X$76, 11, FALSE)</f>
        <v>4.9069445238279146</v>
      </c>
      <c r="AN33" s="176">
        <f t="shared" si="1"/>
        <v>0.1108062648156185</v>
      </c>
      <c r="AO33" s="176">
        <f>+VLOOKUP($A33, [2]Sheet2!$M$3:$X$76, 12, FALSE)</f>
        <v>1.4563554555680538</v>
      </c>
      <c r="AP33" s="176">
        <f t="shared" si="2"/>
        <v>0.15463313394196643</v>
      </c>
      <c r="AQ33" s="178"/>
      <c r="AR33" s="178"/>
      <c r="AS33" s="166" t="s">
        <v>741</v>
      </c>
      <c r="AT33" s="179" t="s">
        <v>742</v>
      </c>
      <c r="AU33" s="166" t="s">
        <v>742</v>
      </c>
      <c r="AV33" s="198"/>
      <c r="AW33" s="161" t="s">
        <v>743</v>
      </c>
      <c r="AX33" s="181">
        <v>1975484.48</v>
      </c>
      <c r="AY33" s="181"/>
      <c r="AZ33" s="181">
        <f t="shared" si="22"/>
        <v>1975484.48</v>
      </c>
      <c r="BA33" s="181"/>
      <c r="BB33" s="174" t="s">
        <v>744</v>
      </c>
      <c r="BC33" s="177" t="s">
        <v>744</v>
      </c>
      <c r="BD33" s="182">
        <v>100</v>
      </c>
      <c r="BE33" s="183">
        <f t="shared" si="3"/>
        <v>0</v>
      </c>
      <c r="BF33" s="183">
        <f t="shared" si="4"/>
        <v>0</v>
      </c>
      <c r="BG33" s="183">
        <f t="shared" si="5"/>
        <v>0</v>
      </c>
      <c r="BH33" s="183">
        <f t="shared" si="6"/>
        <v>0</v>
      </c>
      <c r="BI33" s="183">
        <f t="shared" si="7"/>
        <v>0</v>
      </c>
      <c r="BJ33" s="183">
        <f t="shared" si="8"/>
        <v>0</v>
      </c>
      <c r="BK33" s="183">
        <f t="shared" si="9"/>
        <v>0</v>
      </c>
      <c r="BL33" s="183">
        <f t="shared" si="10"/>
        <v>0</v>
      </c>
      <c r="BM33" s="183">
        <f t="shared" si="11"/>
        <v>0</v>
      </c>
      <c r="BN33" s="183">
        <f t="shared" si="12"/>
        <v>0</v>
      </c>
      <c r="BO33" s="183">
        <f t="shared" si="13"/>
        <v>0</v>
      </c>
      <c r="BP33" s="183">
        <f t="shared" si="14"/>
        <v>0</v>
      </c>
      <c r="BQ33" s="184">
        <f t="shared" si="15"/>
        <v>1975484.48</v>
      </c>
      <c r="BR33" s="185">
        <v>100</v>
      </c>
      <c r="BS33" s="186">
        <f t="shared" si="16"/>
        <v>1975484.48</v>
      </c>
      <c r="BT33" s="187"/>
      <c r="BU33" s="181">
        <f t="shared" si="17"/>
        <v>1975484.48</v>
      </c>
      <c r="BV33" s="187">
        <v>0</v>
      </c>
      <c r="BW33" s="183" t="str">
        <f t="shared" si="18"/>
        <v>30+</v>
      </c>
      <c r="BX33" s="183" t="str">
        <f t="shared" si="19"/>
        <v>&lt;0.25</v>
      </c>
      <c r="BY33" s="188"/>
      <c r="BZ33" s="183" t="str">
        <f t="shared" si="20"/>
        <v>FL 30+</v>
      </c>
    </row>
    <row r="34" spans="1:78">
      <c r="A34" s="158" t="s">
        <v>484</v>
      </c>
      <c r="B34" s="159"/>
      <c r="C34" s="160">
        <v>45777</v>
      </c>
      <c r="D34" s="161" t="s">
        <v>731</v>
      </c>
      <c r="E34" s="158" t="s">
        <v>815</v>
      </c>
      <c r="F34" s="162" t="s">
        <v>816</v>
      </c>
      <c r="G34" s="163" t="s">
        <v>734</v>
      </c>
      <c r="H34" s="164">
        <v>3328030.85</v>
      </c>
      <c r="I34" s="165"/>
      <c r="J34" s="163" t="s">
        <v>12</v>
      </c>
      <c r="K34" s="163" t="s">
        <v>735</v>
      </c>
      <c r="L34" s="166" t="s">
        <v>817</v>
      </c>
      <c r="M34" s="166" t="s">
        <v>737</v>
      </c>
      <c r="N34" s="167">
        <f>+VLOOKUP(A34, [2]Sheet2!$M$3:$Z$76, 14, FALSE)</f>
        <v>0.12139999999999999</v>
      </c>
      <c r="O34" s="168" t="s">
        <v>738</v>
      </c>
      <c r="P34" s="167">
        <v>0.01</v>
      </c>
      <c r="Q34" s="167">
        <f>+VLOOKUP($A34, [2]Sheet2!$M$3:$Z$76, 13, FALSE)</f>
        <v>7.85E-2</v>
      </c>
      <c r="R34" s="166">
        <v>3</v>
      </c>
      <c r="S34" s="165"/>
      <c r="T34" s="167" t="s">
        <v>739</v>
      </c>
      <c r="U34" s="163">
        <f t="shared" si="21"/>
        <v>1.8</v>
      </c>
      <c r="V34" s="170">
        <v>46436</v>
      </c>
      <c r="W34" s="163" t="s">
        <v>740</v>
      </c>
      <c r="X34" s="171">
        <v>100</v>
      </c>
      <c r="Y34" s="172"/>
      <c r="Z34" s="173"/>
      <c r="AA34" s="173"/>
      <c r="AB34" s="174">
        <v>57.462617000000002</v>
      </c>
      <c r="AC34" s="175">
        <v>2.2122977582240817</v>
      </c>
      <c r="AD34" s="175">
        <v>5.5235911027163969</v>
      </c>
      <c r="AE34" s="175"/>
      <c r="AF34" s="176">
        <v>5.5235911027163969</v>
      </c>
      <c r="AG34" s="170">
        <f>+VLOOKUP($A34, [2]Sheet2!$M$3:$X$76, 8, FALSE)</f>
        <v>45716</v>
      </c>
      <c r="AH34" s="163"/>
      <c r="AI34" s="176">
        <f>+VLOOKUP(A34, [2]Sheet2!$M$3:$X$76, 9, FALSE)</f>
        <v>8.2594417660981527</v>
      </c>
      <c r="AJ34" s="177">
        <f>+VLOOKUP($A34, [2]Sheet2!$M$3:$X$76, 10, FALSE)</f>
        <v>60.446582071593596</v>
      </c>
      <c r="AK34" s="175">
        <f t="shared" si="0"/>
        <v>-2.7358506633817559</v>
      </c>
      <c r="AL34" s="175"/>
      <c r="AM34" s="176">
        <f>+VLOOKUP($A34, [2]Sheet2!$M$3:$X$76, 11, FALSE)</f>
        <v>8.2594417660981527</v>
      </c>
      <c r="AN34" s="176">
        <f t="shared" si="1"/>
        <v>-2.7358506633817559</v>
      </c>
      <c r="AO34" s="176">
        <f>+VLOOKUP($A34, [2]Sheet2!$M$3:$X$76, 12, FALSE)</f>
        <v>0.91660285040263578</v>
      </c>
      <c r="AP34" s="176">
        <f t="shared" si="2"/>
        <v>1.2956949078214459</v>
      </c>
      <c r="AQ34" s="178"/>
      <c r="AR34" s="178"/>
      <c r="AS34" s="166" t="s">
        <v>741</v>
      </c>
      <c r="AT34" s="179" t="s">
        <v>742</v>
      </c>
      <c r="AU34" s="166" t="s">
        <v>742</v>
      </c>
      <c r="AV34" s="180"/>
      <c r="AW34" s="161" t="s">
        <v>743</v>
      </c>
      <c r="AX34" s="181">
        <v>3328030.85</v>
      </c>
      <c r="AY34" s="181">
        <v>466418.03</v>
      </c>
      <c r="AZ34" s="181">
        <f t="shared" si="22"/>
        <v>2861612.8200000003</v>
      </c>
      <c r="BA34" s="181"/>
      <c r="BB34" s="174" t="s">
        <v>744</v>
      </c>
      <c r="BC34" s="177" t="s">
        <v>744</v>
      </c>
      <c r="BD34" s="190">
        <v>50</v>
      </c>
      <c r="BE34" s="183">
        <f t="shared" si="3"/>
        <v>0</v>
      </c>
      <c r="BF34" s="183">
        <f t="shared" si="4"/>
        <v>0</v>
      </c>
      <c r="BG34" s="183">
        <f t="shared" si="5"/>
        <v>0</v>
      </c>
      <c r="BH34" s="183">
        <f t="shared" si="6"/>
        <v>0</v>
      </c>
      <c r="BI34" s="183">
        <f t="shared" si="7"/>
        <v>0</v>
      </c>
      <c r="BJ34" s="183">
        <f t="shared" si="8"/>
        <v>0</v>
      </c>
      <c r="BK34" s="183">
        <f t="shared" si="9"/>
        <v>0</v>
      </c>
      <c r="BL34" s="183">
        <f t="shared" si="10"/>
        <v>0</v>
      </c>
      <c r="BM34" s="183">
        <f t="shared" si="11"/>
        <v>0</v>
      </c>
      <c r="BN34" s="183">
        <f t="shared" si="12"/>
        <v>1</v>
      </c>
      <c r="BO34" s="183">
        <f t="shared" si="13"/>
        <v>0</v>
      </c>
      <c r="BP34" s="183">
        <f t="shared" si="14"/>
        <v>0</v>
      </c>
      <c r="BQ34" s="184">
        <f t="shared" si="15"/>
        <v>3328030.85</v>
      </c>
      <c r="BR34" s="185">
        <v>50</v>
      </c>
      <c r="BS34" s="186">
        <f t="shared" si="16"/>
        <v>1430806.41</v>
      </c>
      <c r="BT34" s="187"/>
      <c r="BU34" s="181">
        <f t="shared" si="17"/>
        <v>1430806.41</v>
      </c>
      <c r="BV34" s="187">
        <v>0</v>
      </c>
      <c r="BW34" s="183" t="str">
        <f t="shared" si="18"/>
        <v>30+</v>
      </c>
      <c r="BX34" s="183" t="str">
        <f t="shared" si="19"/>
        <v>&lt;0.25</v>
      </c>
      <c r="BY34" s="188"/>
      <c r="BZ34" s="183" t="str">
        <f t="shared" si="20"/>
        <v>FL 30+</v>
      </c>
    </row>
    <row r="35" spans="1:78">
      <c r="A35" s="158" t="s">
        <v>485</v>
      </c>
      <c r="B35" s="159"/>
      <c r="C35" s="160">
        <v>45777</v>
      </c>
      <c r="D35" s="161" t="s">
        <v>731</v>
      </c>
      <c r="E35" s="158" t="s">
        <v>818</v>
      </c>
      <c r="F35" s="162" t="s">
        <v>819</v>
      </c>
      <c r="G35" s="163" t="s">
        <v>734</v>
      </c>
      <c r="H35" s="164">
        <v>4792248.26</v>
      </c>
      <c r="I35" s="165"/>
      <c r="J35" s="163" t="s">
        <v>12</v>
      </c>
      <c r="K35" s="163" t="s">
        <v>735</v>
      </c>
      <c r="L35" s="166" t="s">
        <v>820</v>
      </c>
      <c r="M35" s="166" t="s">
        <v>737</v>
      </c>
      <c r="N35" s="167">
        <f>+VLOOKUP(A35, [2]Sheet2!$M$3:$Z$76, 14, FALSE)</f>
        <v>9.3123541537808122E-2</v>
      </c>
      <c r="O35" s="168" t="s">
        <v>738</v>
      </c>
      <c r="P35" s="167">
        <v>0.01</v>
      </c>
      <c r="Q35" s="167">
        <f>+VLOOKUP($A35, [2]Sheet2!$M$3:$Z$76, 13, FALSE)</f>
        <v>0.05</v>
      </c>
      <c r="R35" s="166">
        <v>3</v>
      </c>
      <c r="S35" s="165"/>
      <c r="T35" s="167" t="s">
        <v>739</v>
      </c>
      <c r="U35" s="163">
        <f t="shared" si="21"/>
        <v>3.2361111111111112</v>
      </c>
      <c r="V35" s="170">
        <v>46959</v>
      </c>
      <c r="W35" s="163" t="s">
        <v>740</v>
      </c>
      <c r="X35" s="171">
        <v>100</v>
      </c>
      <c r="Y35" s="172"/>
      <c r="Z35" s="173"/>
      <c r="AA35" s="173"/>
      <c r="AB35" s="174">
        <v>28.897803573610418</v>
      </c>
      <c r="AC35" s="175">
        <v>2.33</v>
      </c>
      <c r="AD35" s="175">
        <v>5.2262470985122205</v>
      </c>
      <c r="AE35" s="175"/>
      <c r="AF35" s="176">
        <v>6.8671074569548818</v>
      </c>
      <c r="AG35" s="170">
        <f>+VLOOKUP($A35, [2]Sheet2!$M$3:$X$76, 8, FALSE)</f>
        <v>45688</v>
      </c>
      <c r="AH35" s="163"/>
      <c r="AI35" s="176">
        <f>+VLOOKUP(A35, [2]Sheet2!$M$3:$X$76, 9, FALSE)</f>
        <v>5.3256205426655638</v>
      </c>
      <c r="AJ35" s="177">
        <f>+VLOOKUP($A35, [2]Sheet2!$M$3:$X$76, 10, FALSE)</f>
        <v>33.919817695016306</v>
      </c>
      <c r="AK35" s="175">
        <f t="shared" si="0"/>
        <v>-9.9373444153343371E-2</v>
      </c>
      <c r="AL35" s="175"/>
      <c r="AM35" s="176">
        <f>+VLOOKUP($A35, [2]Sheet2!$M$3:$X$76, 11, FALSE)</f>
        <v>7.0945969723005629</v>
      </c>
      <c r="AN35" s="176">
        <f t="shared" si="1"/>
        <v>-0.22748951534568107</v>
      </c>
      <c r="AO35" s="176">
        <f>+VLOOKUP($A35, [2]Sheet2!$M$3:$X$76, 12, FALSE)</f>
        <v>2.33</v>
      </c>
      <c r="AP35" s="176">
        <f t="shared" si="2"/>
        <v>0</v>
      </c>
      <c r="AQ35" s="178"/>
      <c r="AR35" s="178"/>
      <c r="AS35" s="166" t="s">
        <v>741</v>
      </c>
      <c r="AT35" s="179" t="s">
        <v>742</v>
      </c>
      <c r="AU35" s="166" t="s">
        <v>742</v>
      </c>
      <c r="AV35" s="180"/>
      <c r="AW35" s="161" t="s">
        <v>743</v>
      </c>
      <c r="AX35" s="181">
        <v>4792248.26</v>
      </c>
      <c r="AY35" s="181"/>
      <c r="AZ35" s="181">
        <f t="shared" si="22"/>
        <v>4792248.26</v>
      </c>
      <c r="BA35" s="181"/>
      <c r="BB35" s="174" t="s">
        <v>744</v>
      </c>
      <c r="BC35" s="177" t="s">
        <v>745</v>
      </c>
      <c r="BD35" s="182">
        <v>100</v>
      </c>
      <c r="BE35" s="183">
        <f t="shared" si="3"/>
        <v>0</v>
      </c>
      <c r="BF35" s="183">
        <f t="shared" si="4"/>
        <v>0</v>
      </c>
      <c r="BG35" s="183">
        <f t="shared" si="5"/>
        <v>0</v>
      </c>
      <c r="BH35" s="183">
        <f t="shared" si="6"/>
        <v>0</v>
      </c>
      <c r="BI35" s="183">
        <f t="shared" si="7"/>
        <v>0</v>
      </c>
      <c r="BJ35" s="183">
        <f t="shared" si="8"/>
        <v>0</v>
      </c>
      <c r="BK35" s="183">
        <f t="shared" si="9"/>
        <v>0</v>
      </c>
      <c r="BL35" s="183">
        <f t="shared" si="10"/>
        <v>0</v>
      </c>
      <c r="BM35" s="183">
        <f t="shared" si="11"/>
        <v>0</v>
      </c>
      <c r="BN35" s="183">
        <f t="shared" si="12"/>
        <v>0</v>
      </c>
      <c r="BO35" s="183">
        <f t="shared" si="13"/>
        <v>0</v>
      </c>
      <c r="BP35" s="183">
        <f t="shared" si="14"/>
        <v>0</v>
      </c>
      <c r="BQ35" s="184">
        <f t="shared" si="15"/>
        <v>4792248.26</v>
      </c>
      <c r="BR35" s="185">
        <v>100</v>
      </c>
      <c r="BS35" s="186">
        <f t="shared" si="16"/>
        <v>4792248.26</v>
      </c>
      <c r="BT35" s="187"/>
      <c r="BU35" s="181">
        <f t="shared" si="17"/>
        <v>4792248.26</v>
      </c>
      <c r="BV35" s="187">
        <v>0</v>
      </c>
      <c r="BW35" s="183" t="str">
        <f t="shared" si="18"/>
        <v>30+</v>
      </c>
      <c r="BX35" s="183" t="str">
        <f t="shared" si="19"/>
        <v>&lt;0.25</v>
      </c>
      <c r="BY35" s="188"/>
      <c r="BZ35" s="183" t="str">
        <f t="shared" si="20"/>
        <v>FL 30+</v>
      </c>
    </row>
    <row r="36" spans="1:78">
      <c r="A36" s="158" t="s">
        <v>487</v>
      </c>
      <c r="B36" s="159"/>
      <c r="C36" s="160">
        <v>45777</v>
      </c>
      <c r="D36" s="161" t="s">
        <v>731</v>
      </c>
      <c r="E36" s="158" t="s">
        <v>821</v>
      </c>
      <c r="F36" s="162" t="s">
        <v>822</v>
      </c>
      <c r="G36" s="163" t="s">
        <v>734</v>
      </c>
      <c r="H36" s="164">
        <v>4942556.4000000004</v>
      </c>
      <c r="I36" s="165"/>
      <c r="J36" s="163" t="s">
        <v>12</v>
      </c>
      <c r="K36" s="163" t="s">
        <v>735</v>
      </c>
      <c r="L36" s="166" t="s">
        <v>814</v>
      </c>
      <c r="M36" s="166" t="s">
        <v>737</v>
      </c>
      <c r="N36" s="167">
        <f>+VLOOKUP(A36, [2]Sheet2!$M$3:$Z$76, 14, FALSE)</f>
        <v>9.8176596992610374E-2</v>
      </c>
      <c r="O36" s="168" t="s">
        <v>738</v>
      </c>
      <c r="P36" s="167">
        <v>0.01</v>
      </c>
      <c r="Q36" s="167">
        <f>+VLOOKUP($A36, [2]Sheet2!$M$3:$Z$76, 13, FALSE)</f>
        <v>5.5E-2</v>
      </c>
      <c r="R36" s="166">
        <v>3</v>
      </c>
      <c r="S36" s="165"/>
      <c r="T36" s="167" t="s">
        <v>739</v>
      </c>
      <c r="U36" s="163">
        <f t="shared" si="21"/>
        <v>4.8361111111111112</v>
      </c>
      <c r="V36" s="170">
        <v>47543</v>
      </c>
      <c r="W36" s="163" t="s">
        <v>740</v>
      </c>
      <c r="X36" s="171">
        <v>100</v>
      </c>
      <c r="Y36" s="172"/>
      <c r="Z36" s="173"/>
      <c r="AA36" s="173"/>
      <c r="AB36" s="174">
        <v>28.454999999999998</v>
      </c>
      <c r="AC36" s="175">
        <v>1.8477272727272727</v>
      </c>
      <c r="AD36" s="175">
        <v>4.8953569991214207</v>
      </c>
      <c r="AE36" s="175"/>
      <c r="AF36" s="176">
        <v>4.8953569991214207</v>
      </c>
      <c r="AG36" s="170">
        <f>+VLOOKUP($A36, [2]Sheet2!$M$3:$X$76, 8, FALSE)</f>
        <v>45716</v>
      </c>
      <c r="AH36" s="163"/>
      <c r="AI36" s="176">
        <f>+VLOOKUP(A36, [2]Sheet2!$M$3:$X$76, 9, FALSE)</f>
        <v>7.1829156010230184</v>
      </c>
      <c r="AJ36" s="177">
        <f>+VLOOKUP($A36, [2]Sheet2!$M$3:$X$76, 10, FALSE)</f>
        <v>19.549999999999997</v>
      </c>
      <c r="AK36" s="175">
        <f t="shared" si="0"/>
        <v>-2.2875586019015977</v>
      </c>
      <c r="AL36" s="175"/>
      <c r="AM36" s="176">
        <f>+VLOOKUP($A36, [2]Sheet2!$M$3:$X$76, 11, FALSE)</f>
        <v>7.1829156010230184</v>
      </c>
      <c r="AN36" s="176">
        <f t="shared" si="1"/>
        <v>-2.2875586019015977</v>
      </c>
      <c r="AO36" s="176">
        <f>+VLOOKUP($A36, [2]Sheet2!$M$3:$X$76, 12, FALSE)</f>
        <v>1.2849162011173183</v>
      </c>
      <c r="AP36" s="176">
        <f t="shared" si="2"/>
        <v>0.56281107160995436</v>
      </c>
      <c r="AQ36" s="178"/>
      <c r="AR36" s="178"/>
      <c r="AS36" s="166" t="s">
        <v>741</v>
      </c>
      <c r="AT36" s="179" t="s">
        <v>742</v>
      </c>
      <c r="AU36" s="166" t="s">
        <v>742</v>
      </c>
      <c r="AV36" s="180"/>
      <c r="AW36" s="161" t="s">
        <v>743</v>
      </c>
      <c r="AX36" s="181">
        <v>4942556.4000000004</v>
      </c>
      <c r="AY36" s="181"/>
      <c r="AZ36" s="181">
        <f t="shared" si="22"/>
        <v>4942556.4000000004</v>
      </c>
      <c r="BA36" s="181"/>
      <c r="BB36" s="174" t="s">
        <v>744</v>
      </c>
      <c r="BC36" s="177" t="s">
        <v>744</v>
      </c>
      <c r="BD36" s="190">
        <v>90</v>
      </c>
      <c r="BE36" s="183">
        <f t="shared" si="3"/>
        <v>0</v>
      </c>
      <c r="BF36" s="183">
        <f t="shared" si="4"/>
        <v>0</v>
      </c>
      <c r="BG36" s="183">
        <f t="shared" si="5"/>
        <v>0</v>
      </c>
      <c r="BH36" s="183">
        <f t="shared" si="6"/>
        <v>0</v>
      </c>
      <c r="BI36" s="183">
        <f t="shared" si="7"/>
        <v>0</v>
      </c>
      <c r="BJ36" s="183">
        <f t="shared" si="8"/>
        <v>0</v>
      </c>
      <c r="BK36" s="183">
        <f t="shared" si="9"/>
        <v>0</v>
      </c>
      <c r="BL36" s="183">
        <f t="shared" si="10"/>
        <v>0</v>
      </c>
      <c r="BM36" s="183">
        <f t="shared" si="11"/>
        <v>0</v>
      </c>
      <c r="BN36" s="183">
        <f t="shared" si="12"/>
        <v>1</v>
      </c>
      <c r="BO36" s="183">
        <f t="shared" si="13"/>
        <v>0</v>
      </c>
      <c r="BP36" s="183">
        <f t="shared" si="14"/>
        <v>0</v>
      </c>
      <c r="BQ36" s="184">
        <f t="shared" si="15"/>
        <v>4942556.4000000004</v>
      </c>
      <c r="BR36" s="185">
        <v>90</v>
      </c>
      <c r="BS36" s="186">
        <f t="shared" si="16"/>
        <v>4448300.7600000007</v>
      </c>
      <c r="BT36" s="187"/>
      <c r="BU36" s="181">
        <f t="shared" si="17"/>
        <v>4448300.7600000007</v>
      </c>
      <c r="BV36" s="187">
        <v>0</v>
      </c>
      <c r="BW36" s="183" t="str">
        <f t="shared" si="18"/>
        <v>15-30</v>
      </c>
      <c r="BX36" s="183" t="str">
        <f t="shared" si="19"/>
        <v>&lt;0.25</v>
      </c>
      <c r="BY36" s="188"/>
      <c r="BZ36" s="183" t="str">
        <f t="shared" si="20"/>
        <v>FL 15-30</v>
      </c>
    </row>
    <row r="37" spans="1:78">
      <c r="A37" s="158" t="s">
        <v>488</v>
      </c>
      <c r="B37" s="159"/>
      <c r="C37" s="160">
        <v>45777</v>
      </c>
      <c r="D37" s="161" t="s">
        <v>731</v>
      </c>
      <c r="E37" s="158" t="s">
        <v>823</v>
      </c>
      <c r="F37" s="162" t="s">
        <v>824</v>
      </c>
      <c r="G37" s="163" t="s">
        <v>734</v>
      </c>
      <c r="H37" s="164">
        <v>497493.74</v>
      </c>
      <c r="I37" s="189"/>
      <c r="J37" s="163" t="s">
        <v>12</v>
      </c>
      <c r="K37" s="163" t="s">
        <v>735</v>
      </c>
      <c r="L37" s="166" t="s">
        <v>825</v>
      </c>
      <c r="M37" s="166" t="s">
        <v>737</v>
      </c>
      <c r="N37" s="167">
        <f>+VLOOKUP(A37, [2]Sheet2!$M$3:$Z$76, 14, FALSE)</f>
        <v>8.324899999999999E-2</v>
      </c>
      <c r="O37" s="168" t="s">
        <v>738</v>
      </c>
      <c r="P37" s="167">
        <v>0.01</v>
      </c>
      <c r="Q37" s="167">
        <f>+VLOOKUP($A37, [2]Sheet2!$M$3:$Z$76, 13, FALSE)</f>
        <v>0.04</v>
      </c>
      <c r="R37" s="166">
        <v>3</v>
      </c>
      <c r="S37" s="165"/>
      <c r="T37" s="167" t="s">
        <v>739</v>
      </c>
      <c r="U37" s="163">
        <f t="shared" si="21"/>
        <v>3.6333333333333333</v>
      </c>
      <c r="V37" s="170">
        <v>47105</v>
      </c>
      <c r="W37" s="163" t="s">
        <v>740</v>
      </c>
      <c r="X37" s="171">
        <v>100</v>
      </c>
      <c r="Y37" s="172"/>
      <c r="Z37" s="173"/>
      <c r="AA37" s="173"/>
      <c r="AB37" s="174">
        <v>155.68</v>
      </c>
      <c r="AC37" s="175">
        <v>2.5638576439781953</v>
      </c>
      <c r="AD37" s="175">
        <v>3.7037512846865366</v>
      </c>
      <c r="AE37" s="175"/>
      <c r="AF37" s="176">
        <v>3.7037512846865366</v>
      </c>
      <c r="AG37" s="170">
        <f>+VLOOKUP($A37, [2]Sheet2!$M$3:$X$76, 8, FALSE)</f>
        <v>45565</v>
      </c>
      <c r="AH37" s="163"/>
      <c r="AI37" s="176">
        <f>+VLOOKUP(A37, [2]Sheet2!$M$3:$X$76, 9, FALSE)</f>
        <v>3.7037512846865366</v>
      </c>
      <c r="AJ37" s="177">
        <f>+VLOOKUP($A37, [2]Sheet2!$M$3:$X$76, 10, FALSE)</f>
        <v>155.68</v>
      </c>
      <c r="AK37" s="175">
        <f t="shared" si="0"/>
        <v>0</v>
      </c>
      <c r="AL37" s="175"/>
      <c r="AM37" s="176">
        <f>+VLOOKUP($A37, [2]Sheet2!$M$3:$X$76, 11, FALSE)</f>
        <v>3.7037512846865366</v>
      </c>
      <c r="AN37" s="176">
        <f t="shared" si="1"/>
        <v>0</v>
      </c>
      <c r="AO37" s="176">
        <f>+VLOOKUP($A37, [2]Sheet2!$M$3:$X$76, 12, FALSE)</f>
        <v>2.5638576439781953</v>
      </c>
      <c r="AP37" s="176">
        <f t="shared" si="2"/>
        <v>0</v>
      </c>
      <c r="AQ37" s="178"/>
      <c r="AR37" s="178"/>
      <c r="AS37" s="166" t="s">
        <v>741</v>
      </c>
      <c r="AT37" s="179" t="s">
        <v>742</v>
      </c>
      <c r="AU37" s="166" t="s">
        <v>742</v>
      </c>
      <c r="AV37" s="180"/>
      <c r="AW37" s="161" t="s">
        <v>743</v>
      </c>
      <c r="AX37" s="181">
        <v>497493.74</v>
      </c>
      <c r="AY37" s="181"/>
      <c r="AZ37" s="181">
        <f t="shared" si="22"/>
        <v>497493.74</v>
      </c>
      <c r="BA37" s="181"/>
      <c r="BB37" s="174" t="s">
        <v>744</v>
      </c>
      <c r="BC37" s="177" t="s">
        <v>745</v>
      </c>
      <c r="BD37" s="182">
        <v>100</v>
      </c>
      <c r="BE37" s="183">
        <f t="shared" si="3"/>
        <v>0</v>
      </c>
      <c r="BF37" s="183">
        <f t="shared" si="4"/>
        <v>0</v>
      </c>
      <c r="BG37" s="183">
        <f t="shared" si="5"/>
        <v>0</v>
      </c>
      <c r="BH37" s="183">
        <f t="shared" si="6"/>
        <v>0</v>
      </c>
      <c r="BI37" s="183">
        <f t="shared" si="7"/>
        <v>0</v>
      </c>
      <c r="BJ37" s="183">
        <f t="shared" si="8"/>
        <v>0</v>
      </c>
      <c r="BK37" s="183">
        <f t="shared" si="9"/>
        <v>0</v>
      </c>
      <c r="BL37" s="183">
        <f t="shared" si="10"/>
        <v>0</v>
      </c>
      <c r="BM37" s="183">
        <f t="shared" si="11"/>
        <v>0</v>
      </c>
      <c r="BN37" s="183">
        <f t="shared" si="12"/>
        <v>0</v>
      </c>
      <c r="BO37" s="183">
        <f t="shared" si="13"/>
        <v>0</v>
      </c>
      <c r="BP37" s="183">
        <f t="shared" si="14"/>
        <v>0</v>
      </c>
      <c r="BQ37" s="184">
        <f t="shared" si="15"/>
        <v>497493.74</v>
      </c>
      <c r="BR37" s="185">
        <v>100</v>
      </c>
      <c r="BS37" s="186">
        <f t="shared" si="16"/>
        <v>497493.74</v>
      </c>
      <c r="BT37" s="187"/>
      <c r="BU37" s="181">
        <f t="shared" si="17"/>
        <v>497493.74</v>
      </c>
      <c r="BV37" s="187">
        <v>0</v>
      </c>
      <c r="BW37" s="183" t="str">
        <f t="shared" si="18"/>
        <v>30+</v>
      </c>
      <c r="BX37" s="183" t="str">
        <f t="shared" si="19"/>
        <v>&lt;0.25</v>
      </c>
      <c r="BY37" s="188"/>
      <c r="BZ37" s="183" t="str">
        <f t="shared" si="20"/>
        <v>FL 30+</v>
      </c>
    </row>
    <row r="38" spans="1:78">
      <c r="A38" s="158" t="s">
        <v>490</v>
      </c>
      <c r="B38" s="159"/>
      <c r="C38" s="160">
        <v>45777</v>
      </c>
      <c r="D38" s="161" t="s">
        <v>731</v>
      </c>
      <c r="E38" s="158" t="s">
        <v>826</v>
      </c>
      <c r="F38" s="162" t="s">
        <v>827</v>
      </c>
      <c r="G38" s="163" t="s">
        <v>734</v>
      </c>
      <c r="H38" s="164">
        <v>2499911.11</v>
      </c>
      <c r="I38" s="165"/>
      <c r="J38" s="163" t="s">
        <v>12</v>
      </c>
      <c r="K38" s="163" t="s">
        <v>735</v>
      </c>
      <c r="L38" s="166" t="s">
        <v>748</v>
      </c>
      <c r="M38" s="166" t="s">
        <v>737</v>
      </c>
      <c r="N38" s="167">
        <f>+VLOOKUP(A38, [2]Sheet2!$M$3:$Z$76, 14, FALSE)</f>
        <v>9.4495621748138137E-2</v>
      </c>
      <c r="O38" s="168" t="s">
        <v>738</v>
      </c>
      <c r="P38" s="167">
        <v>0.01</v>
      </c>
      <c r="Q38" s="167">
        <f>+VLOOKUP($A38, [2]Sheet2!$M$3:$Z$76, 13, FALSE)</f>
        <v>5.1499999999999997E-2</v>
      </c>
      <c r="R38" s="166">
        <v>3</v>
      </c>
      <c r="S38" s="165"/>
      <c r="T38" s="167" t="s">
        <v>739</v>
      </c>
      <c r="U38" s="163">
        <f t="shared" si="21"/>
        <v>2.4194444444444443</v>
      </c>
      <c r="V38" s="170">
        <v>46661</v>
      </c>
      <c r="W38" s="163" t="s">
        <v>740</v>
      </c>
      <c r="X38" s="171">
        <v>100</v>
      </c>
      <c r="Y38" s="172"/>
      <c r="Z38" s="173"/>
      <c r="AA38" s="173"/>
      <c r="AB38" s="174">
        <v>35.017000000000003</v>
      </c>
      <c r="AC38" s="175">
        <v>1.6322172873249059</v>
      </c>
      <c r="AD38" s="175">
        <v>4.1874411302982741</v>
      </c>
      <c r="AE38" s="175"/>
      <c r="AF38" s="176">
        <v>4.3916623059480218</v>
      </c>
      <c r="AG38" s="170">
        <f>+VLOOKUP($A38, [2]Sheet2!$M$3:$X$76, 8, FALSE)</f>
        <v>45716</v>
      </c>
      <c r="AH38" s="163"/>
      <c r="AI38" s="176">
        <f>+VLOOKUP(A38, [2]Sheet2!$M$3:$X$76, 9, FALSE)</f>
        <v>3.1798182489554465</v>
      </c>
      <c r="AJ38" s="177">
        <f>+VLOOKUP($A38, [2]Sheet2!$M$3:$X$76, 10, FALSE)</f>
        <v>41.356384828682351</v>
      </c>
      <c r="AK38" s="175">
        <f t="shared" si="0"/>
        <v>1.0076228813428276</v>
      </c>
      <c r="AL38" s="175"/>
      <c r="AM38" s="176">
        <f>+VLOOKUP($A38, [2]Sheet2!$M$3:$X$76, 11, FALSE)</f>
        <v>3.1798182489554465</v>
      </c>
      <c r="AN38" s="176">
        <f t="shared" si="1"/>
        <v>1.2118440569925752</v>
      </c>
      <c r="AO38" s="176">
        <f>+VLOOKUP($A38, [2]Sheet2!$M$3:$X$76, 12, FALSE)</f>
        <v>3.2794754401260482</v>
      </c>
      <c r="AP38" s="176">
        <f t="shared" si="2"/>
        <v>-1.6472581528011423</v>
      </c>
      <c r="AQ38" s="178"/>
      <c r="AR38" s="178"/>
      <c r="AS38" s="166" t="s">
        <v>741</v>
      </c>
      <c r="AT38" s="179" t="s">
        <v>742</v>
      </c>
      <c r="AU38" s="166" t="s">
        <v>742</v>
      </c>
      <c r="AV38" s="180"/>
      <c r="AW38" s="161" t="s">
        <v>743</v>
      </c>
      <c r="AX38" s="181">
        <v>2499911.11</v>
      </c>
      <c r="AY38" s="181"/>
      <c r="AZ38" s="181">
        <f t="shared" si="22"/>
        <v>2499911.11</v>
      </c>
      <c r="BA38" s="181"/>
      <c r="BB38" s="174" t="s">
        <v>744</v>
      </c>
      <c r="BC38" s="177" t="s">
        <v>745</v>
      </c>
      <c r="BD38" s="182">
        <v>100</v>
      </c>
      <c r="BE38" s="183">
        <f t="shared" si="3"/>
        <v>0</v>
      </c>
      <c r="BF38" s="183">
        <f t="shared" si="4"/>
        <v>0</v>
      </c>
      <c r="BG38" s="183">
        <f t="shared" si="5"/>
        <v>0</v>
      </c>
      <c r="BH38" s="183">
        <f t="shared" si="6"/>
        <v>0</v>
      </c>
      <c r="BI38" s="183">
        <f t="shared" si="7"/>
        <v>0</v>
      </c>
      <c r="BJ38" s="183">
        <f t="shared" si="8"/>
        <v>0</v>
      </c>
      <c r="BK38" s="183">
        <f t="shared" si="9"/>
        <v>0</v>
      </c>
      <c r="BL38" s="183">
        <f t="shared" si="10"/>
        <v>0</v>
      </c>
      <c r="BM38" s="183">
        <f t="shared" si="11"/>
        <v>0</v>
      </c>
      <c r="BN38" s="183">
        <f t="shared" si="12"/>
        <v>0</v>
      </c>
      <c r="BO38" s="183">
        <f t="shared" si="13"/>
        <v>0</v>
      </c>
      <c r="BP38" s="183">
        <f t="shared" si="14"/>
        <v>0</v>
      </c>
      <c r="BQ38" s="184">
        <f t="shared" si="15"/>
        <v>2499911.11</v>
      </c>
      <c r="BR38" s="185">
        <v>100</v>
      </c>
      <c r="BS38" s="186">
        <f t="shared" si="16"/>
        <v>2499911.11</v>
      </c>
      <c r="BT38" s="187"/>
      <c r="BU38" s="181">
        <f t="shared" si="17"/>
        <v>2499911.11</v>
      </c>
      <c r="BV38" s="187">
        <v>0</v>
      </c>
      <c r="BW38" s="183" t="str">
        <f t="shared" si="18"/>
        <v>30+</v>
      </c>
      <c r="BX38" s="183" t="str">
        <f t="shared" si="19"/>
        <v>&lt;0.25</v>
      </c>
      <c r="BY38" s="188"/>
      <c r="BZ38" s="183" t="str">
        <f t="shared" si="20"/>
        <v>FL 30+</v>
      </c>
    </row>
    <row r="39" spans="1:78">
      <c r="A39" s="158" t="s">
        <v>492</v>
      </c>
      <c r="B39" s="159"/>
      <c r="C39" s="160">
        <v>45777</v>
      </c>
      <c r="D39" s="161" t="s">
        <v>731</v>
      </c>
      <c r="E39" s="158" t="s">
        <v>828</v>
      </c>
      <c r="F39" s="162" t="s">
        <v>829</v>
      </c>
      <c r="G39" s="163" t="s">
        <v>734</v>
      </c>
      <c r="H39" s="164">
        <v>4252707.1500000004</v>
      </c>
      <c r="I39" s="189"/>
      <c r="J39" s="163" t="s">
        <v>12</v>
      </c>
      <c r="K39" s="163" t="s">
        <v>735</v>
      </c>
      <c r="L39" s="166" t="s">
        <v>784</v>
      </c>
      <c r="M39" s="166" t="s">
        <v>737</v>
      </c>
      <c r="N39" s="167">
        <f>+VLOOKUP(A39, [2]Sheet2!$M$3:$Z$76, 14, FALSE)</f>
        <v>9.5492000000000021E-2</v>
      </c>
      <c r="O39" s="168" t="s">
        <v>738</v>
      </c>
      <c r="P39" s="167">
        <v>0.01</v>
      </c>
      <c r="Q39" s="167">
        <f>+VLOOKUP($A39, [2]Sheet2!$M$3:$Z$76, 13, FALSE)</f>
        <v>5.2499999999999998E-2</v>
      </c>
      <c r="R39" s="166">
        <v>3</v>
      </c>
      <c r="S39" s="165"/>
      <c r="T39" s="167" t="s">
        <v>739</v>
      </c>
      <c r="U39" s="163">
        <f t="shared" si="21"/>
        <v>4.7111111111111112</v>
      </c>
      <c r="V39" s="170">
        <v>47499</v>
      </c>
      <c r="W39" s="163" t="s">
        <v>740</v>
      </c>
      <c r="X39" s="171">
        <v>100</v>
      </c>
      <c r="Y39" s="172"/>
      <c r="Z39" s="173"/>
      <c r="AA39" s="173"/>
      <c r="AB39" s="174">
        <v>50.912999999999997</v>
      </c>
      <c r="AC39" s="175">
        <v>1.9684540098652743</v>
      </c>
      <c r="AD39" s="175">
        <v>4.4013200993852264</v>
      </c>
      <c r="AE39" s="175"/>
      <c r="AF39" s="199">
        <v>4.4013200993852264</v>
      </c>
      <c r="AG39" s="170">
        <f>+VLOOKUP($A39, [2]Sheet2!$M$3:$X$76, 8, FALSE)</f>
        <v>45688</v>
      </c>
      <c r="AH39" s="163"/>
      <c r="AI39" s="176">
        <f>+VLOOKUP(A39, [2]Sheet2!$M$3:$X$76, 9, FALSE)</f>
        <v>2.7628227303683759</v>
      </c>
      <c r="AJ39" s="177">
        <f>+VLOOKUP($A39, [2]Sheet2!$M$3:$X$76, 10, FALSE)</f>
        <v>69.250608060000204</v>
      </c>
      <c r="AK39" s="175">
        <f t="shared" si="0"/>
        <v>1.6384973690168505</v>
      </c>
      <c r="AL39" s="175"/>
      <c r="AM39" s="176">
        <f>+VLOOKUP($A39, [2]Sheet2!$M$3:$X$76, 11, FALSE)</f>
        <v>2.7628227303683759</v>
      </c>
      <c r="AN39" s="176">
        <f t="shared" si="1"/>
        <v>1.6384973690168505</v>
      </c>
      <c r="AO39" s="176">
        <f>+VLOOKUP($A39, [2]Sheet2!$M$3:$X$76, 12, FALSE)</f>
        <v>2.6199003498232072</v>
      </c>
      <c r="AP39" s="176">
        <f t="shared" si="2"/>
        <v>-0.65144633995793289</v>
      </c>
      <c r="AQ39" s="178"/>
      <c r="AR39" s="178"/>
      <c r="AS39" s="166" t="s">
        <v>749</v>
      </c>
      <c r="AT39" s="179" t="s">
        <v>750</v>
      </c>
      <c r="AU39" s="166" t="s">
        <v>742</v>
      </c>
      <c r="AV39" s="180"/>
      <c r="AW39" s="161" t="s">
        <v>743</v>
      </c>
      <c r="AX39" s="181">
        <v>4252707.1500000004</v>
      </c>
      <c r="AY39" s="181"/>
      <c r="AZ39" s="181">
        <f t="shared" si="22"/>
        <v>4252707.1500000004</v>
      </c>
      <c r="BA39" s="181"/>
      <c r="BB39" s="174" t="s">
        <v>744</v>
      </c>
      <c r="BC39" s="177" t="s">
        <v>745</v>
      </c>
      <c r="BD39" s="182">
        <v>100</v>
      </c>
      <c r="BE39" s="183">
        <f t="shared" si="3"/>
        <v>0</v>
      </c>
      <c r="BF39" s="183">
        <f t="shared" si="4"/>
        <v>0</v>
      </c>
      <c r="BG39" s="183">
        <f t="shared" si="5"/>
        <v>0</v>
      </c>
      <c r="BH39" s="183">
        <f t="shared" si="6"/>
        <v>0</v>
      </c>
      <c r="BI39" s="183">
        <f t="shared" si="7"/>
        <v>0</v>
      </c>
      <c r="BJ39" s="183">
        <f t="shared" si="8"/>
        <v>0</v>
      </c>
      <c r="BK39" s="183">
        <f t="shared" si="9"/>
        <v>0</v>
      </c>
      <c r="BL39" s="183">
        <f t="shared" si="10"/>
        <v>0</v>
      </c>
      <c r="BM39" s="183">
        <f t="shared" si="11"/>
        <v>1</v>
      </c>
      <c r="BN39" s="183">
        <f t="shared" si="12"/>
        <v>0</v>
      </c>
      <c r="BO39" s="183">
        <f t="shared" si="13"/>
        <v>0</v>
      </c>
      <c r="BP39" s="183">
        <f t="shared" si="14"/>
        <v>0</v>
      </c>
      <c r="BQ39" s="184">
        <f t="shared" si="15"/>
        <v>4252707.1500000004</v>
      </c>
      <c r="BR39" s="185">
        <v>100</v>
      </c>
      <c r="BS39" s="186">
        <f t="shared" si="16"/>
        <v>4252707.1500000004</v>
      </c>
      <c r="BT39" s="187"/>
      <c r="BU39" s="181">
        <f t="shared" si="17"/>
        <v>4252707.1500000004</v>
      </c>
      <c r="BV39" s="187">
        <v>0</v>
      </c>
      <c r="BW39" s="183" t="str">
        <f t="shared" si="18"/>
        <v>30+</v>
      </c>
      <c r="BX39" s="183" t="str">
        <f t="shared" si="19"/>
        <v>&lt;0.25</v>
      </c>
      <c r="BY39" s="188"/>
      <c r="BZ39" s="183" t="str">
        <f t="shared" si="20"/>
        <v>FL 30+</v>
      </c>
    </row>
    <row r="40" spans="1:78">
      <c r="A40" s="158" t="s">
        <v>494</v>
      </c>
      <c r="B40" s="159"/>
      <c r="C40" s="160">
        <v>45777</v>
      </c>
      <c r="D40" s="161" t="s">
        <v>731</v>
      </c>
      <c r="E40" s="158" t="s">
        <v>830</v>
      </c>
      <c r="F40" s="162" t="s">
        <v>831</v>
      </c>
      <c r="G40" s="163" t="s">
        <v>734</v>
      </c>
      <c r="H40" s="164">
        <v>3990869.08</v>
      </c>
      <c r="I40" s="189"/>
      <c r="J40" s="163" t="s">
        <v>12</v>
      </c>
      <c r="K40" s="163" t="s">
        <v>735</v>
      </c>
      <c r="L40" s="166" t="s">
        <v>784</v>
      </c>
      <c r="M40" s="166" t="s">
        <v>737</v>
      </c>
      <c r="N40" s="167">
        <f>+VLOOKUP(A40, [2]Sheet2!$M$3:$Z$76, 14, FALSE)</f>
        <v>9.0605119605332005E-2</v>
      </c>
      <c r="O40" s="168" t="s">
        <v>738</v>
      </c>
      <c r="P40" s="167">
        <v>0.01</v>
      </c>
      <c r="Q40" s="167">
        <f>+VLOOKUP($A40, [2]Sheet2!$M$3:$Z$76, 13, FALSE)</f>
        <v>4.7500000000000001E-2</v>
      </c>
      <c r="R40" s="166">
        <v>3</v>
      </c>
      <c r="S40" s="165"/>
      <c r="T40" s="167" t="s">
        <v>739</v>
      </c>
      <c r="U40" s="163">
        <f t="shared" si="21"/>
        <v>5.3888888888888893</v>
      </c>
      <c r="V40" s="170">
        <v>47746</v>
      </c>
      <c r="W40" s="163" t="s">
        <v>740</v>
      </c>
      <c r="X40" s="171">
        <v>100</v>
      </c>
      <c r="Y40" s="172"/>
      <c r="Z40" s="173"/>
      <c r="AA40" s="173"/>
      <c r="AB40" s="174">
        <v>10.208520977410892</v>
      </c>
      <c r="AC40" s="175">
        <v>1.8784215785394407</v>
      </c>
      <c r="AD40" s="175">
        <v>5.2701072093643164</v>
      </c>
      <c r="AE40" s="175"/>
      <c r="AF40" s="176">
        <v>5.2701072093643164</v>
      </c>
      <c r="AG40" s="170">
        <f>+VLOOKUP($A40, [2]Sheet2!$M$3:$X$76, 8, FALSE)</f>
        <v>45688</v>
      </c>
      <c r="AH40" s="163"/>
      <c r="AI40" s="176">
        <f>+VLOOKUP(A40, [2]Sheet2!$M$3:$X$76, 9, FALSE)</f>
        <v>3.6866284559158591</v>
      </c>
      <c r="AJ40" s="177">
        <f>+VLOOKUP($A40, [2]Sheet2!$M$3:$X$76, 10, FALSE)</f>
        <v>21.502073389902598</v>
      </c>
      <c r="AK40" s="175">
        <f t="shared" si="0"/>
        <v>1.5834787534484573</v>
      </c>
      <c r="AL40" s="175"/>
      <c r="AM40" s="176">
        <f>+VLOOKUP($A40, [2]Sheet2!$M$3:$X$76, 11, FALSE)</f>
        <v>3.6866284559158591</v>
      </c>
      <c r="AN40" s="176">
        <f t="shared" si="1"/>
        <v>1.5834787534484573</v>
      </c>
      <c r="AO40" s="176">
        <f>+VLOOKUP($A40, [2]Sheet2!$M$3:$X$76, 12, FALSE)</f>
        <v>2.7217814417598225</v>
      </c>
      <c r="AP40" s="176">
        <f t="shared" si="2"/>
        <v>-0.84335986322038181</v>
      </c>
      <c r="AQ40" s="178"/>
      <c r="AR40" s="178"/>
      <c r="AS40" s="166" t="s">
        <v>741</v>
      </c>
      <c r="AT40" s="179" t="s">
        <v>742</v>
      </c>
      <c r="AU40" s="166" t="s">
        <v>742</v>
      </c>
      <c r="AV40" s="180"/>
      <c r="AW40" s="161" t="s">
        <v>743</v>
      </c>
      <c r="AX40" s="181">
        <v>3990869.08</v>
      </c>
      <c r="AY40" s="181"/>
      <c r="AZ40" s="181">
        <f t="shared" si="22"/>
        <v>3990869.08</v>
      </c>
      <c r="BA40" s="181"/>
      <c r="BB40" s="174" t="s">
        <v>744</v>
      </c>
      <c r="BC40" s="177" t="s">
        <v>745</v>
      </c>
      <c r="BD40" s="182">
        <v>100</v>
      </c>
      <c r="BE40" s="183">
        <f t="shared" si="3"/>
        <v>0</v>
      </c>
      <c r="BF40" s="183">
        <f t="shared" si="4"/>
        <v>0</v>
      </c>
      <c r="BG40" s="183">
        <f t="shared" si="5"/>
        <v>0</v>
      </c>
      <c r="BH40" s="183">
        <f t="shared" si="6"/>
        <v>0</v>
      </c>
      <c r="BI40" s="183">
        <f t="shared" si="7"/>
        <v>0</v>
      </c>
      <c r="BJ40" s="183">
        <f t="shared" si="8"/>
        <v>0</v>
      </c>
      <c r="BK40" s="183">
        <f t="shared" si="9"/>
        <v>0</v>
      </c>
      <c r="BL40" s="183">
        <f t="shared" si="10"/>
        <v>0</v>
      </c>
      <c r="BM40" s="183">
        <f t="shared" si="11"/>
        <v>0</v>
      </c>
      <c r="BN40" s="183">
        <f t="shared" si="12"/>
        <v>0</v>
      </c>
      <c r="BO40" s="183">
        <f t="shared" si="13"/>
        <v>0</v>
      </c>
      <c r="BP40" s="183">
        <f t="shared" si="14"/>
        <v>0</v>
      </c>
      <c r="BQ40" s="184">
        <f t="shared" si="15"/>
        <v>3990869.08</v>
      </c>
      <c r="BR40" s="185">
        <v>100</v>
      </c>
      <c r="BS40" s="186">
        <f t="shared" si="16"/>
        <v>3990869.08</v>
      </c>
      <c r="BT40" s="187"/>
      <c r="BU40" s="181">
        <f t="shared" si="17"/>
        <v>3990869.08</v>
      </c>
      <c r="BV40" s="187">
        <v>0</v>
      </c>
      <c r="BW40" s="183" t="str">
        <f t="shared" si="18"/>
        <v>15-30</v>
      </c>
      <c r="BX40" s="183" t="str">
        <f t="shared" si="19"/>
        <v>&lt;0.25</v>
      </c>
      <c r="BY40" s="188"/>
      <c r="BZ40" s="183" t="str">
        <f t="shared" si="20"/>
        <v>FL 15-30</v>
      </c>
    </row>
    <row r="41" spans="1:78">
      <c r="A41" s="158" t="s">
        <v>497</v>
      </c>
      <c r="B41" s="159"/>
      <c r="C41" s="160">
        <v>45777</v>
      </c>
      <c r="D41" s="161" t="s">
        <v>731</v>
      </c>
      <c r="E41" s="158" t="s">
        <v>832</v>
      </c>
      <c r="F41" s="162" t="s">
        <v>833</v>
      </c>
      <c r="G41" s="163" t="s">
        <v>734</v>
      </c>
      <c r="H41" s="164">
        <v>3777823.24</v>
      </c>
      <c r="I41" s="165"/>
      <c r="J41" s="163" t="s">
        <v>12</v>
      </c>
      <c r="K41" s="163" t="s">
        <v>735</v>
      </c>
      <c r="L41" s="166" t="s">
        <v>834</v>
      </c>
      <c r="M41" s="166" t="s">
        <v>737</v>
      </c>
      <c r="N41" s="167">
        <f>+VLOOKUP(A41, [2]Sheet2!$M$3:$Z$76, 14, FALSE)</f>
        <v>0.10645099999999999</v>
      </c>
      <c r="O41" s="168" t="s">
        <v>738</v>
      </c>
      <c r="P41" s="167">
        <v>0.01</v>
      </c>
      <c r="Q41" s="167">
        <f>+VLOOKUP($A41, [2]Sheet2!$M$3:$Z$76, 13, FALSE)</f>
        <v>6.3500000000000001E-2</v>
      </c>
      <c r="R41" s="166">
        <v>3</v>
      </c>
      <c r="S41" s="165"/>
      <c r="T41" s="167" t="s">
        <v>739</v>
      </c>
      <c r="U41" s="163">
        <f t="shared" si="21"/>
        <v>4.333333333333333</v>
      </c>
      <c r="V41" s="170">
        <v>47361</v>
      </c>
      <c r="W41" s="163" t="s">
        <v>740</v>
      </c>
      <c r="X41" s="171">
        <v>100</v>
      </c>
      <c r="Y41" s="172"/>
      <c r="Z41" s="173"/>
      <c r="AA41" s="173"/>
      <c r="AB41" s="174">
        <v>21.293252379330102</v>
      </c>
      <c r="AC41" s="175">
        <v>2.2766519381548895</v>
      </c>
      <c r="AD41" s="175">
        <v>3.6631322735702212</v>
      </c>
      <c r="AE41" s="175"/>
      <c r="AF41" s="176">
        <v>3.6764069121723724</v>
      </c>
      <c r="AG41" s="170">
        <f>+VLOOKUP($A41, [2]Sheet2!$M$3:$X$76, 8, FALSE)</f>
        <v>45657</v>
      </c>
      <c r="AH41" s="163"/>
      <c r="AI41" s="176">
        <f>+VLOOKUP(A41, [2]Sheet2!$M$3:$X$76, 9, FALSE)</f>
        <v>5.3227543051338904</v>
      </c>
      <c r="AJ41" s="177">
        <f>+VLOOKUP($A41, [2]Sheet2!$M$3:$X$76, 10, FALSE)</f>
        <v>14.25436097</v>
      </c>
      <c r="AK41" s="175">
        <f t="shared" si="0"/>
        <v>-1.6596220315636692</v>
      </c>
      <c r="AL41" s="175"/>
      <c r="AM41" s="176">
        <f>+VLOOKUP($A41, [2]Sheet2!$M$3:$X$76, 11, FALSE)</f>
        <v>5.6274854754151775</v>
      </c>
      <c r="AN41" s="176">
        <f t="shared" si="1"/>
        <v>-1.9510785632428052</v>
      </c>
      <c r="AO41" s="176">
        <f>+VLOOKUP($A41, [2]Sheet2!$M$3:$X$76, 12, FALSE)</f>
        <v>1.4638223616467501</v>
      </c>
      <c r="AP41" s="176">
        <f t="shared" si="2"/>
        <v>0.81282957650813947</v>
      </c>
      <c r="AQ41" s="178"/>
      <c r="AR41" s="178"/>
      <c r="AS41" s="166" t="s">
        <v>741</v>
      </c>
      <c r="AT41" s="179" t="s">
        <v>742</v>
      </c>
      <c r="AU41" s="166" t="s">
        <v>742</v>
      </c>
      <c r="AV41" s="180"/>
      <c r="AW41" s="161" t="s">
        <v>743</v>
      </c>
      <c r="AX41" s="181">
        <v>3777823.24</v>
      </c>
      <c r="AY41" s="181"/>
      <c r="AZ41" s="181">
        <f t="shared" si="22"/>
        <v>3777823.24</v>
      </c>
      <c r="BA41" s="181"/>
      <c r="BB41" s="174" t="s">
        <v>744</v>
      </c>
      <c r="BC41" s="177" t="s">
        <v>744</v>
      </c>
      <c r="BD41" s="182">
        <v>100</v>
      </c>
      <c r="BE41" s="183">
        <f t="shared" si="3"/>
        <v>0</v>
      </c>
      <c r="BF41" s="183">
        <f t="shared" si="4"/>
        <v>0</v>
      </c>
      <c r="BG41" s="183">
        <f t="shared" si="5"/>
        <v>0</v>
      </c>
      <c r="BH41" s="183">
        <f t="shared" si="6"/>
        <v>0</v>
      </c>
      <c r="BI41" s="183">
        <f t="shared" si="7"/>
        <v>0</v>
      </c>
      <c r="BJ41" s="183">
        <f t="shared" si="8"/>
        <v>1</v>
      </c>
      <c r="BK41" s="183">
        <f t="shared" si="9"/>
        <v>0</v>
      </c>
      <c r="BL41" s="183">
        <f t="shared" si="10"/>
        <v>0</v>
      </c>
      <c r="BM41" s="183">
        <f t="shared" si="11"/>
        <v>0</v>
      </c>
      <c r="BN41" s="183">
        <f t="shared" si="12"/>
        <v>0</v>
      </c>
      <c r="BO41" s="183">
        <f t="shared" si="13"/>
        <v>0</v>
      </c>
      <c r="BP41" s="183">
        <f t="shared" si="14"/>
        <v>0</v>
      </c>
      <c r="BQ41" s="184">
        <f t="shared" si="15"/>
        <v>3777823.24</v>
      </c>
      <c r="BR41" s="185">
        <v>100</v>
      </c>
      <c r="BS41" s="186">
        <f t="shared" si="16"/>
        <v>3777823.24</v>
      </c>
      <c r="BT41" s="187"/>
      <c r="BU41" s="181">
        <f t="shared" si="17"/>
        <v>3777823.24</v>
      </c>
      <c r="BV41" s="187">
        <v>0</v>
      </c>
      <c r="BW41" s="183" t="str">
        <f t="shared" si="18"/>
        <v>15-</v>
      </c>
      <c r="BX41" s="183" t="str">
        <f t="shared" si="19"/>
        <v>&lt;0.25</v>
      </c>
      <c r="BY41" s="188"/>
      <c r="BZ41" s="183" t="str">
        <f t="shared" si="20"/>
        <v>FL 15-</v>
      </c>
    </row>
    <row r="42" spans="1:78">
      <c r="A42" s="158" t="s">
        <v>498</v>
      </c>
      <c r="B42" s="159"/>
      <c r="C42" s="160">
        <v>45777</v>
      </c>
      <c r="D42" s="161" t="s">
        <v>731</v>
      </c>
      <c r="E42" s="158" t="s">
        <v>835</v>
      </c>
      <c r="F42" s="162" t="s">
        <v>836</v>
      </c>
      <c r="G42" s="163" t="s">
        <v>734</v>
      </c>
      <c r="H42" s="164">
        <v>7136692.4000000004</v>
      </c>
      <c r="I42" s="165"/>
      <c r="J42" s="163" t="s">
        <v>12</v>
      </c>
      <c r="K42" s="163" t="s">
        <v>735</v>
      </c>
      <c r="L42" s="166" t="s">
        <v>837</v>
      </c>
      <c r="M42" s="166" t="s">
        <v>737</v>
      </c>
      <c r="N42" s="167">
        <f>+VLOOKUP(A42, [2]Sheet2!$M$3:$Z$76, 14, FALSE)</f>
        <v>9.554889349474556E-2</v>
      </c>
      <c r="O42" s="168" t="s">
        <v>738</v>
      </c>
      <c r="P42" s="167">
        <v>0.01</v>
      </c>
      <c r="Q42" s="167">
        <f>+VLOOKUP($A42, [2]Sheet2!$M$3:$Z$76, 13, FALSE)</f>
        <v>5.2499999999999998E-2</v>
      </c>
      <c r="R42" s="166">
        <v>3</v>
      </c>
      <c r="S42" s="165"/>
      <c r="T42" s="167" t="s">
        <v>739</v>
      </c>
      <c r="U42" s="163">
        <f t="shared" si="21"/>
        <v>4.6638888888888888</v>
      </c>
      <c r="V42" s="170">
        <v>47481</v>
      </c>
      <c r="W42" s="163" t="s">
        <v>740</v>
      </c>
      <c r="X42" s="171">
        <v>100</v>
      </c>
      <c r="Y42" s="172"/>
      <c r="Z42" s="173"/>
      <c r="AA42" s="173"/>
      <c r="AB42" s="174">
        <v>14.5</v>
      </c>
      <c r="AC42" s="175">
        <v>2.96</v>
      </c>
      <c r="AD42" s="175">
        <v>2.0699999999999998</v>
      </c>
      <c r="AE42" s="175"/>
      <c r="AF42" s="176">
        <v>2.0699999999999998</v>
      </c>
      <c r="AG42" s="170">
        <f>+VLOOKUP($A42, [2]Sheet2!$M$3:$X$76, 8, FALSE)</f>
        <v>45716</v>
      </c>
      <c r="AH42" s="163"/>
      <c r="AI42" s="176">
        <f>+VLOOKUP(A42, [2]Sheet2!$M$3:$X$76, 9, FALSE)</f>
        <v>3.1991927162280489</v>
      </c>
      <c r="AJ42" s="177">
        <f>+VLOOKUP($A42, [2]Sheet2!$M$3:$X$76, 10, FALSE)</f>
        <v>38.156765280437824</v>
      </c>
      <c r="AK42" s="175">
        <f t="shared" si="0"/>
        <v>-1.1291927162280491</v>
      </c>
      <c r="AL42" s="175"/>
      <c r="AM42" s="176">
        <f>+VLOOKUP($A42, [2]Sheet2!$M$3:$X$76, 11, FALSE)</f>
        <v>3.1991927162280489</v>
      </c>
      <c r="AN42" s="176">
        <f t="shared" si="1"/>
        <v>-1.1291927162280491</v>
      </c>
      <c r="AO42" s="176">
        <f>+VLOOKUP($A42, [2]Sheet2!$M$3:$X$76, 12, FALSE)</f>
        <v>3.5474548008472708</v>
      </c>
      <c r="AP42" s="176">
        <f t="shared" si="2"/>
        <v>-0.58745480084727086</v>
      </c>
      <c r="AQ42" s="178"/>
      <c r="AR42" s="178"/>
      <c r="AS42" s="166" t="s">
        <v>749</v>
      </c>
      <c r="AT42" s="179" t="s">
        <v>750</v>
      </c>
      <c r="AU42" s="166" t="s">
        <v>742</v>
      </c>
      <c r="AV42" s="180"/>
      <c r="AW42" s="161" t="s">
        <v>743</v>
      </c>
      <c r="AX42" s="181">
        <v>7136692.4000000004</v>
      </c>
      <c r="AY42" s="181"/>
      <c r="AZ42" s="181">
        <f t="shared" si="22"/>
        <v>7136692.4000000004</v>
      </c>
      <c r="BA42" s="181"/>
      <c r="BB42" s="174" t="s">
        <v>744</v>
      </c>
      <c r="BC42" s="177" t="s">
        <v>745</v>
      </c>
      <c r="BD42" s="182">
        <v>100</v>
      </c>
      <c r="BE42" s="183">
        <f t="shared" si="3"/>
        <v>0</v>
      </c>
      <c r="BF42" s="183">
        <f t="shared" si="4"/>
        <v>0</v>
      </c>
      <c r="BG42" s="183">
        <f t="shared" si="5"/>
        <v>0</v>
      </c>
      <c r="BH42" s="183">
        <f t="shared" si="6"/>
        <v>0</v>
      </c>
      <c r="BI42" s="183">
        <f t="shared" si="7"/>
        <v>0</v>
      </c>
      <c r="BJ42" s="183">
        <f t="shared" si="8"/>
        <v>0</v>
      </c>
      <c r="BK42" s="183">
        <f t="shared" si="9"/>
        <v>0</v>
      </c>
      <c r="BL42" s="183">
        <f t="shared" si="10"/>
        <v>0</v>
      </c>
      <c r="BM42" s="183">
        <f t="shared" si="11"/>
        <v>1</v>
      </c>
      <c r="BN42" s="183">
        <f t="shared" si="12"/>
        <v>0</v>
      </c>
      <c r="BO42" s="183">
        <f t="shared" si="13"/>
        <v>0</v>
      </c>
      <c r="BP42" s="183">
        <f t="shared" si="14"/>
        <v>0</v>
      </c>
      <c r="BQ42" s="184">
        <f t="shared" si="15"/>
        <v>7136692.4000000004</v>
      </c>
      <c r="BR42" s="185">
        <v>100</v>
      </c>
      <c r="BS42" s="186">
        <f t="shared" si="16"/>
        <v>7136692.4000000004</v>
      </c>
      <c r="BT42" s="187"/>
      <c r="BU42" s="181">
        <f t="shared" si="17"/>
        <v>7136692.4000000004</v>
      </c>
      <c r="BV42" s="187">
        <v>0</v>
      </c>
      <c r="BW42" s="183" t="str">
        <f t="shared" si="18"/>
        <v>30+</v>
      </c>
      <c r="BX42" s="183" t="str">
        <f t="shared" si="19"/>
        <v>&lt;0.25</v>
      </c>
      <c r="BY42" s="188"/>
      <c r="BZ42" s="183" t="str">
        <f t="shared" si="20"/>
        <v>FL 30+</v>
      </c>
    </row>
    <row r="43" spans="1:78">
      <c r="A43" s="158" t="s">
        <v>500</v>
      </c>
      <c r="B43" s="159"/>
      <c r="C43" s="160">
        <v>45777</v>
      </c>
      <c r="D43" s="161" t="s">
        <v>731</v>
      </c>
      <c r="E43" s="158" t="s">
        <v>838</v>
      </c>
      <c r="F43" s="162" t="s">
        <v>839</v>
      </c>
      <c r="G43" s="163" t="s">
        <v>734</v>
      </c>
      <c r="H43" s="164">
        <v>997500</v>
      </c>
      <c r="I43" s="165"/>
      <c r="J43" s="163" t="s">
        <v>12</v>
      </c>
      <c r="K43" s="163" t="s">
        <v>735</v>
      </c>
      <c r="L43" s="166" t="s">
        <v>840</v>
      </c>
      <c r="M43" s="166" t="s">
        <v>737</v>
      </c>
      <c r="N43" s="167">
        <f>+VLOOKUP(A43, [2]Sheet2!$M$3:$Z$76, 14, FALSE)</f>
        <v>9.3185000000000018E-2</v>
      </c>
      <c r="O43" s="168" t="s">
        <v>738</v>
      </c>
      <c r="P43" s="167">
        <v>0.01</v>
      </c>
      <c r="Q43" s="167">
        <f>+VLOOKUP($A43, [2]Sheet2!$M$3:$Z$76, 13, FALSE)</f>
        <v>0.05</v>
      </c>
      <c r="R43" s="166">
        <v>3</v>
      </c>
      <c r="S43" s="165"/>
      <c r="T43" s="167" t="s">
        <v>739</v>
      </c>
      <c r="U43" s="163">
        <f t="shared" si="21"/>
        <v>5.3416666666666668</v>
      </c>
      <c r="V43" s="170">
        <v>47729</v>
      </c>
      <c r="W43" s="163" t="s">
        <v>740</v>
      </c>
      <c r="X43" s="171">
        <v>100</v>
      </c>
      <c r="Y43" s="172"/>
      <c r="Z43" s="173"/>
      <c r="AA43" s="173"/>
      <c r="AB43" s="174">
        <v>22.439</v>
      </c>
      <c r="AC43" s="175">
        <v>3.2877655677655673</v>
      </c>
      <c r="AD43" s="175">
        <v>2.3172601274566604</v>
      </c>
      <c r="AE43" s="175"/>
      <c r="AF43" s="176">
        <v>2.3172601274566604</v>
      </c>
      <c r="AG43" s="170">
        <f>+VLOOKUP($A43, [2]Sheet2!$M$3:$X$76, 8, FALSE)</f>
        <v>45716</v>
      </c>
      <c r="AH43" s="163"/>
      <c r="AI43" s="176">
        <f>+VLOOKUP(A43, [2]Sheet2!$M$3:$X$76, 9, FALSE)</f>
        <v>4.088542782591845</v>
      </c>
      <c r="AJ43" s="177">
        <f>+VLOOKUP($A43, [2]Sheet2!$M$3:$X$76, 10, FALSE)</f>
        <v>38.594190739999995</v>
      </c>
      <c r="AK43" s="175">
        <f t="shared" si="0"/>
        <v>-1.7712826551351846</v>
      </c>
      <c r="AL43" s="175"/>
      <c r="AM43" s="176">
        <f>+VLOOKUP($A43, [2]Sheet2!$M$3:$X$76, 11, FALSE)</f>
        <v>4.088542782591845</v>
      </c>
      <c r="AN43" s="176">
        <f t="shared" si="1"/>
        <v>-1.7712826551351846</v>
      </c>
      <c r="AO43" s="176">
        <f>+VLOOKUP($A43, [2]Sheet2!$M$3:$X$76, 12, FALSE)</f>
        <v>2.4899477896774189</v>
      </c>
      <c r="AP43" s="176">
        <f t="shared" si="2"/>
        <v>0.79781777808814835</v>
      </c>
      <c r="AQ43" s="178"/>
      <c r="AR43" s="178"/>
      <c r="AS43" s="166" t="s">
        <v>741</v>
      </c>
      <c r="AT43" s="179" t="s">
        <v>742</v>
      </c>
      <c r="AU43" s="166" t="s">
        <v>742</v>
      </c>
      <c r="AV43" s="180"/>
      <c r="AW43" s="161" t="s">
        <v>743</v>
      </c>
      <c r="AX43" s="181">
        <v>997500</v>
      </c>
      <c r="AY43" s="200"/>
      <c r="AZ43" s="181">
        <f t="shared" si="22"/>
        <v>997500</v>
      </c>
      <c r="BA43" s="181"/>
      <c r="BB43" s="174" t="s">
        <v>744</v>
      </c>
      <c r="BC43" s="177" t="s">
        <v>745</v>
      </c>
      <c r="BD43" s="182">
        <v>100</v>
      </c>
      <c r="BE43" s="183">
        <f t="shared" si="3"/>
        <v>0</v>
      </c>
      <c r="BF43" s="183">
        <f t="shared" si="4"/>
        <v>0</v>
      </c>
      <c r="BG43" s="183">
        <f t="shared" si="5"/>
        <v>0</v>
      </c>
      <c r="BH43" s="183">
        <f t="shared" si="6"/>
        <v>0</v>
      </c>
      <c r="BI43" s="183">
        <f t="shared" si="7"/>
        <v>0</v>
      </c>
      <c r="BJ43" s="183">
        <f t="shared" si="8"/>
        <v>0</v>
      </c>
      <c r="BK43" s="183">
        <f t="shared" si="9"/>
        <v>0</v>
      </c>
      <c r="BL43" s="183">
        <f t="shared" si="10"/>
        <v>0</v>
      </c>
      <c r="BM43" s="183">
        <f t="shared" si="11"/>
        <v>0</v>
      </c>
      <c r="BN43" s="183">
        <f t="shared" si="12"/>
        <v>0</v>
      </c>
      <c r="BO43" s="183">
        <f t="shared" si="13"/>
        <v>0</v>
      </c>
      <c r="BP43" s="183">
        <f t="shared" si="14"/>
        <v>0</v>
      </c>
      <c r="BQ43" s="184">
        <f t="shared" si="15"/>
        <v>997500</v>
      </c>
      <c r="BR43" s="185">
        <v>100</v>
      </c>
      <c r="BS43" s="186">
        <f t="shared" si="16"/>
        <v>997500</v>
      </c>
      <c r="BT43" s="187"/>
      <c r="BU43" s="181">
        <f t="shared" si="17"/>
        <v>997500</v>
      </c>
      <c r="BV43" s="187">
        <v>0</v>
      </c>
      <c r="BW43" s="183" t="str">
        <f t="shared" si="18"/>
        <v>30+</v>
      </c>
      <c r="BX43" s="183" t="str">
        <f t="shared" si="19"/>
        <v>&lt;0.25</v>
      </c>
      <c r="BY43" s="188"/>
      <c r="BZ43" s="183" t="str">
        <f t="shared" si="20"/>
        <v>FL 30+</v>
      </c>
    </row>
    <row r="44" spans="1:78">
      <c r="A44" s="158" t="s">
        <v>501</v>
      </c>
      <c r="B44" s="159"/>
      <c r="C44" s="160">
        <v>45777</v>
      </c>
      <c r="D44" s="161" t="s">
        <v>731</v>
      </c>
      <c r="E44" s="158" t="s">
        <v>841</v>
      </c>
      <c r="F44" s="162" t="s">
        <v>842</v>
      </c>
      <c r="G44" s="163" t="s">
        <v>734</v>
      </c>
      <c r="H44" s="164">
        <v>8459233.0399999991</v>
      </c>
      <c r="I44" s="165"/>
      <c r="J44" s="163" t="s">
        <v>12</v>
      </c>
      <c r="K44" s="163" t="s">
        <v>735</v>
      </c>
      <c r="L44" s="166" t="s">
        <v>843</v>
      </c>
      <c r="M44" s="166" t="s">
        <v>737</v>
      </c>
      <c r="N44" s="167">
        <f>+VLOOKUP(A44, [2]Sheet2!$M$3:$Z$76, 14, FALSE)</f>
        <v>0.11501599999999999</v>
      </c>
      <c r="O44" s="168" t="s">
        <v>738</v>
      </c>
      <c r="P44" s="167">
        <v>0.01</v>
      </c>
      <c r="Q44" s="167">
        <f>+VLOOKUP($A44, [2]Sheet2!$M$3:$Z$76, 13, FALSE)</f>
        <v>7.2499999999999995E-2</v>
      </c>
      <c r="R44" s="166">
        <v>3</v>
      </c>
      <c r="S44" s="165"/>
      <c r="T44" s="167" t="s">
        <v>739</v>
      </c>
      <c r="U44" s="163">
        <f t="shared" si="21"/>
        <v>2.5249999999999999</v>
      </c>
      <c r="V44" s="170">
        <v>46700</v>
      </c>
      <c r="W44" s="163" t="s">
        <v>740</v>
      </c>
      <c r="X44" s="171">
        <v>100</v>
      </c>
      <c r="Y44" s="172"/>
      <c r="Z44" s="173"/>
      <c r="AA44" s="173"/>
      <c r="AB44" s="174">
        <v>26.626187000000002</v>
      </c>
      <c r="AC44" s="175">
        <v>4.7335443555555559</v>
      </c>
      <c r="AD44" s="175">
        <v>2.859515709102471</v>
      </c>
      <c r="AE44" s="175"/>
      <c r="AF44" s="176">
        <v>2.859515709102471</v>
      </c>
      <c r="AG44" s="170">
        <f>+VLOOKUP($A44, [2]Sheet2!$M$3:$X$76, 8, FALSE)</f>
        <v>45716</v>
      </c>
      <c r="AH44" s="163"/>
      <c r="AI44" s="176">
        <f>+VLOOKUP(A44, [2]Sheet2!$M$3:$X$76, 9, FALSE)</f>
        <v>-18.259800428436428</v>
      </c>
      <c r="AJ44" s="177">
        <f>+VLOOKUP($A44, [2]Sheet2!$M$3:$X$76, 10, FALSE)</f>
        <v>-3.6486159999999996</v>
      </c>
      <c r="AK44" s="175">
        <f t="shared" si="0"/>
        <v>21.119316137538899</v>
      </c>
      <c r="AL44" s="175"/>
      <c r="AM44" s="176">
        <f>+VLOOKUP($A44, [2]Sheet2!$M$3:$X$76, 11, FALSE)</f>
        <v>-18.259800428436428</v>
      </c>
      <c r="AN44" s="176">
        <f t="shared" si="1"/>
        <v>21.119316137538899</v>
      </c>
      <c r="AO44" s="176">
        <f>+VLOOKUP($A44, [2]Sheet2!$M$3:$X$76, 12, FALSE)</f>
        <v>-0.39253534158149539</v>
      </c>
      <c r="AP44" s="176">
        <f t="shared" si="2"/>
        <v>5.126079697137051</v>
      </c>
      <c r="AQ44" s="178"/>
      <c r="AR44" s="178"/>
      <c r="AS44" s="166" t="s">
        <v>741</v>
      </c>
      <c r="AT44" s="179" t="s">
        <v>742</v>
      </c>
      <c r="AU44" s="166" t="s">
        <v>742</v>
      </c>
      <c r="AV44" s="180"/>
      <c r="AW44" s="161" t="s">
        <v>743</v>
      </c>
      <c r="AX44" s="181">
        <v>8459233.0399999991</v>
      </c>
      <c r="AY44" s="181">
        <f>354001.85+150254.04</f>
        <v>504255.89</v>
      </c>
      <c r="AZ44" s="181">
        <f t="shared" si="22"/>
        <v>7954977.1499999994</v>
      </c>
      <c r="BA44" s="181"/>
      <c r="BB44" s="174" t="s">
        <v>744</v>
      </c>
      <c r="BC44" s="177" t="s">
        <v>744</v>
      </c>
      <c r="BD44" s="190">
        <v>0</v>
      </c>
      <c r="BE44" s="183">
        <f t="shared" si="3"/>
        <v>0</v>
      </c>
      <c r="BF44" s="183">
        <f t="shared" si="4"/>
        <v>0</v>
      </c>
      <c r="BG44" s="183">
        <f t="shared" si="5"/>
        <v>0</v>
      </c>
      <c r="BH44" s="183">
        <f t="shared" si="6"/>
        <v>0</v>
      </c>
      <c r="BI44" s="183">
        <f t="shared" si="7"/>
        <v>0</v>
      </c>
      <c r="BJ44" s="183">
        <f t="shared" si="8"/>
        <v>1</v>
      </c>
      <c r="BK44" s="183">
        <f t="shared" si="9"/>
        <v>1</v>
      </c>
      <c r="BL44" s="183">
        <f t="shared" si="10"/>
        <v>0</v>
      </c>
      <c r="BM44" s="183">
        <f t="shared" si="11"/>
        <v>0</v>
      </c>
      <c r="BN44" s="183">
        <f t="shared" si="12"/>
        <v>0</v>
      </c>
      <c r="BO44" s="183">
        <f t="shared" si="13"/>
        <v>0</v>
      </c>
      <c r="BP44" s="183">
        <f t="shared" si="14"/>
        <v>0</v>
      </c>
      <c r="BQ44" s="184">
        <f t="shared" si="15"/>
        <v>8459233.0399999991</v>
      </c>
      <c r="BR44" s="185">
        <v>0</v>
      </c>
      <c r="BS44" s="186">
        <f t="shared" si="16"/>
        <v>0</v>
      </c>
      <c r="BT44" s="187"/>
      <c r="BU44" s="181">
        <f t="shared" si="17"/>
        <v>0</v>
      </c>
      <c r="BV44" s="187">
        <v>0</v>
      </c>
      <c r="BW44" s="183" t="str">
        <f t="shared" si="18"/>
        <v>15-</v>
      </c>
      <c r="BX44" s="183" t="str">
        <f t="shared" si="19"/>
        <v>&lt;0.25</v>
      </c>
      <c r="BY44" s="188"/>
      <c r="BZ44" s="183" t="str">
        <f t="shared" si="20"/>
        <v>FL 15-</v>
      </c>
    </row>
    <row r="45" spans="1:78">
      <c r="A45" s="158" t="s">
        <v>503</v>
      </c>
      <c r="B45" s="159"/>
      <c r="C45" s="160">
        <v>45777</v>
      </c>
      <c r="D45" s="161" t="s">
        <v>731</v>
      </c>
      <c r="E45" s="158" t="s">
        <v>844</v>
      </c>
      <c r="F45" s="162" t="s">
        <v>845</v>
      </c>
      <c r="G45" s="163" t="s">
        <v>734</v>
      </c>
      <c r="H45" s="164">
        <v>11836623.9</v>
      </c>
      <c r="I45" s="165"/>
      <c r="J45" s="163" t="s">
        <v>12</v>
      </c>
      <c r="K45" s="163" t="s">
        <v>735</v>
      </c>
      <c r="L45" s="166" t="s">
        <v>770</v>
      </c>
      <c r="M45" s="166" t="s">
        <v>737</v>
      </c>
      <c r="N45" s="167">
        <f>+VLOOKUP(A45, [2]Sheet2!$M$3:$Z$76, 14, FALSE)</f>
        <v>0.1047878</v>
      </c>
      <c r="O45" s="168" t="s">
        <v>738</v>
      </c>
      <c r="P45" s="167">
        <v>0.01</v>
      </c>
      <c r="Q45" s="167">
        <f>+VLOOKUP($A45, [2]Sheet2!$M$3:$Z$76, 13, FALSE)</f>
        <v>6.1499999999999999E-2</v>
      </c>
      <c r="R45" s="166">
        <v>3</v>
      </c>
      <c r="S45" s="165"/>
      <c r="T45" s="167" t="s">
        <v>739</v>
      </c>
      <c r="U45" s="163">
        <f t="shared" si="21"/>
        <v>8.3333333333333329E-2</v>
      </c>
      <c r="V45" s="170">
        <v>45747</v>
      </c>
      <c r="W45" s="163" t="s">
        <v>740</v>
      </c>
      <c r="X45" s="171">
        <v>100</v>
      </c>
      <c r="Y45" s="172"/>
      <c r="Z45" s="173"/>
      <c r="AA45" s="173"/>
      <c r="AB45" s="174">
        <v>19.7</v>
      </c>
      <c r="AC45" s="175">
        <v>2.5601039636127352</v>
      </c>
      <c r="AD45" s="175">
        <v>4.5685279187817258</v>
      </c>
      <c r="AE45" s="175"/>
      <c r="AF45" s="176">
        <v>4.5685279187817258</v>
      </c>
      <c r="AG45" s="170">
        <f>+VLOOKUP($A45, [2]Sheet2!$M$3:$X$76, 8, FALSE)</f>
        <v>45716</v>
      </c>
      <c r="AH45" s="163"/>
      <c r="AI45" s="176">
        <f>+VLOOKUP(A45, [2]Sheet2!$M$3:$X$76, 9, FALSE)</f>
        <v>5.226677974315483</v>
      </c>
      <c r="AJ45" s="177">
        <f>+VLOOKUP($A45, [2]Sheet2!$M$3:$X$76, 10, FALSE)</f>
        <v>24.762</v>
      </c>
      <c r="AK45" s="175">
        <f t="shared" si="0"/>
        <v>-0.65815005553375716</v>
      </c>
      <c r="AL45" s="175"/>
      <c r="AM45" s="176">
        <f>+VLOOKUP($A45, [2]Sheet2!$M$3:$X$76, 11, FALSE)</f>
        <v>5.226677974315483</v>
      </c>
      <c r="AN45" s="176">
        <f t="shared" si="1"/>
        <v>-0.65815005553375716</v>
      </c>
      <c r="AO45" s="176">
        <f>+VLOOKUP($A45, [2]Sheet2!$M$3:$X$76, 12, FALSE)</f>
        <v>1.3540026246719161</v>
      </c>
      <c r="AP45" s="176">
        <f t="shared" si="2"/>
        <v>1.2061013389408191</v>
      </c>
      <c r="AQ45" s="178"/>
      <c r="AR45" s="178"/>
      <c r="AS45" s="166" t="s">
        <v>741</v>
      </c>
      <c r="AT45" s="179" t="s">
        <v>742</v>
      </c>
      <c r="AU45" s="166" t="s">
        <v>742</v>
      </c>
      <c r="AV45" s="180"/>
      <c r="AW45" s="161" t="s">
        <v>743</v>
      </c>
      <c r="AX45" s="181">
        <v>11836623.9</v>
      </c>
      <c r="AY45" s="181"/>
      <c r="AZ45" s="181">
        <f t="shared" si="22"/>
        <v>11836623.9</v>
      </c>
      <c r="BA45" s="181"/>
      <c r="BB45" s="174" t="s">
        <v>744</v>
      </c>
      <c r="BC45" s="177" t="s">
        <v>744</v>
      </c>
      <c r="BD45" s="182">
        <v>100</v>
      </c>
      <c r="BE45" s="183">
        <f t="shared" si="3"/>
        <v>0</v>
      </c>
      <c r="BF45" s="183">
        <f t="shared" si="4"/>
        <v>0</v>
      </c>
      <c r="BG45" s="183">
        <f t="shared" si="5"/>
        <v>0</v>
      </c>
      <c r="BH45" s="183">
        <f t="shared" si="6"/>
        <v>0</v>
      </c>
      <c r="BI45" s="183">
        <f t="shared" si="7"/>
        <v>0</v>
      </c>
      <c r="BJ45" s="183">
        <f t="shared" si="8"/>
        <v>0</v>
      </c>
      <c r="BK45" s="183">
        <f t="shared" si="9"/>
        <v>0</v>
      </c>
      <c r="BL45" s="183">
        <f t="shared" si="10"/>
        <v>0</v>
      </c>
      <c r="BM45" s="183">
        <f t="shared" si="11"/>
        <v>0</v>
      </c>
      <c r="BN45" s="183">
        <f t="shared" si="12"/>
        <v>0</v>
      </c>
      <c r="BO45" s="183">
        <f t="shared" si="13"/>
        <v>0</v>
      </c>
      <c r="BP45" s="183">
        <f t="shared" si="14"/>
        <v>0</v>
      </c>
      <c r="BQ45" s="184">
        <f t="shared" si="15"/>
        <v>11836623.9</v>
      </c>
      <c r="BR45" s="185">
        <v>100</v>
      </c>
      <c r="BS45" s="186">
        <f t="shared" si="16"/>
        <v>11836623.9</v>
      </c>
      <c r="BT45" s="187"/>
      <c r="BU45" s="181">
        <f t="shared" si="17"/>
        <v>11836623.9</v>
      </c>
      <c r="BV45" s="187">
        <v>0</v>
      </c>
      <c r="BW45" s="183" t="str">
        <f t="shared" si="18"/>
        <v>15-30</v>
      </c>
      <c r="BX45" s="183" t="str">
        <f t="shared" si="19"/>
        <v>&lt;0.25</v>
      </c>
      <c r="BY45" s="188"/>
      <c r="BZ45" s="183" t="str">
        <f t="shared" si="20"/>
        <v>FL 15-30</v>
      </c>
    </row>
    <row r="46" spans="1:78">
      <c r="A46" s="158" t="s">
        <v>505</v>
      </c>
      <c r="B46" s="159"/>
      <c r="C46" s="160">
        <v>45777</v>
      </c>
      <c r="D46" s="161" t="s">
        <v>731</v>
      </c>
      <c r="E46" s="158" t="s">
        <v>846</v>
      </c>
      <c r="F46" s="162" t="s">
        <v>847</v>
      </c>
      <c r="G46" s="163" t="s">
        <v>734</v>
      </c>
      <c r="H46" s="164">
        <v>17337943.43</v>
      </c>
      <c r="I46" s="165"/>
      <c r="J46" s="163" t="s">
        <v>12</v>
      </c>
      <c r="K46" s="163" t="s">
        <v>735</v>
      </c>
      <c r="L46" s="166" t="s">
        <v>765</v>
      </c>
      <c r="M46" s="166" t="s">
        <v>737</v>
      </c>
      <c r="N46" s="167">
        <f>+VLOOKUP(A46, [2]Sheet2!$M$3:$Z$76, 14, FALSE)</f>
        <v>9.5657909111716705E-2</v>
      </c>
      <c r="O46" s="168" t="s">
        <v>738</v>
      </c>
      <c r="P46" s="167">
        <v>0.01</v>
      </c>
      <c r="Q46" s="167">
        <f>+VLOOKUP($A46, [2]Sheet2!$M$3:$Z$76, 13, FALSE)</f>
        <v>5.2499999999999998E-2</v>
      </c>
      <c r="R46" s="166">
        <v>3</v>
      </c>
      <c r="S46" s="165"/>
      <c r="T46" s="167" t="s">
        <v>739</v>
      </c>
      <c r="U46" s="163">
        <f t="shared" si="21"/>
        <v>0.6333333333333333</v>
      </c>
      <c r="V46" s="170">
        <v>46009</v>
      </c>
      <c r="W46" s="163" t="s">
        <v>740</v>
      </c>
      <c r="X46" s="171">
        <v>100</v>
      </c>
      <c r="Y46" s="172"/>
      <c r="Z46" s="173"/>
      <c r="AA46" s="173"/>
      <c r="AB46" s="174">
        <v>17.413030005419301</v>
      </c>
      <c r="AC46" s="175">
        <v>2.5001806364717964</v>
      </c>
      <c r="AD46" s="175">
        <v>3.3033462758115371</v>
      </c>
      <c r="AE46" s="175"/>
      <c r="AF46" s="176">
        <v>3.3033462758115371</v>
      </c>
      <c r="AG46" s="170">
        <f>+VLOOKUP($A46, [2]Sheet2!$M$3:$X$76, 8, FALSE)</f>
        <v>45688</v>
      </c>
      <c r="AH46" s="163"/>
      <c r="AI46" s="176">
        <f>+VLOOKUP(A46, [2]Sheet2!$M$3:$X$76, 9, FALSE)</f>
        <v>3.1208171482074882</v>
      </c>
      <c r="AJ46" s="177">
        <f>+VLOOKUP($A46, [2]Sheet2!$M$3:$X$76, 10, FALSE)</f>
        <v>19.0098172481541</v>
      </c>
      <c r="AK46" s="175">
        <f t="shared" si="0"/>
        <v>0.18252912760404882</v>
      </c>
      <c r="AL46" s="175"/>
      <c r="AM46" s="176">
        <f>+VLOOKUP($A46, [2]Sheet2!$M$3:$X$76, 11, FALSE)</f>
        <v>3.1208171482074882</v>
      </c>
      <c r="AN46" s="176">
        <f t="shared" si="1"/>
        <v>0.18252912760404882</v>
      </c>
      <c r="AO46" s="176">
        <f>+VLOOKUP($A46, [2]Sheet2!$M$3:$X$76, 12, FALSE)</f>
        <v>2.4012273393633223</v>
      </c>
      <c r="AP46" s="176">
        <f t="shared" si="2"/>
        <v>9.8953297108474114E-2</v>
      </c>
      <c r="AQ46" s="178"/>
      <c r="AR46" s="178"/>
      <c r="AS46" s="166" t="s">
        <v>741</v>
      </c>
      <c r="AT46" s="179" t="s">
        <v>742</v>
      </c>
      <c r="AU46" s="166" t="s">
        <v>742</v>
      </c>
      <c r="AV46" s="180"/>
      <c r="AW46" s="161" t="s">
        <v>743</v>
      </c>
      <c r="AX46" s="181">
        <v>17337943.43</v>
      </c>
      <c r="AY46" s="181"/>
      <c r="AZ46" s="181">
        <f t="shared" si="22"/>
        <v>17337943.43</v>
      </c>
      <c r="BA46" s="181"/>
      <c r="BB46" s="174" t="s">
        <v>744</v>
      </c>
      <c r="BC46" s="177" t="s">
        <v>745</v>
      </c>
      <c r="BD46" s="182">
        <v>100</v>
      </c>
      <c r="BE46" s="183">
        <f t="shared" si="3"/>
        <v>0</v>
      </c>
      <c r="BF46" s="183">
        <f t="shared" si="4"/>
        <v>0</v>
      </c>
      <c r="BG46" s="183">
        <f t="shared" si="5"/>
        <v>0</v>
      </c>
      <c r="BH46" s="183">
        <f t="shared" si="6"/>
        <v>0</v>
      </c>
      <c r="BI46" s="183">
        <f t="shared" si="7"/>
        <v>0</v>
      </c>
      <c r="BJ46" s="183">
        <f t="shared" si="8"/>
        <v>0</v>
      </c>
      <c r="BK46" s="183">
        <f t="shared" si="9"/>
        <v>0</v>
      </c>
      <c r="BL46" s="183">
        <f t="shared" si="10"/>
        <v>0</v>
      </c>
      <c r="BM46" s="183">
        <f t="shared" si="11"/>
        <v>0</v>
      </c>
      <c r="BN46" s="183">
        <f t="shared" si="12"/>
        <v>0</v>
      </c>
      <c r="BO46" s="183">
        <f t="shared" si="13"/>
        <v>0</v>
      </c>
      <c r="BP46" s="183">
        <f t="shared" si="14"/>
        <v>0</v>
      </c>
      <c r="BQ46" s="184">
        <f t="shared" si="15"/>
        <v>17337943.43</v>
      </c>
      <c r="BR46" s="185">
        <v>100</v>
      </c>
      <c r="BS46" s="186">
        <f t="shared" si="16"/>
        <v>17337943.43</v>
      </c>
      <c r="BT46" s="187"/>
      <c r="BU46" s="181">
        <f t="shared" si="17"/>
        <v>17337943.43</v>
      </c>
      <c r="BV46" s="187">
        <v>0</v>
      </c>
      <c r="BW46" s="183" t="str">
        <f t="shared" si="18"/>
        <v>15-30</v>
      </c>
      <c r="BX46" s="183" t="str">
        <f t="shared" si="19"/>
        <v>&lt;0.25</v>
      </c>
      <c r="BY46" s="188"/>
      <c r="BZ46" s="183" t="str">
        <f t="shared" si="20"/>
        <v>FL 15-30</v>
      </c>
    </row>
    <row r="47" spans="1:78">
      <c r="A47" s="158" t="s">
        <v>507</v>
      </c>
      <c r="B47" s="159"/>
      <c r="C47" s="160">
        <v>45777</v>
      </c>
      <c r="D47" s="161" t="s">
        <v>731</v>
      </c>
      <c r="E47" s="158" t="s">
        <v>848</v>
      </c>
      <c r="F47" s="162" t="s">
        <v>849</v>
      </c>
      <c r="G47" s="163" t="s">
        <v>734</v>
      </c>
      <c r="H47" s="164">
        <v>1403243.65</v>
      </c>
      <c r="I47" s="189"/>
      <c r="J47" s="163" t="s">
        <v>12</v>
      </c>
      <c r="K47" s="163" t="s">
        <v>735</v>
      </c>
      <c r="L47" s="166" t="s">
        <v>834</v>
      </c>
      <c r="M47" s="166" t="s">
        <v>737</v>
      </c>
      <c r="N47" s="167">
        <f>+VLOOKUP(A47, [2]Sheet2!$M$3:$Z$76, 14, FALSE)</f>
        <v>0.1267268</v>
      </c>
      <c r="O47" s="168" t="s">
        <v>738</v>
      </c>
      <c r="P47" s="167">
        <v>0.01</v>
      </c>
      <c r="Q47" s="167">
        <f>+VLOOKUP($A47, [2]Sheet2!$M$3:$Z$76, 13, FALSE)</f>
        <v>8.3500000000000005E-2</v>
      </c>
      <c r="R47" s="166">
        <v>3</v>
      </c>
      <c r="S47" s="165"/>
      <c r="T47" s="167" t="s">
        <v>739</v>
      </c>
      <c r="U47" s="163">
        <f t="shared" si="21"/>
        <v>4.427777777777778</v>
      </c>
      <c r="V47" s="170">
        <v>47395</v>
      </c>
      <c r="W47" s="163" t="s">
        <v>740</v>
      </c>
      <c r="X47" s="171">
        <v>92.546599999999998</v>
      </c>
      <c r="Y47" s="172" t="s">
        <v>807</v>
      </c>
      <c r="Z47" s="173"/>
      <c r="AA47" s="173"/>
      <c r="AB47" s="174">
        <v>59.575000000000003</v>
      </c>
      <c r="AC47" s="175">
        <v>0.50393334461174089</v>
      </c>
      <c r="AD47" s="175">
        <v>14.733233067226173</v>
      </c>
      <c r="AE47" s="175"/>
      <c r="AF47" s="176">
        <v>14.733233067226173</v>
      </c>
      <c r="AG47" s="170">
        <f>+VLOOKUP($A47, [2]Sheet2!$M$3:$X$76, 8, FALSE)</f>
        <v>45657</v>
      </c>
      <c r="AH47" s="163"/>
      <c r="AI47" s="176">
        <f>+VLOOKUP(A47, [2]Sheet2!$M$3:$X$76, 9, FALSE)</f>
        <v>140.90989523491723</v>
      </c>
      <c r="AJ47" s="177">
        <f>+VLOOKUP($A47, [2]Sheet2!$M$3:$X$76, 10, FALSE)</f>
        <v>6.3186192974996702</v>
      </c>
      <c r="AK47" s="175">
        <f t="shared" si="0"/>
        <v>-126.17666216769106</v>
      </c>
      <c r="AL47" s="175"/>
      <c r="AM47" s="176">
        <f>+VLOOKUP($A47, [2]Sheet2!$M$3:$X$76, 11, FALSE)</f>
        <v>140.90989523491723</v>
      </c>
      <c r="AN47" s="176">
        <f t="shared" si="1"/>
        <v>-126.17666216769106</v>
      </c>
      <c r="AO47" s="176">
        <f>+VLOOKUP($A47, [2]Sheet2!$M$3:$X$76, 12, FALSE)</f>
        <v>5.277117242144163E-2</v>
      </c>
      <c r="AP47" s="176">
        <f t="shared" si="2"/>
        <v>0.45116217219029925</v>
      </c>
      <c r="AQ47" s="178"/>
      <c r="AR47" s="178"/>
      <c r="AS47" s="166" t="s">
        <v>741</v>
      </c>
      <c r="AT47" s="179" t="s">
        <v>742</v>
      </c>
      <c r="AU47" s="166" t="s">
        <v>742</v>
      </c>
      <c r="AV47" s="180"/>
      <c r="AW47" s="161" t="s">
        <v>743</v>
      </c>
      <c r="AX47" s="181">
        <v>1403243.65</v>
      </c>
      <c r="AY47" s="181">
        <v>24853.5</v>
      </c>
      <c r="AZ47" s="181">
        <f t="shared" si="22"/>
        <v>1378390.15</v>
      </c>
      <c r="BA47" s="181"/>
      <c r="BB47" s="174" t="s">
        <v>744</v>
      </c>
      <c r="BC47" s="177" t="s">
        <v>744</v>
      </c>
      <c r="BD47" s="190">
        <v>0</v>
      </c>
      <c r="BE47" s="183">
        <f t="shared" si="3"/>
        <v>0</v>
      </c>
      <c r="BF47" s="183">
        <f t="shared" si="4"/>
        <v>0</v>
      </c>
      <c r="BG47" s="183">
        <f t="shared" si="5"/>
        <v>0</v>
      </c>
      <c r="BH47" s="183">
        <f t="shared" si="6"/>
        <v>0</v>
      </c>
      <c r="BI47" s="183">
        <f t="shared" si="7"/>
        <v>0</v>
      </c>
      <c r="BJ47" s="183">
        <f t="shared" si="8"/>
        <v>1</v>
      </c>
      <c r="BK47" s="183">
        <f t="shared" si="9"/>
        <v>1</v>
      </c>
      <c r="BL47" s="183">
        <f t="shared" si="10"/>
        <v>0</v>
      </c>
      <c r="BM47" s="183">
        <f t="shared" si="11"/>
        <v>0</v>
      </c>
      <c r="BN47" s="183">
        <f t="shared" si="12"/>
        <v>1</v>
      </c>
      <c r="BO47" s="183">
        <f t="shared" si="13"/>
        <v>0</v>
      </c>
      <c r="BP47" s="183">
        <f t="shared" si="14"/>
        <v>0</v>
      </c>
      <c r="BQ47" s="184">
        <f t="shared" si="15"/>
        <v>1403243.65</v>
      </c>
      <c r="BR47" s="185">
        <v>0</v>
      </c>
      <c r="BS47" s="186">
        <f t="shared" si="16"/>
        <v>0</v>
      </c>
      <c r="BT47" s="187"/>
      <c r="BU47" s="181">
        <f t="shared" si="17"/>
        <v>0</v>
      </c>
      <c r="BV47" s="187">
        <v>0</v>
      </c>
      <c r="BW47" s="183" t="str">
        <f t="shared" si="18"/>
        <v>15-</v>
      </c>
      <c r="BX47" s="183" t="str">
        <f t="shared" si="19"/>
        <v>&lt;0.25</v>
      </c>
      <c r="BY47" s="188"/>
      <c r="BZ47" s="183" t="str">
        <f t="shared" si="20"/>
        <v>FL 15-</v>
      </c>
    </row>
    <row r="48" spans="1:78">
      <c r="A48" s="158" t="s">
        <v>510</v>
      </c>
      <c r="B48" s="159"/>
      <c r="C48" s="160">
        <v>45777</v>
      </c>
      <c r="D48" s="161" t="s">
        <v>731</v>
      </c>
      <c r="E48" s="158" t="s">
        <v>850</v>
      </c>
      <c r="F48" s="162" t="s">
        <v>851</v>
      </c>
      <c r="G48" s="163" t="s">
        <v>734</v>
      </c>
      <c r="H48" s="164">
        <v>1584191.58</v>
      </c>
      <c r="I48" s="189"/>
      <c r="J48" s="163" t="s">
        <v>12</v>
      </c>
      <c r="K48" s="163" t="s">
        <v>735</v>
      </c>
      <c r="L48" s="166" t="s">
        <v>837</v>
      </c>
      <c r="M48" s="166" t="s">
        <v>737</v>
      </c>
      <c r="N48" s="167">
        <f>+VLOOKUP(A48, [2]Sheet2!$M$3:$Z$76, 14, FALSE)</f>
        <v>9.5845899999999998E-2</v>
      </c>
      <c r="O48" s="168" t="s">
        <v>738</v>
      </c>
      <c r="P48" s="167">
        <v>0.01</v>
      </c>
      <c r="Q48" s="167">
        <f>+VLOOKUP($A48, [2]Sheet2!$M$3:$Z$76, 13, FALSE)</f>
        <v>5.2600000000000001E-2</v>
      </c>
      <c r="R48" s="166">
        <v>3</v>
      </c>
      <c r="S48" s="165"/>
      <c r="T48" s="167" t="s">
        <v>739</v>
      </c>
      <c r="U48" s="163">
        <f t="shared" si="21"/>
        <v>3.2083333333333335</v>
      </c>
      <c r="V48" s="170">
        <v>46949</v>
      </c>
      <c r="W48" s="163" t="s">
        <v>740</v>
      </c>
      <c r="X48" s="171">
        <v>100</v>
      </c>
      <c r="Y48" s="172"/>
      <c r="Z48" s="173"/>
      <c r="AA48" s="173"/>
      <c r="AB48" s="201">
        <v>203</v>
      </c>
      <c r="AC48" s="202">
        <v>2.8116343490304709</v>
      </c>
      <c r="AD48" s="202">
        <v>3.3596059113300494</v>
      </c>
      <c r="AE48" s="202"/>
      <c r="AF48" s="176">
        <v>4.5911330049261085</v>
      </c>
      <c r="AG48" s="170">
        <f>+VLOOKUP($A48, [2]Sheet2!$M$3:$X$76, 8, FALSE)</f>
        <v>45657</v>
      </c>
      <c r="AH48" s="163"/>
      <c r="AI48" s="176">
        <f>+VLOOKUP(A48, [2]Sheet2!$M$3:$X$76, 9, FALSE)</f>
        <v>4.4571243547748232</v>
      </c>
      <c r="AJ48" s="177">
        <f>+VLOOKUP($A48, [2]Sheet2!$M$3:$X$76, 10, FALSE)</f>
        <v>159.053</v>
      </c>
      <c r="AK48" s="175">
        <f t="shared" si="0"/>
        <v>-1.0975184434447738</v>
      </c>
      <c r="AL48" s="175"/>
      <c r="AM48" s="176">
        <f>+VLOOKUP($A48, [2]Sheet2!$M$3:$X$76, 11, FALSE)</f>
        <v>4.4571243547748232</v>
      </c>
      <c r="AN48" s="176">
        <f t="shared" si="1"/>
        <v>0.13400865015128538</v>
      </c>
      <c r="AO48" s="176">
        <f>+VLOOKUP($A48, [2]Sheet2!$M$3:$X$76, 12, FALSE)</f>
        <v>1.2681831953946003</v>
      </c>
      <c r="AP48" s="176">
        <f t="shared" si="2"/>
        <v>1.5434511536358706</v>
      </c>
      <c r="AQ48" s="178"/>
      <c r="AR48" s="178"/>
      <c r="AS48" s="166" t="s">
        <v>749</v>
      </c>
      <c r="AT48" s="179" t="s">
        <v>750</v>
      </c>
      <c r="AU48" s="166" t="s">
        <v>742</v>
      </c>
      <c r="AV48" s="180"/>
      <c r="AW48" s="161" t="s">
        <v>743</v>
      </c>
      <c r="AX48" s="181">
        <v>1584191.58</v>
      </c>
      <c r="AY48" s="200"/>
      <c r="AZ48" s="181">
        <f t="shared" si="22"/>
        <v>1584191.58</v>
      </c>
      <c r="BA48" s="181"/>
      <c r="BB48" s="174" t="s">
        <v>744</v>
      </c>
      <c r="BC48" s="177" t="s">
        <v>745</v>
      </c>
      <c r="BD48" s="182">
        <v>100</v>
      </c>
      <c r="BE48" s="183">
        <f t="shared" si="3"/>
        <v>0</v>
      </c>
      <c r="BF48" s="183">
        <f t="shared" si="4"/>
        <v>0</v>
      </c>
      <c r="BG48" s="183">
        <f t="shared" si="5"/>
        <v>0</v>
      </c>
      <c r="BH48" s="183">
        <f t="shared" si="6"/>
        <v>0</v>
      </c>
      <c r="BI48" s="183">
        <f t="shared" si="7"/>
        <v>0</v>
      </c>
      <c r="BJ48" s="183">
        <f t="shared" si="8"/>
        <v>0</v>
      </c>
      <c r="BK48" s="183">
        <f t="shared" si="9"/>
        <v>0</v>
      </c>
      <c r="BL48" s="183">
        <f t="shared" si="10"/>
        <v>0</v>
      </c>
      <c r="BM48" s="183">
        <f t="shared" si="11"/>
        <v>1</v>
      </c>
      <c r="BN48" s="183">
        <f t="shared" si="12"/>
        <v>0</v>
      </c>
      <c r="BO48" s="183">
        <f t="shared" si="13"/>
        <v>0</v>
      </c>
      <c r="BP48" s="183">
        <f t="shared" si="14"/>
        <v>0</v>
      </c>
      <c r="BQ48" s="184">
        <f t="shared" si="15"/>
        <v>1584191.58</v>
      </c>
      <c r="BR48" s="185">
        <v>100</v>
      </c>
      <c r="BS48" s="186">
        <f t="shared" si="16"/>
        <v>1584191.58</v>
      </c>
      <c r="BT48" s="187"/>
      <c r="BU48" s="181">
        <f t="shared" si="17"/>
        <v>1584191.58</v>
      </c>
      <c r="BV48" s="187">
        <v>0</v>
      </c>
      <c r="BW48" s="183" t="str">
        <f t="shared" si="18"/>
        <v>30+</v>
      </c>
      <c r="BX48" s="183" t="str">
        <f t="shared" si="19"/>
        <v>&lt;0.25</v>
      </c>
      <c r="BY48" s="188"/>
      <c r="BZ48" s="183" t="str">
        <f t="shared" si="20"/>
        <v>FL 30+</v>
      </c>
    </row>
    <row r="49" spans="1:78">
      <c r="A49" s="158" t="s">
        <v>513</v>
      </c>
      <c r="B49" s="159"/>
      <c r="C49" s="160">
        <v>45777</v>
      </c>
      <c r="D49" s="161" t="s">
        <v>731</v>
      </c>
      <c r="E49" s="158" t="s">
        <v>850</v>
      </c>
      <c r="F49" s="162" t="s">
        <v>852</v>
      </c>
      <c r="G49" s="163" t="s">
        <v>734</v>
      </c>
      <c r="H49" s="164">
        <v>5754732.6900000004</v>
      </c>
      <c r="I49" s="165"/>
      <c r="J49" s="163" t="s">
        <v>12</v>
      </c>
      <c r="K49" s="163" t="s">
        <v>853</v>
      </c>
      <c r="L49" s="166" t="s">
        <v>837</v>
      </c>
      <c r="M49" s="166" t="s">
        <v>737</v>
      </c>
      <c r="N49" s="167">
        <f>+VLOOKUP(A49, [2]Sheet2!$M$3:$Z$76, 14, FALSE)</f>
        <v>9.5845899999999998E-2</v>
      </c>
      <c r="O49" s="168" t="s">
        <v>738</v>
      </c>
      <c r="P49" s="167">
        <v>0.01</v>
      </c>
      <c r="Q49" s="167">
        <f>+VLOOKUP($A49, [2]Sheet2!$M$3:$Z$76, 13, FALSE)</f>
        <v>5.2600000000000001E-2</v>
      </c>
      <c r="R49" s="166">
        <v>3</v>
      </c>
      <c r="S49" s="165"/>
      <c r="T49" s="167" t="s">
        <v>739</v>
      </c>
      <c r="U49" s="163">
        <f t="shared" si="21"/>
        <v>3.4583333333333335</v>
      </c>
      <c r="V49" s="170">
        <v>47041</v>
      </c>
      <c r="W49" s="163" t="s">
        <v>740</v>
      </c>
      <c r="X49" s="171">
        <v>100</v>
      </c>
      <c r="Y49" s="172"/>
      <c r="Z49" s="173"/>
      <c r="AA49" s="173"/>
      <c r="AB49" s="174">
        <v>203</v>
      </c>
      <c r="AC49" s="175">
        <v>2.8116343490304709</v>
      </c>
      <c r="AD49" s="175">
        <v>3.3596059113300494</v>
      </c>
      <c r="AE49" s="175"/>
      <c r="AF49" s="176">
        <v>4.5911330049261085</v>
      </c>
      <c r="AG49" s="170">
        <f>+VLOOKUP($A49, [2]Sheet2!$M$3:$X$76, 8, FALSE)</f>
        <v>45657</v>
      </c>
      <c r="AH49" s="163"/>
      <c r="AI49" s="176">
        <f>+VLOOKUP(A49, [2]Sheet2!$M$3:$X$76, 9, FALSE)</f>
        <v>4.4571243547748232</v>
      </c>
      <c r="AJ49" s="177">
        <f>+VLOOKUP($A49, [2]Sheet2!$M$3:$X$76, 10, FALSE)</f>
        <v>159.053</v>
      </c>
      <c r="AK49" s="175">
        <f t="shared" si="0"/>
        <v>-1.0975184434447738</v>
      </c>
      <c r="AL49" s="175"/>
      <c r="AM49" s="176">
        <f>+VLOOKUP($A49, [2]Sheet2!$M$3:$X$76, 11, FALSE)</f>
        <v>4.4571243547748232</v>
      </c>
      <c r="AN49" s="176">
        <f t="shared" si="1"/>
        <v>0.13400865015128538</v>
      </c>
      <c r="AO49" s="176">
        <f>+VLOOKUP($A49, [2]Sheet2!$M$3:$X$76, 12, FALSE)</f>
        <v>1.2681831953946003</v>
      </c>
      <c r="AP49" s="176">
        <f t="shared" si="2"/>
        <v>1.5434511536358706</v>
      </c>
      <c r="AQ49" s="178"/>
      <c r="AR49" s="178"/>
      <c r="AS49" s="166" t="s">
        <v>749</v>
      </c>
      <c r="AT49" s="179" t="s">
        <v>750</v>
      </c>
      <c r="AU49" s="166" t="s">
        <v>742</v>
      </c>
      <c r="AV49" s="180"/>
      <c r="AW49" s="161" t="s">
        <v>743</v>
      </c>
      <c r="AX49" s="181">
        <v>5754732.6900000004</v>
      </c>
      <c r="AY49" s="181"/>
      <c r="AZ49" s="181">
        <f t="shared" si="22"/>
        <v>5754732.6900000004</v>
      </c>
      <c r="BA49" s="181"/>
      <c r="BB49" s="174" t="s">
        <v>744</v>
      </c>
      <c r="BC49" s="177" t="s">
        <v>745</v>
      </c>
      <c r="BD49" s="190">
        <v>92.4</v>
      </c>
      <c r="BE49" s="183">
        <f t="shared" si="3"/>
        <v>1</v>
      </c>
      <c r="BF49" s="183">
        <f t="shared" si="4"/>
        <v>0</v>
      </c>
      <c r="BG49" s="183">
        <f t="shared" si="5"/>
        <v>0</v>
      </c>
      <c r="BH49" s="183">
        <f t="shared" si="6"/>
        <v>0</v>
      </c>
      <c r="BI49" s="183">
        <f t="shared" si="7"/>
        <v>0</v>
      </c>
      <c r="BJ49" s="183">
        <f t="shared" si="8"/>
        <v>0</v>
      </c>
      <c r="BK49" s="183">
        <f t="shared" si="9"/>
        <v>0</v>
      </c>
      <c r="BL49" s="183">
        <f t="shared" si="10"/>
        <v>0</v>
      </c>
      <c r="BM49" s="183">
        <f t="shared" si="11"/>
        <v>1</v>
      </c>
      <c r="BN49" s="183">
        <f t="shared" si="12"/>
        <v>0</v>
      </c>
      <c r="BO49" s="183">
        <f t="shared" si="13"/>
        <v>0</v>
      </c>
      <c r="BP49" s="183">
        <f t="shared" si="14"/>
        <v>0</v>
      </c>
      <c r="BQ49" s="184">
        <f t="shared" si="15"/>
        <v>5754732.6900000004</v>
      </c>
      <c r="BR49" s="185">
        <v>100</v>
      </c>
      <c r="BS49" s="186">
        <f t="shared" si="16"/>
        <v>5754732.6900000004</v>
      </c>
      <c r="BT49" s="187"/>
      <c r="BU49" s="181">
        <f t="shared" si="17"/>
        <v>5754732.6900000004</v>
      </c>
      <c r="BV49" s="187">
        <v>0</v>
      </c>
      <c r="BW49" s="183" t="str">
        <f t="shared" si="18"/>
        <v>30+</v>
      </c>
      <c r="BX49" s="183" t="str">
        <f t="shared" si="19"/>
        <v>&lt;0.25</v>
      </c>
      <c r="BY49" s="188"/>
      <c r="BZ49" s="183" t="str">
        <f>IF(K49="FL",K49&amp;""&amp;BW49,IF(K49="FLLO",IF(OR(BX49="&lt;0.25",BY49="FL"),"FL"&amp;" "&amp;BW49,K49&amp;" "&amp;BX49),K49))</f>
        <v xml:space="preserve">FLLO </v>
      </c>
    </row>
    <row r="50" spans="1:78">
      <c r="A50" s="158" t="s">
        <v>514</v>
      </c>
      <c r="B50" s="159"/>
      <c r="C50" s="160">
        <v>45777</v>
      </c>
      <c r="D50" s="161" t="s">
        <v>731</v>
      </c>
      <c r="E50" s="158" t="s">
        <v>854</v>
      </c>
      <c r="F50" s="162" t="s">
        <v>855</v>
      </c>
      <c r="G50" s="163" t="s">
        <v>734</v>
      </c>
      <c r="H50" s="164">
        <v>12885087.720000001</v>
      </c>
      <c r="I50" s="189"/>
      <c r="J50" s="163" t="s">
        <v>12</v>
      </c>
      <c r="K50" s="163" t="s">
        <v>735</v>
      </c>
      <c r="L50" s="166" t="s">
        <v>794</v>
      </c>
      <c r="M50" s="166" t="s">
        <v>737</v>
      </c>
      <c r="N50" s="167">
        <f>+VLOOKUP(A50, [2]Sheet2!$M$3:$Z$76, 14, FALSE)</f>
        <v>0.10049200000000004</v>
      </c>
      <c r="O50" s="168" t="s">
        <v>738</v>
      </c>
      <c r="P50" s="167">
        <v>0.01</v>
      </c>
      <c r="Q50" s="167">
        <f>+VLOOKUP($A50, [2]Sheet2!$M$3:$Z$76, 13, FALSE)</f>
        <v>5.7500000000000002E-2</v>
      </c>
      <c r="R50" s="166">
        <v>3</v>
      </c>
      <c r="S50" s="165"/>
      <c r="T50" s="167" t="s">
        <v>739</v>
      </c>
      <c r="U50" s="163">
        <f t="shared" si="21"/>
        <v>4.0083333333333337</v>
      </c>
      <c r="V50" s="170">
        <v>47241</v>
      </c>
      <c r="W50" s="163" t="s">
        <v>740</v>
      </c>
      <c r="X50" s="171">
        <v>100</v>
      </c>
      <c r="Y50" s="172"/>
      <c r="Z50" s="173"/>
      <c r="AA50" s="173"/>
      <c r="AB50" s="174">
        <v>30.58</v>
      </c>
      <c r="AC50" s="175">
        <v>1.75</v>
      </c>
      <c r="AD50" s="175">
        <v>3.92</v>
      </c>
      <c r="AE50" s="175"/>
      <c r="AF50" s="176">
        <v>3.92</v>
      </c>
      <c r="AG50" s="170">
        <f>+VLOOKUP($A50, [2]Sheet2!$M$3:$X$76, 8, FALSE)</f>
        <v>45716</v>
      </c>
      <c r="AH50" s="191"/>
      <c r="AI50" s="176">
        <f>+VLOOKUP(A50, [2]Sheet2!$M$3:$X$76, 9, FALSE)</f>
        <v>4.9428833230417455</v>
      </c>
      <c r="AJ50" s="177">
        <f>+VLOOKUP($A50, [2]Sheet2!$M$3:$X$76, 10, FALSE)</f>
        <v>27.504242122458013</v>
      </c>
      <c r="AK50" s="175">
        <f t="shared" si="0"/>
        <v>-1.0228833230417456</v>
      </c>
      <c r="AL50" s="175"/>
      <c r="AM50" s="176">
        <f>+VLOOKUP($A50, [2]Sheet2!$M$3:$X$76, 11, FALSE)</f>
        <v>4.9428833230417455</v>
      </c>
      <c r="AN50" s="176">
        <f t="shared" si="1"/>
        <v>-1.0228833230417456</v>
      </c>
      <c r="AO50" s="176">
        <f>+VLOOKUP($A50, [2]Sheet2!$M$3:$X$76, 12, FALSE)</f>
        <v>1.5549156472306127</v>
      </c>
      <c r="AP50" s="176">
        <f t="shared" si="2"/>
        <v>0.19508435276938729</v>
      </c>
      <c r="AQ50" s="192"/>
      <c r="AR50" s="192"/>
      <c r="AS50" s="166" t="s">
        <v>741</v>
      </c>
      <c r="AT50" s="179" t="s">
        <v>742</v>
      </c>
      <c r="AU50" s="166" t="s">
        <v>742</v>
      </c>
      <c r="AV50" s="180"/>
      <c r="AW50" s="161" t="s">
        <v>743</v>
      </c>
      <c r="AX50" s="181">
        <v>12885087.720000001</v>
      </c>
      <c r="AY50" s="181"/>
      <c r="AZ50" s="181">
        <f t="shared" si="22"/>
        <v>12885087.720000001</v>
      </c>
      <c r="BA50" s="181"/>
      <c r="BB50" s="174" t="s">
        <v>744</v>
      </c>
      <c r="BC50" s="177" t="s">
        <v>744</v>
      </c>
      <c r="BD50" s="182">
        <v>100</v>
      </c>
      <c r="BE50" s="183">
        <f t="shared" si="3"/>
        <v>0</v>
      </c>
      <c r="BF50" s="183">
        <f t="shared" si="4"/>
        <v>0</v>
      </c>
      <c r="BG50" s="183">
        <f t="shared" si="5"/>
        <v>0</v>
      </c>
      <c r="BH50" s="183">
        <f t="shared" si="6"/>
        <v>0</v>
      </c>
      <c r="BI50" s="183">
        <f t="shared" si="7"/>
        <v>0</v>
      </c>
      <c r="BJ50" s="183">
        <f t="shared" si="8"/>
        <v>0</v>
      </c>
      <c r="BK50" s="183">
        <f t="shared" si="9"/>
        <v>0</v>
      </c>
      <c r="BL50" s="183">
        <f t="shared" si="10"/>
        <v>0</v>
      </c>
      <c r="BM50" s="183">
        <f t="shared" si="11"/>
        <v>0</v>
      </c>
      <c r="BN50" s="183">
        <f t="shared" si="12"/>
        <v>0</v>
      </c>
      <c r="BO50" s="183">
        <f t="shared" si="13"/>
        <v>0</v>
      </c>
      <c r="BP50" s="183">
        <f t="shared" si="14"/>
        <v>0</v>
      </c>
      <c r="BQ50" s="184">
        <f t="shared" si="15"/>
        <v>12885087.720000001</v>
      </c>
      <c r="BR50" s="185">
        <v>100</v>
      </c>
      <c r="BS50" s="186">
        <f t="shared" si="16"/>
        <v>12885087.720000001</v>
      </c>
      <c r="BT50" s="187"/>
      <c r="BU50" s="181">
        <f t="shared" si="17"/>
        <v>12885087.720000001</v>
      </c>
      <c r="BV50" s="187">
        <v>0</v>
      </c>
      <c r="BW50" s="183" t="str">
        <f t="shared" si="18"/>
        <v>15-30</v>
      </c>
      <c r="BX50" s="183" t="str">
        <f t="shared" si="19"/>
        <v>&lt;0.25</v>
      </c>
      <c r="BY50" s="188"/>
      <c r="BZ50" s="183" t="str">
        <f t="shared" si="20"/>
        <v>FL 15-30</v>
      </c>
    </row>
    <row r="51" spans="1:78">
      <c r="A51" s="158" t="s">
        <v>516</v>
      </c>
      <c r="B51" s="159"/>
      <c r="C51" s="160">
        <v>45777</v>
      </c>
      <c r="D51" s="161" t="s">
        <v>731</v>
      </c>
      <c r="E51" s="158" t="s">
        <v>856</v>
      </c>
      <c r="F51" s="162" t="s">
        <v>857</v>
      </c>
      <c r="G51" s="163" t="s">
        <v>734</v>
      </c>
      <c r="H51" s="164">
        <v>795000</v>
      </c>
      <c r="I51" s="165"/>
      <c r="J51" s="163" t="s">
        <v>12</v>
      </c>
      <c r="K51" s="163" t="s">
        <v>735</v>
      </c>
      <c r="L51" s="166" t="s">
        <v>770</v>
      </c>
      <c r="M51" s="166" t="s">
        <v>737</v>
      </c>
      <c r="N51" s="167">
        <f>+VLOOKUP(A51, [2]Sheet2!$M$3:$Z$76, 14, FALSE)</f>
        <v>9.5491999999999994E-2</v>
      </c>
      <c r="O51" s="168" t="s">
        <v>738</v>
      </c>
      <c r="P51" s="167">
        <v>0.01</v>
      </c>
      <c r="Q51" s="167">
        <f>+VLOOKUP($A51, [2]Sheet2!$M$3:$Z$76, 13, FALSE)</f>
        <v>5.2499999999999998E-2</v>
      </c>
      <c r="R51" s="166">
        <v>3</v>
      </c>
      <c r="S51" s="165"/>
      <c r="T51" s="167" t="s">
        <v>739</v>
      </c>
      <c r="U51" s="163">
        <f t="shared" si="21"/>
        <v>5.5027777777777782</v>
      </c>
      <c r="V51" s="170">
        <v>47788</v>
      </c>
      <c r="W51" s="163" t="s">
        <v>740</v>
      </c>
      <c r="X51" s="171">
        <v>100</v>
      </c>
      <c r="Y51" s="172"/>
      <c r="Z51" s="173"/>
      <c r="AA51" s="173"/>
      <c r="AB51" s="174">
        <v>35.32387358650945</v>
      </c>
      <c r="AC51" s="175">
        <v>6.5855168255177441</v>
      </c>
      <c r="AD51" s="175">
        <v>2.073567133871002</v>
      </c>
      <c r="AE51" s="175"/>
      <c r="AF51" s="176">
        <v>2.073567133871002</v>
      </c>
      <c r="AG51" s="170">
        <f>+VLOOKUP($A51, [2]Sheet2!$M$3:$X$76, 8, FALSE)</f>
        <v>45657</v>
      </c>
      <c r="AH51" s="163"/>
      <c r="AI51" s="176">
        <f>+VLOOKUP(A51, [2]Sheet2!$M$3:$X$76, 9, FALSE)</f>
        <v>3.4534393649966515</v>
      </c>
      <c r="AJ51" s="177">
        <f>+VLOOKUP($A51, [2]Sheet2!$M$3:$X$76, 10, FALSE)</f>
        <v>65.760529141423106</v>
      </c>
      <c r="AK51" s="175">
        <f t="shared" si="0"/>
        <v>-1.3798722311256495</v>
      </c>
      <c r="AL51" s="175"/>
      <c r="AM51" s="176">
        <f>+VLOOKUP($A51, [2]Sheet2!$M$3:$X$76, 11, FALSE)</f>
        <v>3.4534393649966515</v>
      </c>
      <c r="AN51" s="176">
        <f t="shared" si="1"/>
        <v>-1.3798722311256495</v>
      </c>
      <c r="AO51" s="176">
        <f>+VLOOKUP($A51, [2]Sheet2!$M$3:$X$76, 12, FALSE)</f>
        <v>2.3912919687790222</v>
      </c>
      <c r="AP51" s="176">
        <f t="shared" si="2"/>
        <v>4.1942248567387219</v>
      </c>
      <c r="AQ51" s="178"/>
      <c r="AR51" s="178"/>
      <c r="AS51" s="166" t="s">
        <v>741</v>
      </c>
      <c r="AT51" s="179" t="s">
        <v>742</v>
      </c>
      <c r="AU51" s="166" t="s">
        <v>742</v>
      </c>
      <c r="AV51" s="180"/>
      <c r="AW51" s="161" t="s">
        <v>743</v>
      </c>
      <c r="AX51" s="181">
        <v>795000</v>
      </c>
      <c r="AY51" s="181"/>
      <c r="AZ51" s="181">
        <f t="shared" si="22"/>
        <v>795000</v>
      </c>
      <c r="BA51" s="181"/>
      <c r="BB51" s="174" t="s">
        <v>744</v>
      </c>
      <c r="BC51" s="177" t="s">
        <v>744</v>
      </c>
      <c r="BD51" s="182">
        <v>100</v>
      </c>
      <c r="BE51" s="183">
        <f t="shared" si="3"/>
        <v>0</v>
      </c>
      <c r="BF51" s="183">
        <f t="shared" si="4"/>
        <v>0</v>
      </c>
      <c r="BG51" s="183">
        <f t="shared" si="5"/>
        <v>0</v>
      </c>
      <c r="BH51" s="183">
        <f t="shared" si="6"/>
        <v>0</v>
      </c>
      <c r="BI51" s="183">
        <f t="shared" si="7"/>
        <v>0</v>
      </c>
      <c r="BJ51" s="183">
        <f t="shared" si="8"/>
        <v>0</v>
      </c>
      <c r="BK51" s="183">
        <f t="shared" si="9"/>
        <v>0</v>
      </c>
      <c r="BL51" s="183">
        <f t="shared" si="10"/>
        <v>0</v>
      </c>
      <c r="BM51" s="183">
        <f t="shared" si="11"/>
        <v>0</v>
      </c>
      <c r="BN51" s="183">
        <f t="shared" si="12"/>
        <v>0</v>
      </c>
      <c r="BO51" s="183">
        <f t="shared" si="13"/>
        <v>0</v>
      </c>
      <c r="BP51" s="183">
        <f t="shared" si="14"/>
        <v>0</v>
      </c>
      <c r="BQ51" s="184">
        <f t="shared" si="15"/>
        <v>795000</v>
      </c>
      <c r="BR51" s="185">
        <v>100</v>
      </c>
      <c r="BS51" s="186">
        <f t="shared" si="16"/>
        <v>795000</v>
      </c>
      <c r="BT51" s="187"/>
      <c r="BU51" s="181">
        <f t="shared" si="17"/>
        <v>795000</v>
      </c>
      <c r="BV51" s="187">
        <v>0</v>
      </c>
      <c r="BW51" s="183" t="str">
        <f t="shared" si="18"/>
        <v>30+</v>
      </c>
      <c r="BX51" s="183" t="str">
        <f t="shared" si="19"/>
        <v>&lt;0.25</v>
      </c>
      <c r="BY51" s="188"/>
      <c r="BZ51" s="183" t="str">
        <f t="shared" si="20"/>
        <v>FL 30+</v>
      </c>
    </row>
    <row r="52" spans="1:78">
      <c r="A52" s="158" t="s">
        <v>518</v>
      </c>
      <c r="B52" s="159"/>
      <c r="C52" s="160">
        <v>45777</v>
      </c>
      <c r="D52" s="161" t="s">
        <v>731</v>
      </c>
      <c r="E52" s="158" t="s">
        <v>858</v>
      </c>
      <c r="F52" s="162" t="s">
        <v>859</v>
      </c>
      <c r="G52" s="163" t="s">
        <v>734</v>
      </c>
      <c r="H52" s="164">
        <v>5985000</v>
      </c>
      <c r="I52" s="165"/>
      <c r="J52" s="163" t="s">
        <v>12</v>
      </c>
      <c r="K52" s="163" t="s">
        <v>735</v>
      </c>
      <c r="L52" s="166" t="s">
        <v>759</v>
      </c>
      <c r="M52" s="166" t="s">
        <v>737</v>
      </c>
      <c r="N52" s="167">
        <f>+VLOOKUP(A52, [2]Sheet2!$M$3:$Z$76, 14, FALSE)</f>
        <v>0.105492</v>
      </c>
      <c r="O52" s="168" t="s">
        <v>738</v>
      </c>
      <c r="P52" s="167">
        <v>0.01</v>
      </c>
      <c r="Q52" s="167">
        <f>+VLOOKUP($A52, [2]Sheet2!$M$3:$Z$76, 13, FALSE)</f>
        <v>6.25E-2</v>
      </c>
      <c r="R52" s="166">
        <v>3</v>
      </c>
      <c r="S52" s="165"/>
      <c r="T52" s="167" t="s">
        <v>739</v>
      </c>
      <c r="U52" s="163">
        <f t="shared" si="21"/>
        <v>5.5</v>
      </c>
      <c r="V52" s="170">
        <v>47787</v>
      </c>
      <c r="W52" s="163" t="s">
        <v>740</v>
      </c>
      <c r="X52" s="171">
        <v>100</v>
      </c>
      <c r="Y52" s="172"/>
      <c r="Z52" s="173"/>
      <c r="AA52" s="173"/>
      <c r="AB52" s="174">
        <v>22.676727272727273</v>
      </c>
      <c r="AC52" s="175">
        <v>2.1804545454545456</v>
      </c>
      <c r="AD52" s="175">
        <v>3.5376565601898626</v>
      </c>
      <c r="AE52" s="175"/>
      <c r="AF52" s="176">
        <v>3.5376565601898626</v>
      </c>
      <c r="AG52" s="170">
        <f>+VLOOKUP($A52, [2]Sheet2!$M$3:$X$76, 8, FALSE)</f>
        <v>45688</v>
      </c>
      <c r="AH52" s="163"/>
      <c r="AI52" s="176">
        <f>+VLOOKUP(A52, [2]Sheet2!$M$3:$X$76, 9, FALSE)</f>
        <v>3.2375410632233677</v>
      </c>
      <c r="AJ52" s="177">
        <f>+VLOOKUP($A52, [2]Sheet2!$M$3:$X$76, 10, FALSE)</f>
        <v>23.808712999999997</v>
      </c>
      <c r="AK52" s="175">
        <f t="shared" si="0"/>
        <v>0.30011549696649498</v>
      </c>
      <c r="AL52" s="175"/>
      <c r="AM52" s="176">
        <f>+VLOOKUP($A52, [2]Sheet2!$M$3:$X$76, 11, FALSE)</f>
        <v>3.2375410632233677</v>
      </c>
      <c r="AN52" s="176">
        <f t="shared" si="1"/>
        <v>0.30011549696649498</v>
      </c>
      <c r="AO52" s="176">
        <f>+VLOOKUP($A52, [2]Sheet2!$M$3:$X$76, 12, FALSE)</f>
        <v>2.2892993269230768</v>
      </c>
      <c r="AP52" s="176">
        <f t="shared" si="2"/>
        <v>-0.10884478146853116</v>
      </c>
      <c r="AQ52" s="178"/>
      <c r="AR52" s="178"/>
      <c r="AS52" s="166" t="s">
        <v>741</v>
      </c>
      <c r="AT52" s="179" t="s">
        <v>742</v>
      </c>
      <c r="AU52" s="166" t="s">
        <v>742</v>
      </c>
      <c r="AV52" s="180"/>
      <c r="AW52" s="161" t="s">
        <v>743</v>
      </c>
      <c r="AX52" s="181">
        <v>5985000</v>
      </c>
      <c r="AY52" s="181"/>
      <c r="AZ52" s="181">
        <f t="shared" si="22"/>
        <v>5985000</v>
      </c>
      <c r="BA52" s="181"/>
      <c r="BB52" s="174" t="s">
        <v>744</v>
      </c>
      <c r="BC52" s="177" t="s">
        <v>745</v>
      </c>
      <c r="BD52" s="182">
        <v>100</v>
      </c>
      <c r="BE52" s="183">
        <f t="shared" si="3"/>
        <v>0</v>
      </c>
      <c r="BF52" s="183">
        <f t="shared" si="4"/>
        <v>0</v>
      </c>
      <c r="BG52" s="183">
        <f t="shared" si="5"/>
        <v>0</v>
      </c>
      <c r="BH52" s="183">
        <f t="shared" si="6"/>
        <v>0</v>
      </c>
      <c r="BI52" s="183">
        <f t="shared" si="7"/>
        <v>0</v>
      </c>
      <c r="BJ52" s="183">
        <f t="shared" si="8"/>
        <v>0</v>
      </c>
      <c r="BK52" s="183">
        <f t="shared" si="9"/>
        <v>0</v>
      </c>
      <c r="BL52" s="183">
        <f t="shared" si="10"/>
        <v>0</v>
      </c>
      <c r="BM52" s="183">
        <f t="shared" si="11"/>
        <v>0</v>
      </c>
      <c r="BN52" s="183">
        <f t="shared" si="12"/>
        <v>0</v>
      </c>
      <c r="BO52" s="183">
        <f t="shared" si="13"/>
        <v>0</v>
      </c>
      <c r="BP52" s="183">
        <f t="shared" si="14"/>
        <v>0</v>
      </c>
      <c r="BQ52" s="184">
        <f t="shared" si="15"/>
        <v>5985000</v>
      </c>
      <c r="BR52" s="185">
        <v>100</v>
      </c>
      <c r="BS52" s="186">
        <f t="shared" si="16"/>
        <v>5985000</v>
      </c>
      <c r="BT52" s="187"/>
      <c r="BU52" s="181">
        <f t="shared" si="17"/>
        <v>5985000</v>
      </c>
      <c r="BV52" s="187"/>
      <c r="BW52" s="183" t="str">
        <f t="shared" si="18"/>
        <v>15-30</v>
      </c>
      <c r="BX52" s="183" t="str">
        <f t="shared" si="19"/>
        <v>&lt;0.25</v>
      </c>
      <c r="BY52" s="188"/>
      <c r="BZ52" s="183" t="str">
        <f t="shared" si="20"/>
        <v>FL 15-30</v>
      </c>
    </row>
    <row r="53" spans="1:78">
      <c r="A53" s="158" t="s">
        <v>521</v>
      </c>
      <c r="B53" s="159"/>
      <c r="C53" s="160">
        <v>45777</v>
      </c>
      <c r="D53" s="161" t="s">
        <v>731</v>
      </c>
      <c r="E53" s="158" t="s">
        <v>860</v>
      </c>
      <c r="F53" s="162" t="s">
        <v>861</v>
      </c>
      <c r="G53" s="163" t="s">
        <v>734</v>
      </c>
      <c r="H53" s="164">
        <v>0</v>
      </c>
      <c r="I53" s="189"/>
      <c r="J53" s="163" t="s">
        <v>12</v>
      </c>
      <c r="K53" s="163" t="s">
        <v>735</v>
      </c>
      <c r="L53" s="166" t="s">
        <v>814</v>
      </c>
      <c r="M53" s="166" t="s">
        <v>737</v>
      </c>
      <c r="N53" s="167">
        <f>+VLOOKUP(A53, [2]Sheet2!$M$3:$Z$76, 14, FALSE)</f>
        <v>9.9604000000000012E-2</v>
      </c>
      <c r="O53" s="168" t="s">
        <v>738</v>
      </c>
      <c r="P53" s="167">
        <v>0.01</v>
      </c>
      <c r="Q53" s="167">
        <f>+VLOOKUP($A53, [2]Sheet2!$M$3:$Z$76, 13, FALSE)</f>
        <v>5.6500000000000002E-2</v>
      </c>
      <c r="R53" s="166">
        <v>3</v>
      </c>
      <c r="S53" s="165"/>
      <c r="T53" s="167" t="s">
        <v>739</v>
      </c>
      <c r="U53" s="163">
        <f t="shared" si="21"/>
        <v>1.663888888888889</v>
      </c>
      <c r="V53" s="170">
        <v>46385</v>
      </c>
      <c r="W53" s="163" t="s">
        <v>740</v>
      </c>
      <c r="X53" s="171">
        <v>100</v>
      </c>
      <c r="Y53" s="172"/>
      <c r="Z53" s="173"/>
      <c r="AA53" s="173"/>
      <c r="AB53" s="174">
        <v>23.406038272292299</v>
      </c>
      <c r="AC53" s="175">
        <v>2.9782794751522661</v>
      </c>
      <c r="AD53" s="175">
        <v>4.0673265117530057</v>
      </c>
      <c r="AE53" s="175"/>
      <c r="AF53" s="176">
        <v>4.0673265117530057</v>
      </c>
      <c r="AG53" s="170">
        <f>+VLOOKUP($A53, [2]Sheet2!$M$3:$X$76, 8, FALSE)</f>
        <v>45716</v>
      </c>
      <c r="AH53" s="163"/>
      <c r="AI53" s="176">
        <f>+VLOOKUP(A53, [2]Sheet2!$M$3:$X$76, 9, FALSE)</f>
        <v>3.1011520180631922</v>
      </c>
      <c r="AJ53" s="177">
        <f>+VLOOKUP($A53, [2]Sheet2!$M$3:$X$76, 10, FALSE)</f>
        <v>32.781396625467998</v>
      </c>
      <c r="AK53" s="175">
        <f t="shared" si="0"/>
        <v>0.96617449368981356</v>
      </c>
      <c r="AL53" s="175"/>
      <c r="AM53" s="176">
        <f>+VLOOKUP($A53, [2]Sheet2!$M$3:$X$76, 11, FALSE)</f>
        <v>3.1011520180631922</v>
      </c>
      <c r="AN53" s="176">
        <f t="shared" si="1"/>
        <v>0.96617449368981356</v>
      </c>
      <c r="AO53" s="176">
        <f>+VLOOKUP($A53, [2]Sheet2!$M$3:$X$76, 12, FALSE)</f>
        <v>2.9570394423261934</v>
      </c>
      <c r="AP53" s="176">
        <f t="shared" si="2"/>
        <v>2.1240032826072675E-2</v>
      </c>
      <c r="AQ53" s="178"/>
      <c r="AR53" s="178"/>
      <c r="AS53" s="166" t="s">
        <v>741</v>
      </c>
      <c r="AT53" s="179" t="s">
        <v>742</v>
      </c>
      <c r="AU53" s="166" t="s">
        <v>742</v>
      </c>
      <c r="AV53" s="180"/>
      <c r="AW53" s="161" t="s">
        <v>743</v>
      </c>
      <c r="AX53" s="181">
        <v>0</v>
      </c>
      <c r="AY53" s="181"/>
      <c r="AZ53" s="181">
        <f t="shared" si="22"/>
        <v>0</v>
      </c>
      <c r="BA53" s="181"/>
      <c r="BB53" s="174" t="s">
        <v>744</v>
      </c>
      <c r="BC53" s="177" t="s">
        <v>745</v>
      </c>
      <c r="BD53" s="182">
        <v>100</v>
      </c>
      <c r="BE53" s="183">
        <f t="shared" si="3"/>
        <v>0</v>
      </c>
      <c r="BF53" s="183">
        <f t="shared" si="4"/>
        <v>0</v>
      </c>
      <c r="BG53" s="183">
        <f t="shared" si="5"/>
        <v>0</v>
      </c>
      <c r="BH53" s="183">
        <f t="shared" si="6"/>
        <v>0</v>
      </c>
      <c r="BI53" s="183">
        <f t="shared" si="7"/>
        <v>0</v>
      </c>
      <c r="BJ53" s="183">
        <f t="shared" si="8"/>
        <v>0</v>
      </c>
      <c r="BK53" s="183">
        <f t="shared" si="9"/>
        <v>0</v>
      </c>
      <c r="BL53" s="183">
        <f t="shared" si="10"/>
        <v>0</v>
      </c>
      <c r="BM53" s="183">
        <f t="shared" si="11"/>
        <v>0</v>
      </c>
      <c r="BN53" s="183">
        <f t="shared" si="12"/>
        <v>0</v>
      </c>
      <c r="BO53" s="183">
        <f t="shared" si="13"/>
        <v>0</v>
      </c>
      <c r="BP53" s="183">
        <f t="shared" si="14"/>
        <v>0</v>
      </c>
      <c r="BQ53" s="184">
        <f t="shared" si="15"/>
        <v>0</v>
      </c>
      <c r="BR53" s="185">
        <v>100</v>
      </c>
      <c r="BS53" s="186">
        <f t="shared" si="16"/>
        <v>0</v>
      </c>
      <c r="BT53" s="187"/>
      <c r="BU53" s="181">
        <f t="shared" si="17"/>
        <v>0</v>
      </c>
      <c r="BV53" s="187">
        <v>0</v>
      </c>
      <c r="BW53" s="183" t="str">
        <f t="shared" si="18"/>
        <v>30+</v>
      </c>
      <c r="BX53" s="183" t="str">
        <f t="shared" si="19"/>
        <v>&lt;0.25</v>
      </c>
      <c r="BY53" s="188"/>
      <c r="BZ53" s="183" t="str">
        <f t="shared" si="20"/>
        <v>FL 30+</v>
      </c>
    </row>
    <row r="54" spans="1:78">
      <c r="A54" s="158" t="s">
        <v>523</v>
      </c>
      <c r="B54" s="159"/>
      <c r="C54" s="160">
        <v>45777</v>
      </c>
      <c r="D54" s="161" t="s">
        <v>731</v>
      </c>
      <c r="E54" s="158" t="s">
        <v>862</v>
      </c>
      <c r="F54" s="162" t="s">
        <v>863</v>
      </c>
      <c r="G54" s="163" t="s">
        <v>734</v>
      </c>
      <c r="H54" s="164">
        <v>608095.06000000006</v>
      </c>
      <c r="I54" s="165"/>
      <c r="J54" s="163" t="s">
        <v>12</v>
      </c>
      <c r="K54" s="163" t="s">
        <v>735</v>
      </c>
      <c r="L54" s="166" t="s">
        <v>820</v>
      </c>
      <c r="M54" s="166" t="s">
        <v>737</v>
      </c>
      <c r="N54" s="167">
        <f>+VLOOKUP(A54, [2]Sheet2!$M$3:$Z$76, 14, FALSE)</f>
        <v>0.104492</v>
      </c>
      <c r="O54" s="168" t="s">
        <v>738</v>
      </c>
      <c r="P54" s="167">
        <v>0</v>
      </c>
      <c r="Q54" s="167">
        <f>+VLOOKUP($A54, [2]Sheet2!$M$3:$Z$76, 13, FALSE)</f>
        <v>6.1499999999999999E-2</v>
      </c>
      <c r="R54" s="166">
        <v>3</v>
      </c>
      <c r="S54" s="165"/>
      <c r="T54" s="167" t="s">
        <v>739</v>
      </c>
      <c r="U54" s="163">
        <f t="shared" si="21"/>
        <v>4.1194444444444445</v>
      </c>
      <c r="V54" s="170">
        <v>47282</v>
      </c>
      <c r="W54" s="163" t="s">
        <v>740</v>
      </c>
      <c r="X54" s="171">
        <v>100</v>
      </c>
      <c r="Y54" s="172"/>
      <c r="Z54" s="173"/>
      <c r="AA54" s="173"/>
      <c r="AB54" s="174">
        <v>11.92</v>
      </c>
      <c r="AC54" s="175">
        <v>2.33</v>
      </c>
      <c r="AD54" s="175">
        <v>5.01</v>
      </c>
      <c r="AE54" s="175"/>
      <c r="AF54" s="176">
        <v>5.0100671140939594</v>
      </c>
      <c r="AG54" s="170">
        <f>+VLOOKUP($A54, [2]Sheet2!$M$3:$X$76, 8, FALSE)</f>
        <v>45716</v>
      </c>
      <c r="AH54" s="163"/>
      <c r="AI54" s="176">
        <f>+VLOOKUP(A54, [2]Sheet2!$M$3:$X$76, 9, FALSE)</f>
        <v>8.0163226520675543</v>
      </c>
      <c r="AJ54" s="177">
        <f>+VLOOKUP($A54, [2]Sheet2!$M$3:$X$76, 10, FALSE)</f>
        <v>7.4296750000000005</v>
      </c>
      <c r="AK54" s="175">
        <f t="shared" si="0"/>
        <v>-3.0063226520675546</v>
      </c>
      <c r="AL54" s="175"/>
      <c r="AM54" s="176">
        <f>+VLOOKUP($A54, [2]Sheet2!$M$3:$X$76, 11, FALSE)</f>
        <v>8.0163226520675543</v>
      </c>
      <c r="AN54" s="176">
        <f t="shared" si="1"/>
        <v>-3.0062555379735949</v>
      </c>
      <c r="AO54" s="176">
        <f>+VLOOKUP($A54, [2]Sheet2!$M$3:$X$76, 12, FALSE)</f>
        <v>2.8889999999999998</v>
      </c>
      <c r="AP54" s="176">
        <f t="shared" si="2"/>
        <v>-0.55899999999999972</v>
      </c>
      <c r="AQ54" s="178"/>
      <c r="AR54" s="178"/>
      <c r="AS54" s="166" t="s">
        <v>741</v>
      </c>
      <c r="AT54" s="179" t="s">
        <v>742</v>
      </c>
      <c r="AU54" s="166" t="s">
        <v>742</v>
      </c>
      <c r="AV54" s="180"/>
      <c r="AW54" s="161" t="s">
        <v>743</v>
      </c>
      <c r="AX54" s="181">
        <v>608095.06000000006</v>
      </c>
      <c r="AY54" s="181"/>
      <c r="AZ54" s="181">
        <f t="shared" si="22"/>
        <v>608095.06000000006</v>
      </c>
      <c r="BA54" s="181"/>
      <c r="BB54" s="174" t="s">
        <v>744</v>
      </c>
      <c r="BC54" s="177" t="s">
        <v>744</v>
      </c>
      <c r="BD54" s="190">
        <v>90</v>
      </c>
      <c r="BE54" s="183">
        <f t="shared" si="3"/>
        <v>0</v>
      </c>
      <c r="BF54" s="183">
        <f t="shared" si="4"/>
        <v>0</v>
      </c>
      <c r="BG54" s="183">
        <f t="shared" si="5"/>
        <v>0</v>
      </c>
      <c r="BH54" s="183">
        <f t="shared" si="6"/>
        <v>0</v>
      </c>
      <c r="BI54" s="183">
        <f t="shared" si="7"/>
        <v>0</v>
      </c>
      <c r="BJ54" s="183">
        <f t="shared" si="8"/>
        <v>1</v>
      </c>
      <c r="BK54" s="183">
        <f t="shared" si="9"/>
        <v>1</v>
      </c>
      <c r="BL54" s="183">
        <f t="shared" si="10"/>
        <v>0</v>
      </c>
      <c r="BM54" s="183">
        <f t="shared" si="11"/>
        <v>0</v>
      </c>
      <c r="BN54" s="183">
        <f t="shared" si="12"/>
        <v>1</v>
      </c>
      <c r="BO54" s="183">
        <f t="shared" si="13"/>
        <v>0</v>
      </c>
      <c r="BP54" s="183">
        <f t="shared" si="14"/>
        <v>0</v>
      </c>
      <c r="BQ54" s="184">
        <f t="shared" si="15"/>
        <v>608095.06000000006</v>
      </c>
      <c r="BR54" s="185">
        <v>90</v>
      </c>
      <c r="BS54" s="186">
        <f t="shared" si="16"/>
        <v>547285.554</v>
      </c>
      <c r="BT54" s="187"/>
      <c r="BU54" s="181">
        <f t="shared" si="17"/>
        <v>547285.554</v>
      </c>
      <c r="BV54" s="187">
        <v>0</v>
      </c>
      <c r="BW54" s="183" t="str">
        <f t="shared" si="18"/>
        <v>15-</v>
      </c>
      <c r="BX54" s="183" t="str">
        <f t="shared" si="19"/>
        <v>&lt;0.25</v>
      </c>
      <c r="BY54" s="188"/>
      <c r="BZ54" s="183" t="str">
        <f t="shared" si="20"/>
        <v>FL 15-</v>
      </c>
    </row>
    <row r="55" spans="1:78">
      <c r="A55" s="158" t="s">
        <v>524</v>
      </c>
      <c r="B55" s="159"/>
      <c r="C55" s="160">
        <v>45777</v>
      </c>
      <c r="D55" s="161" t="s">
        <v>731</v>
      </c>
      <c r="E55" s="158" t="s">
        <v>864</v>
      </c>
      <c r="F55" s="162" t="s">
        <v>865</v>
      </c>
      <c r="G55" s="163" t="s">
        <v>734</v>
      </c>
      <c r="H55" s="164">
        <v>18453743</v>
      </c>
      <c r="I55" s="165"/>
      <c r="J55" s="163" t="s">
        <v>12</v>
      </c>
      <c r="K55" s="163" t="s">
        <v>735</v>
      </c>
      <c r="L55" s="166" t="s">
        <v>759</v>
      </c>
      <c r="M55" s="166" t="s">
        <v>737</v>
      </c>
      <c r="N55" s="167">
        <f>+VLOOKUP(A55, [2]Sheet2!$M$3:$Z$76, 14, FALSE)</f>
        <v>0.11199199999999999</v>
      </c>
      <c r="O55" s="168" t="s">
        <v>738</v>
      </c>
      <c r="P55" s="167">
        <v>0.01</v>
      </c>
      <c r="Q55" s="167">
        <f>+VLOOKUP($A55, [2]Sheet2!$M$3:$Z$76, 13, FALSE)</f>
        <v>6.9000000000000006E-2</v>
      </c>
      <c r="R55" s="166">
        <v>3</v>
      </c>
      <c r="S55" s="165"/>
      <c r="T55" s="167" t="s">
        <v>739</v>
      </c>
      <c r="U55" s="163">
        <f t="shared" si="21"/>
        <v>2.6333333333333333</v>
      </c>
      <c r="V55" s="170">
        <v>46739</v>
      </c>
      <c r="W55" s="163" t="s">
        <v>740</v>
      </c>
      <c r="X55" s="171">
        <v>100</v>
      </c>
      <c r="Y55" s="172"/>
      <c r="Z55" s="173"/>
      <c r="AA55" s="173"/>
      <c r="AB55" s="174">
        <v>19.343557000000001</v>
      </c>
      <c r="AC55" s="175">
        <v>1.0997622130469673</v>
      </c>
      <c r="AD55" s="175">
        <v>4.7935387307515356</v>
      </c>
      <c r="AE55" s="175"/>
      <c r="AF55" s="176">
        <v>7.2698154568986455</v>
      </c>
      <c r="AG55" s="170">
        <f>+VLOOKUP($A55, [2]Sheet2!$M$3:$X$76, 8, FALSE)</f>
        <v>45716</v>
      </c>
      <c r="AH55" s="163"/>
      <c r="AI55" s="176">
        <f>+VLOOKUP(A55, [2]Sheet2!$M$3:$X$76, 9, FALSE)</f>
        <v>4.3893982675291987</v>
      </c>
      <c r="AJ55" s="177">
        <f>+VLOOKUP($A55, [2]Sheet2!$M$3:$X$76, 10, FALSE)</f>
        <v>30.719017000000001</v>
      </c>
      <c r="AK55" s="175">
        <f t="shared" si="0"/>
        <v>0.40414046322233688</v>
      </c>
      <c r="AL55" s="175"/>
      <c r="AM55" s="176">
        <f>+VLOOKUP($A55, [2]Sheet2!$M$3:$X$76, 11, FALSE)</f>
        <v>6.3288483482397888</v>
      </c>
      <c r="AN55" s="176">
        <f t="shared" si="1"/>
        <v>0.94096710865885669</v>
      </c>
      <c r="AO55" s="176">
        <f>+VLOOKUP($A55, [2]Sheet2!$M$3:$X$76, 12, FALSE)</f>
        <v>1.3250941787336632</v>
      </c>
      <c r="AP55" s="176">
        <f t="shared" si="2"/>
        <v>-0.22533196568669589</v>
      </c>
      <c r="AQ55" s="178"/>
      <c r="AR55" s="178"/>
      <c r="AS55" s="166" t="s">
        <v>741</v>
      </c>
      <c r="AT55" s="179" t="s">
        <v>742</v>
      </c>
      <c r="AU55" s="166" t="s">
        <v>742</v>
      </c>
      <c r="AV55" s="180"/>
      <c r="AW55" s="161" t="s">
        <v>743</v>
      </c>
      <c r="AX55" s="181">
        <v>18453743</v>
      </c>
      <c r="AY55" s="181"/>
      <c r="AZ55" s="181">
        <f t="shared" si="22"/>
        <v>18453743</v>
      </c>
      <c r="BA55" s="181"/>
      <c r="BB55" s="174" t="s">
        <v>744</v>
      </c>
      <c r="BC55" s="177" t="s">
        <v>745</v>
      </c>
      <c r="BD55" s="182">
        <v>100</v>
      </c>
      <c r="BE55" s="183">
        <f t="shared" si="3"/>
        <v>0</v>
      </c>
      <c r="BF55" s="183">
        <f t="shared" si="4"/>
        <v>0</v>
      </c>
      <c r="BG55" s="183">
        <f t="shared" si="5"/>
        <v>0</v>
      </c>
      <c r="BH55" s="183">
        <f t="shared" si="6"/>
        <v>0</v>
      </c>
      <c r="BI55" s="183">
        <f t="shared" si="7"/>
        <v>0</v>
      </c>
      <c r="BJ55" s="183">
        <f t="shared" si="8"/>
        <v>0</v>
      </c>
      <c r="BK55" s="183">
        <f t="shared" si="9"/>
        <v>0</v>
      </c>
      <c r="BL55" s="183">
        <f t="shared" si="10"/>
        <v>0</v>
      </c>
      <c r="BM55" s="183">
        <f t="shared" si="11"/>
        <v>0</v>
      </c>
      <c r="BN55" s="183">
        <f t="shared" si="12"/>
        <v>0</v>
      </c>
      <c r="BO55" s="183">
        <f t="shared" si="13"/>
        <v>0</v>
      </c>
      <c r="BP55" s="183">
        <f t="shared" si="14"/>
        <v>0</v>
      </c>
      <c r="BQ55" s="184">
        <f t="shared" si="15"/>
        <v>18453743</v>
      </c>
      <c r="BR55" s="185">
        <v>100</v>
      </c>
      <c r="BS55" s="186">
        <f t="shared" si="16"/>
        <v>18453743</v>
      </c>
      <c r="BT55" s="187"/>
      <c r="BU55" s="181">
        <f t="shared" si="17"/>
        <v>18453743</v>
      </c>
      <c r="BV55" s="187">
        <v>0</v>
      </c>
      <c r="BW55" s="183" t="str">
        <f t="shared" si="18"/>
        <v>30+</v>
      </c>
      <c r="BX55" s="183" t="str">
        <f t="shared" si="19"/>
        <v>&lt;0.25</v>
      </c>
      <c r="BY55" s="188"/>
      <c r="BZ55" s="183" t="str">
        <f t="shared" si="20"/>
        <v>FL 30+</v>
      </c>
    </row>
    <row r="56" spans="1:78">
      <c r="A56" s="158" t="s">
        <v>527</v>
      </c>
      <c r="B56" s="159"/>
      <c r="C56" s="160">
        <v>45777</v>
      </c>
      <c r="D56" s="161" t="s">
        <v>731</v>
      </c>
      <c r="E56" s="158" t="s">
        <v>866</v>
      </c>
      <c r="F56" s="162" t="s">
        <v>867</v>
      </c>
      <c r="G56" s="163" t="s">
        <v>734</v>
      </c>
      <c r="H56" s="164">
        <v>1279813.58</v>
      </c>
      <c r="I56" s="165"/>
      <c r="J56" s="163" t="s">
        <v>12</v>
      </c>
      <c r="K56" s="163" t="s">
        <v>735</v>
      </c>
      <c r="L56" s="166" t="s">
        <v>770</v>
      </c>
      <c r="M56" s="166" t="s">
        <v>737</v>
      </c>
      <c r="N56" s="167">
        <f>+VLOOKUP(A56, [2]Sheet2!$M$3:$Z$76, 14, FALSE)</f>
        <v>9.2849000000000001E-2</v>
      </c>
      <c r="O56" s="168" t="s">
        <v>738</v>
      </c>
      <c r="P56" s="167">
        <v>0.01</v>
      </c>
      <c r="Q56" s="167">
        <f>+VLOOKUP($A56, [2]Sheet2!$M$3:$Z$76, 13, FALSE)</f>
        <v>0.05</v>
      </c>
      <c r="R56" s="166">
        <v>3</v>
      </c>
      <c r="S56" s="165"/>
      <c r="T56" s="167" t="s">
        <v>739</v>
      </c>
      <c r="U56" s="163">
        <f t="shared" si="21"/>
        <v>2.2944444444444443</v>
      </c>
      <c r="V56" s="170">
        <v>46615</v>
      </c>
      <c r="W56" s="163" t="s">
        <v>740</v>
      </c>
      <c r="X56" s="171">
        <v>100</v>
      </c>
      <c r="Y56" s="172"/>
      <c r="Z56" s="173"/>
      <c r="AA56" s="173"/>
      <c r="AB56" s="174">
        <v>39.348866999999998</v>
      </c>
      <c r="AC56" s="175">
        <v>4.8899999999999997</v>
      </c>
      <c r="AD56" s="175">
        <v>5.7423635603027661</v>
      </c>
      <c r="AE56" s="175"/>
      <c r="AF56" s="176">
        <v>5.7423635603027661</v>
      </c>
      <c r="AG56" s="170">
        <f>+VLOOKUP($A56, [2]Sheet2!$M$3:$X$76, 8, FALSE)</f>
        <v>45657</v>
      </c>
      <c r="AH56" s="191"/>
      <c r="AI56" s="176">
        <f>+VLOOKUP(A56, [2]Sheet2!$M$3:$X$76, 9, FALSE)</f>
        <v>5.0369789038731625</v>
      </c>
      <c r="AJ56" s="177">
        <f>+VLOOKUP($A56, [2]Sheet2!$M$3:$X$76, 10, FALSE)</f>
        <v>64.788669999999996</v>
      </c>
      <c r="AK56" s="175">
        <f t="shared" si="0"/>
        <v>0.70538465642960357</v>
      </c>
      <c r="AL56" s="175"/>
      <c r="AM56" s="176">
        <f>+VLOOKUP($A56, [2]Sheet2!$M$3:$X$76, 11, FALSE)</f>
        <v>5.0369789038731625</v>
      </c>
      <c r="AN56" s="176">
        <f t="shared" si="1"/>
        <v>0.70538465642960357</v>
      </c>
      <c r="AO56" s="176">
        <f>+VLOOKUP($A56, [2]Sheet2!$M$3:$X$76, 12, FALSE)</f>
        <v>4.8899999999999997</v>
      </c>
      <c r="AP56" s="176">
        <f t="shared" si="2"/>
        <v>0</v>
      </c>
      <c r="AQ56" s="192"/>
      <c r="AR56" s="192"/>
      <c r="AS56" s="166" t="s">
        <v>741</v>
      </c>
      <c r="AT56" s="179" t="s">
        <v>742</v>
      </c>
      <c r="AU56" s="166" t="s">
        <v>742</v>
      </c>
      <c r="AV56" s="180"/>
      <c r="AW56" s="161" t="s">
        <v>743</v>
      </c>
      <c r="AX56" s="181">
        <v>1279813.58</v>
      </c>
      <c r="AY56" s="200"/>
      <c r="AZ56" s="181">
        <f t="shared" si="22"/>
        <v>1279813.58</v>
      </c>
      <c r="BA56" s="181"/>
      <c r="BB56" s="174" t="s">
        <v>744</v>
      </c>
      <c r="BC56" s="177" t="s">
        <v>745</v>
      </c>
      <c r="BD56" s="182">
        <v>100</v>
      </c>
      <c r="BE56" s="183">
        <f t="shared" si="3"/>
        <v>0</v>
      </c>
      <c r="BF56" s="183">
        <f t="shared" si="4"/>
        <v>0</v>
      </c>
      <c r="BG56" s="183">
        <f t="shared" si="5"/>
        <v>0</v>
      </c>
      <c r="BH56" s="183">
        <f t="shared" si="6"/>
        <v>0</v>
      </c>
      <c r="BI56" s="183">
        <f t="shared" si="7"/>
        <v>0</v>
      </c>
      <c r="BJ56" s="183">
        <f t="shared" si="8"/>
        <v>0</v>
      </c>
      <c r="BK56" s="183">
        <f t="shared" si="9"/>
        <v>0</v>
      </c>
      <c r="BL56" s="183">
        <f t="shared" si="10"/>
        <v>0</v>
      </c>
      <c r="BM56" s="183">
        <f t="shared" si="11"/>
        <v>0</v>
      </c>
      <c r="BN56" s="183">
        <f t="shared" si="12"/>
        <v>0</v>
      </c>
      <c r="BO56" s="183">
        <f t="shared" si="13"/>
        <v>0</v>
      </c>
      <c r="BP56" s="183">
        <f t="shared" si="14"/>
        <v>0</v>
      </c>
      <c r="BQ56" s="184">
        <f t="shared" si="15"/>
        <v>1279813.58</v>
      </c>
      <c r="BR56" s="185">
        <v>100</v>
      </c>
      <c r="BS56" s="186">
        <f t="shared" si="16"/>
        <v>1279813.58</v>
      </c>
      <c r="BT56" s="187"/>
      <c r="BU56" s="181">
        <f t="shared" si="17"/>
        <v>1279813.58</v>
      </c>
      <c r="BV56" s="187">
        <v>0</v>
      </c>
      <c r="BW56" s="183" t="str">
        <f t="shared" si="18"/>
        <v>30+</v>
      </c>
      <c r="BX56" s="183" t="str">
        <f t="shared" si="19"/>
        <v>&lt;0.25</v>
      </c>
      <c r="BY56" s="188"/>
      <c r="BZ56" s="183" t="str">
        <f t="shared" si="20"/>
        <v>FL 30+</v>
      </c>
    </row>
    <row r="57" spans="1:78">
      <c r="A57" s="158" t="s">
        <v>528</v>
      </c>
      <c r="B57" s="159"/>
      <c r="C57" s="160">
        <v>45777</v>
      </c>
      <c r="D57" s="161" t="s">
        <v>731</v>
      </c>
      <c r="E57" s="158" t="s">
        <v>868</v>
      </c>
      <c r="F57" s="162" t="s">
        <v>869</v>
      </c>
      <c r="G57" s="163" t="s">
        <v>734</v>
      </c>
      <c r="H57" s="164">
        <v>997500</v>
      </c>
      <c r="I57" s="165"/>
      <c r="J57" s="163" t="s">
        <v>12</v>
      </c>
      <c r="K57" s="163" t="s">
        <v>735</v>
      </c>
      <c r="L57" s="166" t="s">
        <v>765</v>
      </c>
      <c r="M57" s="166" t="s">
        <v>737</v>
      </c>
      <c r="N57" s="167">
        <f>+VLOOKUP(A57, [2]Sheet2!$M$3:$Z$76, 14, FALSE)</f>
        <v>9.5408000000000007E-2</v>
      </c>
      <c r="O57" s="168" t="s">
        <v>738</v>
      </c>
      <c r="P57" s="167">
        <v>0.01</v>
      </c>
      <c r="Q57" s="167">
        <f>+VLOOKUP($A57, [2]Sheet2!$M$3:$Z$76, 13, FALSE)</f>
        <v>5.2499999999999998E-2</v>
      </c>
      <c r="R57" s="166">
        <v>3</v>
      </c>
      <c r="S57" s="165"/>
      <c r="T57" s="167" t="s">
        <v>739</v>
      </c>
      <c r="U57" s="163">
        <f t="shared" si="21"/>
        <v>3.5666666666666669</v>
      </c>
      <c r="V57" s="170">
        <v>47081</v>
      </c>
      <c r="W57" s="163" t="s">
        <v>740</v>
      </c>
      <c r="X57" s="171">
        <v>100</v>
      </c>
      <c r="Y57" s="172"/>
      <c r="Z57" s="173"/>
      <c r="AA57" s="173"/>
      <c r="AB57" s="174">
        <v>133.94999999999999</v>
      </c>
      <c r="AC57" s="175">
        <v>1.69</v>
      </c>
      <c r="AD57" s="175">
        <v>3.75</v>
      </c>
      <c r="AE57" s="175"/>
      <c r="AF57" s="176">
        <v>4.6900000000000004</v>
      </c>
      <c r="AG57" s="170">
        <f>+VLOOKUP($A57, [2]Sheet2!$M$3:$X$76, 8, FALSE)</f>
        <v>45565</v>
      </c>
      <c r="AH57" s="191"/>
      <c r="AI57" s="176">
        <f>+VLOOKUP(A57, [2]Sheet2!$M$3:$X$76, 9, FALSE)</f>
        <v>3.6794723700695746</v>
      </c>
      <c r="AJ57" s="177">
        <f>+VLOOKUP($A57, [2]Sheet2!$M$3:$X$76, 10, FALSE)</f>
        <v>225.08199999999999</v>
      </c>
      <c r="AK57" s="175">
        <f t="shared" si="0"/>
        <v>7.0527629930425384E-2</v>
      </c>
      <c r="AL57" s="175"/>
      <c r="AM57" s="176">
        <f>+VLOOKUP($A57, [2]Sheet2!$M$3:$X$76, 11, FALSE)</f>
        <v>4.2348255302511975</v>
      </c>
      <c r="AN57" s="176">
        <f t="shared" si="1"/>
        <v>0.45517446974880293</v>
      </c>
      <c r="AO57" s="176">
        <f>+VLOOKUP($A57, [2]Sheet2!$M$3:$X$76, 12, FALSE)</f>
        <v>2.3192853021185393</v>
      </c>
      <c r="AP57" s="176">
        <f t="shared" si="2"/>
        <v>-0.62928530211853939</v>
      </c>
      <c r="AQ57" s="192"/>
      <c r="AR57" s="192"/>
      <c r="AS57" s="166" t="s">
        <v>749</v>
      </c>
      <c r="AT57" s="179" t="s">
        <v>750</v>
      </c>
      <c r="AU57" s="166" t="s">
        <v>742</v>
      </c>
      <c r="AV57" s="180"/>
      <c r="AW57" s="161" t="s">
        <v>743</v>
      </c>
      <c r="AX57" s="181">
        <v>997500</v>
      </c>
      <c r="AY57" s="181"/>
      <c r="AZ57" s="181">
        <f t="shared" si="22"/>
        <v>997500</v>
      </c>
      <c r="BA57" s="181"/>
      <c r="BB57" s="174" t="s">
        <v>744</v>
      </c>
      <c r="BC57" s="177" t="s">
        <v>745</v>
      </c>
      <c r="BD57" s="182">
        <v>100</v>
      </c>
      <c r="BE57" s="183">
        <f t="shared" si="3"/>
        <v>0</v>
      </c>
      <c r="BF57" s="183">
        <f t="shared" si="4"/>
        <v>0</v>
      </c>
      <c r="BG57" s="183">
        <f t="shared" si="5"/>
        <v>0</v>
      </c>
      <c r="BH57" s="183">
        <f t="shared" si="6"/>
        <v>0</v>
      </c>
      <c r="BI57" s="183">
        <f t="shared" si="7"/>
        <v>0</v>
      </c>
      <c r="BJ57" s="183">
        <f t="shared" si="8"/>
        <v>0</v>
      </c>
      <c r="BK57" s="183">
        <f t="shared" si="9"/>
        <v>0</v>
      </c>
      <c r="BL57" s="183">
        <f t="shared" si="10"/>
        <v>0</v>
      </c>
      <c r="BM57" s="183">
        <f t="shared" si="11"/>
        <v>1</v>
      </c>
      <c r="BN57" s="183">
        <f t="shared" si="12"/>
        <v>0</v>
      </c>
      <c r="BO57" s="183">
        <f t="shared" si="13"/>
        <v>0</v>
      </c>
      <c r="BP57" s="183">
        <f t="shared" si="14"/>
        <v>0</v>
      </c>
      <c r="BQ57" s="184">
        <f t="shared" si="15"/>
        <v>997500</v>
      </c>
      <c r="BR57" s="185">
        <v>100</v>
      </c>
      <c r="BS57" s="186">
        <f t="shared" si="16"/>
        <v>997500</v>
      </c>
      <c r="BT57" s="187"/>
      <c r="BU57" s="181">
        <f t="shared" si="17"/>
        <v>997500</v>
      </c>
      <c r="BV57" s="187">
        <v>0</v>
      </c>
      <c r="BW57" s="183" t="str">
        <f t="shared" si="18"/>
        <v>30+</v>
      </c>
      <c r="BX57" s="183" t="str">
        <f t="shared" si="19"/>
        <v>&lt;0.25</v>
      </c>
      <c r="BY57" s="188"/>
      <c r="BZ57" s="183" t="str">
        <f t="shared" si="20"/>
        <v>FL 30+</v>
      </c>
    </row>
    <row r="58" spans="1:78">
      <c r="A58" s="158" t="s">
        <v>531</v>
      </c>
      <c r="B58" s="159"/>
      <c r="C58" s="160">
        <v>45777</v>
      </c>
      <c r="D58" s="161" t="s">
        <v>731</v>
      </c>
      <c r="E58" s="158" t="s">
        <v>870</v>
      </c>
      <c r="F58" s="162" t="s">
        <v>871</v>
      </c>
      <c r="G58" s="163" t="s">
        <v>734</v>
      </c>
      <c r="H58" s="164">
        <v>3930150.76</v>
      </c>
      <c r="I58" s="165"/>
      <c r="J58" s="163" t="s">
        <v>12</v>
      </c>
      <c r="K58" s="163" t="s">
        <v>735</v>
      </c>
      <c r="L58" s="166" t="s">
        <v>775</v>
      </c>
      <c r="M58" s="166" t="s">
        <v>737</v>
      </c>
      <c r="N58" s="167">
        <f>+VLOOKUP(A58, [2]Sheet2!$M$3:$Z$76, 14, FALSE)</f>
        <v>0.107992</v>
      </c>
      <c r="O58" s="168" t="s">
        <v>738</v>
      </c>
      <c r="P58" s="167">
        <v>0.01</v>
      </c>
      <c r="Q58" s="167">
        <f>+VLOOKUP($A58, [2]Sheet2!$M$3:$Z$76, 13, FALSE)</f>
        <v>6.5000000000000002E-2</v>
      </c>
      <c r="R58" s="166">
        <v>3</v>
      </c>
      <c r="S58" s="165"/>
      <c r="T58" s="167" t="s">
        <v>739</v>
      </c>
      <c r="U58" s="163">
        <f t="shared" si="21"/>
        <v>3.7305555555555556</v>
      </c>
      <c r="V58" s="170">
        <v>47141</v>
      </c>
      <c r="W58" s="163" t="s">
        <v>740</v>
      </c>
      <c r="X58" s="171">
        <v>100</v>
      </c>
      <c r="Y58" s="172"/>
      <c r="Z58" s="173"/>
      <c r="AA58" s="173"/>
      <c r="AB58" s="174">
        <v>18.280303712633785</v>
      </c>
      <c r="AC58" s="175">
        <v>2.5233716322743476</v>
      </c>
      <c r="AD58" s="175">
        <v>3.3181615006800498</v>
      </c>
      <c r="AE58" s="175"/>
      <c r="AF58" s="176">
        <v>3.3181615006800498</v>
      </c>
      <c r="AG58" s="170">
        <f>+VLOOKUP($A58, [2]Sheet2!$M$3:$X$76, 8, FALSE)</f>
        <v>45716</v>
      </c>
      <c r="AH58" s="191"/>
      <c r="AI58" s="176">
        <f>+VLOOKUP(A58, [2]Sheet2!$M$3:$X$76, 9, FALSE)</f>
        <v>4.165045794397841</v>
      </c>
      <c r="AJ58" s="177">
        <f>+VLOOKUP($A58, [2]Sheet2!$M$3:$X$76, 10, FALSE)</f>
        <v>14.03242384</v>
      </c>
      <c r="AK58" s="175">
        <f t="shared" si="0"/>
        <v>-0.84688429371779117</v>
      </c>
      <c r="AL58" s="175"/>
      <c r="AM58" s="176">
        <f>+VLOOKUP($A58, [2]Sheet2!$M$3:$X$76, 11, FALSE)</f>
        <v>4.165045794397841</v>
      </c>
      <c r="AN58" s="176">
        <f t="shared" si="1"/>
        <v>-0.84688429371779117</v>
      </c>
      <c r="AO58" s="176">
        <f>+VLOOKUP($A58, [2]Sheet2!$M$3:$X$76, 12, FALSE)</f>
        <v>1.9791032416991452</v>
      </c>
      <c r="AP58" s="176">
        <f t="shared" si="2"/>
        <v>0.54426839057520238</v>
      </c>
      <c r="AQ58" s="192"/>
      <c r="AR58" s="192"/>
      <c r="AS58" s="166" t="s">
        <v>749</v>
      </c>
      <c r="AT58" s="179" t="s">
        <v>750</v>
      </c>
      <c r="AU58" s="166" t="s">
        <v>742</v>
      </c>
      <c r="AV58" s="180"/>
      <c r="AW58" s="161" t="s">
        <v>743</v>
      </c>
      <c r="AX58" s="181">
        <v>3930150.76</v>
      </c>
      <c r="AY58" s="181"/>
      <c r="AZ58" s="181">
        <f t="shared" si="22"/>
        <v>3930150.76</v>
      </c>
      <c r="BA58" s="181"/>
      <c r="BB58" s="174" t="s">
        <v>744</v>
      </c>
      <c r="BC58" s="177" t="s">
        <v>745</v>
      </c>
      <c r="BD58" s="182">
        <v>100</v>
      </c>
      <c r="BE58" s="183">
        <f t="shared" si="3"/>
        <v>0</v>
      </c>
      <c r="BF58" s="183">
        <f t="shared" si="4"/>
        <v>0</v>
      </c>
      <c r="BG58" s="183">
        <f t="shared" si="5"/>
        <v>0</v>
      </c>
      <c r="BH58" s="183">
        <f t="shared" si="6"/>
        <v>0</v>
      </c>
      <c r="BI58" s="183">
        <f t="shared" si="7"/>
        <v>0</v>
      </c>
      <c r="BJ58" s="183">
        <f t="shared" si="8"/>
        <v>1</v>
      </c>
      <c r="BK58" s="183">
        <f t="shared" si="9"/>
        <v>0</v>
      </c>
      <c r="BL58" s="183">
        <f t="shared" si="10"/>
        <v>0</v>
      </c>
      <c r="BM58" s="183">
        <f t="shared" si="11"/>
        <v>1</v>
      </c>
      <c r="BN58" s="183">
        <f t="shared" si="12"/>
        <v>0</v>
      </c>
      <c r="BO58" s="183">
        <f t="shared" si="13"/>
        <v>0</v>
      </c>
      <c r="BP58" s="183">
        <f t="shared" si="14"/>
        <v>0</v>
      </c>
      <c r="BQ58" s="184">
        <f t="shared" si="15"/>
        <v>3930150.76</v>
      </c>
      <c r="BR58" s="185">
        <v>100</v>
      </c>
      <c r="BS58" s="186">
        <f t="shared" si="16"/>
        <v>3930150.76</v>
      </c>
      <c r="BT58" s="187"/>
      <c r="BU58" s="181">
        <f t="shared" si="17"/>
        <v>3930150.76</v>
      </c>
      <c r="BV58" s="187">
        <v>0</v>
      </c>
      <c r="BW58" s="183" t="str">
        <f t="shared" si="18"/>
        <v>15-</v>
      </c>
      <c r="BX58" s="183" t="str">
        <f t="shared" si="19"/>
        <v>&lt;0.25</v>
      </c>
      <c r="BY58" s="188"/>
      <c r="BZ58" s="183" t="str">
        <f t="shared" si="20"/>
        <v>FL 15-</v>
      </c>
    </row>
    <row r="59" spans="1:78">
      <c r="A59" s="158" t="s">
        <v>532</v>
      </c>
      <c r="B59" s="159"/>
      <c r="C59" s="160">
        <v>45777</v>
      </c>
      <c r="D59" s="161" t="s">
        <v>731</v>
      </c>
      <c r="E59" s="158" t="s">
        <v>872</v>
      </c>
      <c r="F59" s="162" t="s">
        <v>873</v>
      </c>
      <c r="G59" s="163" t="s">
        <v>734</v>
      </c>
      <c r="H59" s="164">
        <v>3635030.3</v>
      </c>
      <c r="I59" s="165"/>
      <c r="J59" s="163" t="s">
        <v>12</v>
      </c>
      <c r="K59" s="163" t="s">
        <v>735</v>
      </c>
      <c r="L59" s="166" t="s">
        <v>784</v>
      </c>
      <c r="M59" s="166" t="s">
        <v>737</v>
      </c>
      <c r="N59" s="167">
        <f>+VLOOKUP(A59, [2]Sheet2!$M$3:$Z$76, 14, FALSE)</f>
        <v>0.10949199999999998</v>
      </c>
      <c r="O59" s="168" t="s">
        <v>738</v>
      </c>
      <c r="P59" s="167">
        <v>0.01</v>
      </c>
      <c r="Q59" s="167">
        <f>+VLOOKUP($A59, [2]Sheet2!$M$3:$Z$76, 13, FALSE)</f>
        <v>6.6500000000000004E-2</v>
      </c>
      <c r="R59" s="166">
        <v>3</v>
      </c>
      <c r="S59" s="165"/>
      <c r="T59" s="167" t="s">
        <v>739</v>
      </c>
      <c r="U59" s="163">
        <f t="shared" si="21"/>
        <v>1.2416666666666667</v>
      </c>
      <c r="V59" s="170">
        <v>46230</v>
      </c>
      <c r="W59" s="163" t="s">
        <v>740</v>
      </c>
      <c r="X59" s="171">
        <v>100</v>
      </c>
      <c r="Y59" s="172" t="s">
        <v>807</v>
      </c>
      <c r="Z59" s="173"/>
      <c r="AA59" s="173"/>
      <c r="AB59" s="174">
        <v>15.9</v>
      </c>
      <c r="AC59" s="175">
        <v>3.21</v>
      </c>
      <c r="AD59" s="175">
        <v>2.79</v>
      </c>
      <c r="AE59" s="175"/>
      <c r="AF59" s="176">
        <v>2.79</v>
      </c>
      <c r="AG59" s="170">
        <f>+VLOOKUP($A59, [2]Sheet2!$M$3:$X$76, 8, FALSE)</f>
        <v>45688</v>
      </c>
      <c r="AH59" s="191"/>
      <c r="AI59" s="176">
        <f>+VLOOKUP(A59, [2]Sheet2!$M$3:$X$76, 9, FALSE)</f>
        <v>1.9041139326058221</v>
      </c>
      <c r="AJ59" s="177">
        <f>+VLOOKUP($A59, [2]Sheet2!$M$3:$X$76, 10, FALSE)</f>
        <v>25.761833485913968</v>
      </c>
      <c r="AK59" s="175">
        <f t="shared" si="0"/>
        <v>0.88588606739417797</v>
      </c>
      <c r="AL59" s="175"/>
      <c r="AM59" s="176">
        <f>+VLOOKUP($A59, [2]Sheet2!$M$3:$X$76, 11, FALSE)</f>
        <v>1.9041139326058221</v>
      </c>
      <c r="AN59" s="176">
        <f t="shared" si="1"/>
        <v>0.88588606739417797</v>
      </c>
      <c r="AO59" s="176">
        <f>+VLOOKUP($A59, [2]Sheet2!$M$3:$X$76, 12, FALSE)</f>
        <v>4.2376185156922217</v>
      </c>
      <c r="AP59" s="176">
        <f t="shared" si="2"/>
        <v>-1.0276185156922217</v>
      </c>
      <c r="AQ59" s="192"/>
      <c r="AR59" s="192"/>
      <c r="AS59" s="166" t="s">
        <v>741</v>
      </c>
      <c r="AT59" s="179" t="s">
        <v>742</v>
      </c>
      <c r="AU59" s="166" t="s">
        <v>742</v>
      </c>
      <c r="AV59" s="180"/>
      <c r="AW59" s="161" t="s">
        <v>743</v>
      </c>
      <c r="AX59" s="181">
        <v>3635030.3</v>
      </c>
      <c r="AY59" s="181"/>
      <c r="AZ59" s="181">
        <f t="shared" si="22"/>
        <v>3635030.3</v>
      </c>
      <c r="BA59" s="181"/>
      <c r="BB59" s="174" t="s">
        <v>744</v>
      </c>
      <c r="BC59" s="177" t="s">
        <v>745</v>
      </c>
      <c r="BD59" s="182">
        <v>100</v>
      </c>
      <c r="BE59" s="183">
        <f t="shared" si="3"/>
        <v>0</v>
      </c>
      <c r="BF59" s="183">
        <f t="shared" si="4"/>
        <v>0</v>
      </c>
      <c r="BG59" s="183">
        <f t="shared" si="5"/>
        <v>0</v>
      </c>
      <c r="BH59" s="183">
        <f t="shared" si="6"/>
        <v>0</v>
      </c>
      <c r="BI59" s="183">
        <f t="shared" si="7"/>
        <v>0</v>
      </c>
      <c r="BJ59" s="183">
        <f t="shared" si="8"/>
        <v>0</v>
      </c>
      <c r="BK59" s="183">
        <f t="shared" si="9"/>
        <v>0</v>
      </c>
      <c r="BL59" s="183">
        <f t="shared" si="10"/>
        <v>0</v>
      </c>
      <c r="BM59" s="183">
        <f t="shared" si="11"/>
        <v>0</v>
      </c>
      <c r="BN59" s="183">
        <f t="shared" si="12"/>
        <v>0</v>
      </c>
      <c r="BO59" s="183">
        <f t="shared" si="13"/>
        <v>0</v>
      </c>
      <c r="BP59" s="183">
        <f t="shared" si="14"/>
        <v>0</v>
      </c>
      <c r="BQ59" s="184">
        <f t="shared" si="15"/>
        <v>3635030.3</v>
      </c>
      <c r="BR59" s="185">
        <v>100</v>
      </c>
      <c r="BS59" s="186">
        <f t="shared" si="16"/>
        <v>3635030.3</v>
      </c>
      <c r="BT59" s="187"/>
      <c r="BU59" s="181">
        <f t="shared" si="17"/>
        <v>3635030.3</v>
      </c>
      <c r="BV59" s="187">
        <v>0</v>
      </c>
      <c r="BW59" s="183" t="str">
        <f t="shared" si="18"/>
        <v>15-30</v>
      </c>
      <c r="BX59" s="183" t="str">
        <f t="shared" si="19"/>
        <v>&lt;0.25</v>
      </c>
      <c r="BY59" s="188"/>
      <c r="BZ59" s="183" t="str">
        <f t="shared" si="20"/>
        <v>FL 15-30</v>
      </c>
    </row>
    <row r="60" spans="1:78">
      <c r="A60" s="158" t="s">
        <v>533</v>
      </c>
      <c r="B60" s="159"/>
      <c r="C60" s="160">
        <v>45777</v>
      </c>
      <c r="D60" s="161" t="s">
        <v>731</v>
      </c>
      <c r="E60" s="203" t="s">
        <v>874</v>
      </c>
      <c r="F60" s="162" t="s">
        <v>875</v>
      </c>
      <c r="G60" s="163" t="s">
        <v>734</v>
      </c>
      <c r="H60" s="164">
        <v>6982500</v>
      </c>
      <c r="I60" s="165"/>
      <c r="J60" s="163" t="s">
        <v>12</v>
      </c>
      <c r="K60" s="163" t="s">
        <v>735</v>
      </c>
      <c r="L60" s="166" t="s">
        <v>825</v>
      </c>
      <c r="M60" s="166" t="s">
        <v>737</v>
      </c>
      <c r="N60" s="167">
        <f>+VLOOKUP(A60, [2]Sheet2!$M$3:$Z$76, 14, FALSE)</f>
        <v>9.3140999999999988E-2</v>
      </c>
      <c r="O60" s="168" t="s">
        <v>738</v>
      </c>
      <c r="P60" s="167">
        <v>0.01</v>
      </c>
      <c r="Q60" s="167">
        <f>+VLOOKUP($A60, [2]Sheet2!$M$3:$Z$76, 13, FALSE)</f>
        <v>0.05</v>
      </c>
      <c r="R60" s="166">
        <v>3</v>
      </c>
      <c r="S60" s="165"/>
      <c r="T60" s="167" t="s">
        <v>739</v>
      </c>
      <c r="U60" s="163">
        <f t="shared" si="21"/>
        <v>2.3333333333333335</v>
      </c>
      <c r="V60" s="170">
        <v>46630</v>
      </c>
      <c r="W60" s="163" t="s">
        <v>740</v>
      </c>
      <c r="X60" s="171">
        <v>100</v>
      </c>
      <c r="Y60" s="172" t="s">
        <v>807</v>
      </c>
      <c r="Z60" s="173"/>
      <c r="AA60" s="173"/>
      <c r="AB60" s="174">
        <v>26.943000000000001</v>
      </c>
      <c r="AC60" s="175">
        <v>3.0598469054440525</v>
      </c>
      <c r="AD60" s="175">
        <v>4.2645585124150989</v>
      </c>
      <c r="AE60" s="175"/>
      <c r="AF60" s="176">
        <v>4.2645585124150989</v>
      </c>
      <c r="AG60" s="170">
        <f>+VLOOKUP($A60, [2]Sheet2!$M$3:$X$76, 8, FALSE)</f>
        <v>45716</v>
      </c>
      <c r="AH60" s="191"/>
      <c r="AI60" s="176">
        <f>+VLOOKUP(A60, [2]Sheet2!$M$3:$X$76, 9, FALSE)</f>
        <v>5.1166856825680727</v>
      </c>
      <c r="AJ60" s="177">
        <f>+VLOOKUP($A60, [2]Sheet2!$M$3:$X$76, 10, FALSE)</f>
        <v>32.428999999999995</v>
      </c>
      <c r="AK60" s="175">
        <f t="shared" si="0"/>
        <v>-0.85212717015297379</v>
      </c>
      <c r="AL60" s="175"/>
      <c r="AM60" s="176">
        <f>+VLOOKUP($A60, [2]Sheet2!$M$3:$X$76, 11, FALSE)</f>
        <v>5.1166856825680727</v>
      </c>
      <c r="AN60" s="176">
        <f t="shared" si="1"/>
        <v>-0.85212717015297379</v>
      </c>
      <c r="AO60" s="176">
        <f>+VLOOKUP($A60, [2]Sheet2!$M$3:$X$76, 12, FALSE)</f>
        <v>2.7707716020902322</v>
      </c>
      <c r="AP60" s="176">
        <f t="shared" si="2"/>
        <v>0.28907530335382026</v>
      </c>
      <c r="AQ60" s="192"/>
      <c r="AR60" s="192"/>
      <c r="AS60" s="166" t="s">
        <v>741</v>
      </c>
      <c r="AT60" s="179" t="s">
        <v>742</v>
      </c>
      <c r="AU60" s="166" t="s">
        <v>742</v>
      </c>
      <c r="AV60" s="180"/>
      <c r="AW60" s="161" t="s">
        <v>743</v>
      </c>
      <c r="AX60" s="181">
        <v>6982500</v>
      </c>
      <c r="AY60" s="181"/>
      <c r="AZ60" s="181">
        <f t="shared" si="22"/>
        <v>6982500</v>
      </c>
      <c r="BA60" s="181"/>
      <c r="BB60" s="174" t="s">
        <v>744</v>
      </c>
      <c r="BC60" s="177" t="s">
        <v>745</v>
      </c>
      <c r="BD60" s="182">
        <v>100</v>
      </c>
      <c r="BE60" s="183">
        <f t="shared" si="3"/>
        <v>0</v>
      </c>
      <c r="BF60" s="183">
        <f t="shared" si="4"/>
        <v>0</v>
      </c>
      <c r="BG60" s="183">
        <f t="shared" si="5"/>
        <v>0</v>
      </c>
      <c r="BH60" s="183">
        <f t="shared" si="6"/>
        <v>0</v>
      </c>
      <c r="BI60" s="183">
        <f t="shared" si="7"/>
        <v>0</v>
      </c>
      <c r="BJ60" s="183">
        <f t="shared" si="8"/>
        <v>0</v>
      </c>
      <c r="BK60" s="183">
        <f t="shared" si="9"/>
        <v>0</v>
      </c>
      <c r="BL60" s="183">
        <f t="shared" si="10"/>
        <v>0</v>
      </c>
      <c r="BM60" s="183">
        <f t="shared" si="11"/>
        <v>0</v>
      </c>
      <c r="BN60" s="183">
        <f t="shared" si="12"/>
        <v>0</v>
      </c>
      <c r="BO60" s="183">
        <f t="shared" si="13"/>
        <v>0</v>
      </c>
      <c r="BP60" s="183">
        <f t="shared" si="14"/>
        <v>0</v>
      </c>
      <c r="BQ60" s="184">
        <f t="shared" si="15"/>
        <v>6982500</v>
      </c>
      <c r="BR60" s="185">
        <v>100</v>
      </c>
      <c r="BS60" s="186">
        <f t="shared" si="16"/>
        <v>6982500</v>
      </c>
      <c r="BT60" s="187"/>
      <c r="BU60" s="181">
        <f t="shared" si="17"/>
        <v>6982500</v>
      </c>
      <c r="BV60" s="187">
        <v>0</v>
      </c>
      <c r="BW60" s="183" t="str">
        <f t="shared" si="18"/>
        <v>30+</v>
      </c>
      <c r="BX60" s="183" t="str">
        <f t="shared" si="19"/>
        <v>&lt;0.25</v>
      </c>
      <c r="BY60" s="188"/>
      <c r="BZ60" s="183" t="str">
        <f t="shared" si="20"/>
        <v>FL 30+</v>
      </c>
    </row>
    <row r="61" spans="1:78">
      <c r="A61" s="158" t="s">
        <v>536</v>
      </c>
      <c r="B61" s="159"/>
      <c r="C61" s="160">
        <v>45777</v>
      </c>
      <c r="D61" s="161" t="s">
        <v>731</v>
      </c>
      <c r="E61" s="158" t="s">
        <v>876</v>
      </c>
      <c r="F61" s="162" t="s">
        <v>877</v>
      </c>
      <c r="G61" s="163" t="s">
        <v>734</v>
      </c>
      <c r="H61" s="164">
        <v>3186410.84</v>
      </c>
      <c r="I61" s="165"/>
      <c r="J61" s="163" t="s">
        <v>12</v>
      </c>
      <c r="K61" s="163" t="s">
        <v>735</v>
      </c>
      <c r="L61" s="166" t="s">
        <v>762</v>
      </c>
      <c r="M61" s="166" t="s">
        <v>737</v>
      </c>
      <c r="N61" s="167">
        <f>+VLOOKUP(A61, [2]Sheet2!$M$3:$Z$76, 14, FALSE)</f>
        <v>0.10074899999999998</v>
      </c>
      <c r="O61" s="168" t="s">
        <v>738</v>
      </c>
      <c r="P61" s="167">
        <v>0.02</v>
      </c>
      <c r="Q61" s="167">
        <f>+VLOOKUP($A61, [2]Sheet2!$M$3:$Z$76, 13, FALSE)</f>
        <v>5.7500000000000002E-2</v>
      </c>
      <c r="R61" s="166">
        <v>3</v>
      </c>
      <c r="S61" s="195"/>
      <c r="T61" s="167" t="s">
        <v>739</v>
      </c>
      <c r="U61" s="163">
        <f t="shared" si="21"/>
        <v>3.6638888888888888</v>
      </c>
      <c r="V61" s="170">
        <v>47116</v>
      </c>
      <c r="W61" s="163" t="s">
        <v>740</v>
      </c>
      <c r="X61" s="171">
        <v>100</v>
      </c>
      <c r="Y61" s="196"/>
      <c r="Z61" s="197"/>
      <c r="AA61" s="173"/>
      <c r="AB61" s="174">
        <v>17.420000000000002</v>
      </c>
      <c r="AC61" s="175">
        <v>4.05</v>
      </c>
      <c r="AD61" s="175">
        <v>4.53</v>
      </c>
      <c r="AE61" s="175"/>
      <c r="AF61" s="176">
        <v>4.53</v>
      </c>
      <c r="AG61" s="170">
        <f>+VLOOKUP($A61, [2]Sheet2!$M$3:$X$76, 8, FALSE)</f>
        <v>45716</v>
      </c>
      <c r="AH61" s="191"/>
      <c r="AI61" s="176">
        <f>+VLOOKUP(A61, [2]Sheet2!$M$3:$X$76, 9, FALSE)</f>
        <v>3.5359863824700994</v>
      </c>
      <c r="AJ61" s="177">
        <f>+VLOOKUP($A61, [2]Sheet2!$M$3:$X$76, 10, FALSE)</f>
        <v>19.45595728</v>
      </c>
      <c r="AK61" s="175">
        <f t="shared" si="0"/>
        <v>0.99401361752990081</v>
      </c>
      <c r="AL61" s="175"/>
      <c r="AM61" s="176">
        <f>+VLOOKUP($A61, [2]Sheet2!$M$3:$X$76, 11, FALSE)</f>
        <v>3.5359863824700994</v>
      </c>
      <c r="AN61" s="176">
        <f t="shared" si="1"/>
        <v>0.99401361752990081</v>
      </c>
      <c r="AO61" s="176">
        <f>+VLOOKUP($A61, [2]Sheet2!$M$3:$X$76, 12, FALSE)</f>
        <v>2.0442004493272981</v>
      </c>
      <c r="AP61" s="176">
        <f t="shared" si="2"/>
        <v>2.0057995506727018</v>
      </c>
      <c r="AQ61" s="192"/>
      <c r="AR61" s="192"/>
      <c r="AS61" s="166" t="s">
        <v>749</v>
      </c>
      <c r="AT61" s="179" t="s">
        <v>750</v>
      </c>
      <c r="AU61" s="166" t="s">
        <v>742</v>
      </c>
      <c r="AV61" s="198"/>
      <c r="AW61" s="161" t="s">
        <v>743</v>
      </c>
      <c r="AX61" s="181">
        <v>3186410.84</v>
      </c>
      <c r="AY61" s="181"/>
      <c r="AZ61" s="181">
        <f t="shared" si="22"/>
        <v>3186410.84</v>
      </c>
      <c r="BA61" s="181"/>
      <c r="BB61" s="174" t="s">
        <v>744</v>
      </c>
      <c r="BC61" s="177" t="s">
        <v>745</v>
      </c>
      <c r="BD61" s="182">
        <v>100</v>
      </c>
      <c r="BE61" s="183">
        <f t="shared" si="3"/>
        <v>0</v>
      </c>
      <c r="BF61" s="183">
        <f t="shared" si="4"/>
        <v>0</v>
      </c>
      <c r="BG61" s="183">
        <f t="shared" si="5"/>
        <v>0</v>
      </c>
      <c r="BH61" s="183">
        <f t="shared" si="6"/>
        <v>0</v>
      </c>
      <c r="BI61" s="183">
        <f t="shared" si="7"/>
        <v>0</v>
      </c>
      <c r="BJ61" s="183">
        <f t="shared" si="8"/>
        <v>0</v>
      </c>
      <c r="BK61" s="183">
        <f t="shared" si="9"/>
        <v>0</v>
      </c>
      <c r="BL61" s="183">
        <f t="shared" si="10"/>
        <v>0</v>
      </c>
      <c r="BM61" s="183">
        <f t="shared" si="11"/>
        <v>1</v>
      </c>
      <c r="BN61" s="183">
        <f t="shared" si="12"/>
        <v>0</v>
      </c>
      <c r="BO61" s="183">
        <f t="shared" si="13"/>
        <v>0</v>
      </c>
      <c r="BP61" s="183">
        <f t="shared" si="14"/>
        <v>0</v>
      </c>
      <c r="BQ61" s="184">
        <f t="shared" si="15"/>
        <v>3186410.84</v>
      </c>
      <c r="BR61" s="185">
        <v>100</v>
      </c>
      <c r="BS61" s="186">
        <f t="shared" si="16"/>
        <v>3186410.84</v>
      </c>
      <c r="BT61" s="187"/>
      <c r="BU61" s="181">
        <f t="shared" si="17"/>
        <v>3186410.84</v>
      </c>
      <c r="BV61" s="187">
        <v>0</v>
      </c>
      <c r="BW61" s="183" t="str">
        <f t="shared" si="18"/>
        <v>15-30</v>
      </c>
      <c r="BX61" s="183" t="str">
        <f t="shared" si="19"/>
        <v>&lt;0.25</v>
      </c>
      <c r="BY61" s="188"/>
      <c r="BZ61" s="183" t="str">
        <f t="shared" si="20"/>
        <v>FL 15-30</v>
      </c>
    </row>
    <row r="62" spans="1:78">
      <c r="A62" s="158" t="s">
        <v>538</v>
      </c>
      <c r="B62" s="159"/>
      <c r="C62" s="160">
        <v>45777</v>
      </c>
      <c r="D62" s="161" t="s">
        <v>731</v>
      </c>
      <c r="E62" s="158" t="s">
        <v>878</v>
      </c>
      <c r="F62" s="162" t="s">
        <v>879</v>
      </c>
      <c r="G62" s="163" t="s">
        <v>734</v>
      </c>
      <c r="H62" s="164">
        <v>2672274.0099999998</v>
      </c>
      <c r="I62" s="165"/>
      <c r="J62" s="163" t="s">
        <v>12</v>
      </c>
      <c r="K62" s="163" t="s">
        <v>735</v>
      </c>
      <c r="L62" s="166" t="s">
        <v>765</v>
      </c>
      <c r="M62" s="166" t="s">
        <v>737</v>
      </c>
      <c r="N62" s="167">
        <f>+VLOOKUP(A62, [2]Sheet2!$M$3:$Z$76, 14, FALSE)</f>
        <v>9.8287800000000008E-2</v>
      </c>
      <c r="O62" s="168" t="s">
        <v>738</v>
      </c>
      <c r="P62" s="167">
        <v>0.01</v>
      </c>
      <c r="Q62" s="167">
        <f>+VLOOKUP($A62, [2]Sheet2!$M$3:$Z$76, 13, FALSE)</f>
        <v>5.5E-2</v>
      </c>
      <c r="R62" s="166">
        <v>3</v>
      </c>
      <c r="S62" s="165"/>
      <c r="T62" s="167" t="s">
        <v>739</v>
      </c>
      <c r="U62" s="163">
        <f t="shared" si="21"/>
        <v>1.125</v>
      </c>
      <c r="V62" s="170">
        <v>46188</v>
      </c>
      <c r="W62" s="163" t="s">
        <v>740</v>
      </c>
      <c r="X62" s="171">
        <v>100</v>
      </c>
      <c r="Y62" s="172"/>
      <c r="Z62" s="173"/>
      <c r="AA62" s="173"/>
      <c r="AB62" s="174">
        <v>95.39</v>
      </c>
      <c r="AC62" s="175">
        <v>1.43</v>
      </c>
      <c r="AD62" s="175">
        <v>5.42</v>
      </c>
      <c r="AE62" s="175"/>
      <c r="AF62" s="176">
        <v>5.42</v>
      </c>
      <c r="AG62" s="170">
        <f>+VLOOKUP($A62, [2]Sheet2!$M$3:$X$76, 8, FALSE)</f>
        <v>45657</v>
      </c>
      <c r="AH62" s="191"/>
      <c r="AI62" s="176">
        <f>+VLOOKUP(A62, [2]Sheet2!$M$3:$X$76, 9, FALSE)</f>
        <v>4.3827134179275724</v>
      </c>
      <c r="AJ62" s="177">
        <f>+VLOOKUP($A62, [2]Sheet2!$M$3:$X$76, 10, FALSE)</f>
        <v>115.77626012333199</v>
      </c>
      <c r="AK62" s="175">
        <f t="shared" si="0"/>
        <v>1.0372865820724275</v>
      </c>
      <c r="AL62" s="175"/>
      <c r="AM62" s="176">
        <f>+VLOOKUP($A62, [2]Sheet2!$M$3:$X$76, 11, FALSE)</f>
        <v>4.3827134179275724</v>
      </c>
      <c r="AN62" s="176">
        <f t="shared" si="1"/>
        <v>1.0372865820724275</v>
      </c>
      <c r="AO62" s="176">
        <f>+VLOOKUP($A62, [2]Sheet2!$M$3:$X$76, 12, FALSE)</f>
        <v>1.6708015821571267</v>
      </c>
      <c r="AP62" s="176">
        <f t="shared" si="2"/>
        <v>-0.24080158215712677</v>
      </c>
      <c r="AQ62" s="192"/>
      <c r="AR62" s="192"/>
      <c r="AS62" s="166" t="s">
        <v>741</v>
      </c>
      <c r="AT62" s="179" t="s">
        <v>742</v>
      </c>
      <c r="AU62" s="166" t="s">
        <v>742</v>
      </c>
      <c r="AV62" s="180"/>
      <c r="AW62" s="161" t="s">
        <v>743</v>
      </c>
      <c r="AX62" s="181">
        <v>2672274.0099999998</v>
      </c>
      <c r="AY62" s="181"/>
      <c r="AZ62" s="181">
        <f t="shared" si="22"/>
        <v>2672274.0099999998</v>
      </c>
      <c r="BA62" s="181"/>
      <c r="BB62" s="174" t="s">
        <v>744</v>
      </c>
      <c r="BC62" s="177" t="s">
        <v>745</v>
      </c>
      <c r="BD62" s="182">
        <v>100</v>
      </c>
      <c r="BE62" s="183">
        <f t="shared" si="3"/>
        <v>0</v>
      </c>
      <c r="BF62" s="183">
        <f t="shared" si="4"/>
        <v>0</v>
      </c>
      <c r="BG62" s="183">
        <f t="shared" si="5"/>
        <v>0</v>
      </c>
      <c r="BH62" s="183">
        <f t="shared" si="6"/>
        <v>0</v>
      </c>
      <c r="BI62" s="183">
        <f t="shared" si="7"/>
        <v>0</v>
      </c>
      <c r="BJ62" s="183">
        <f t="shared" si="8"/>
        <v>0</v>
      </c>
      <c r="BK62" s="183">
        <f t="shared" si="9"/>
        <v>0</v>
      </c>
      <c r="BL62" s="183">
        <f t="shared" si="10"/>
        <v>0</v>
      </c>
      <c r="BM62" s="183">
        <f t="shared" si="11"/>
        <v>0</v>
      </c>
      <c r="BN62" s="183">
        <f t="shared" si="12"/>
        <v>0</v>
      </c>
      <c r="BO62" s="183">
        <f t="shared" si="13"/>
        <v>0</v>
      </c>
      <c r="BP62" s="183">
        <f t="shared" si="14"/>
        <v>0</v>
      </c>
      <c r="BQ62" s="184">
        <f t="shared" si="15"/>
        <v>2672274.0099999998</v>
      </c>
      <c r="BR62" s="185">
        <v>100</v>
      </c>
      <c r="BS62" s="186">
        <f t="shared" si="16"/>
        <v>2672274.0099999998</v>
      </c>
      <c r="BT62" s="187"/>
      <c r="BU62" s="181">
        <f t="shared" si="17"/>
        <v>2672274.0099999998</v>
      </c>
      <c r="BV62" s="187">
        <v>0</v>
      </c>
      <c r="BW62" s="183" t="str">
        <f t="shared" si="18"/>
        <v>30+</v>
      </c>
      <c r="BX62" s="183" t="str">
        <f t="shared" si="19"/>
        <v>&lt;0.25</v>
      </c>
      <c r="BY62" s="188"/>
      <c r="BZ62" s="183" t="str">
        <f t="shared" si="20"/>
        <v>FL 30+</v>
      </c>
    </row>
    <row r="63" spans="1:78">
      <c r="A63" s="158" t="s">
        <v>540</v>
      </c>
      <c r="B63" s="159"/>
      <c r="C63" s="160">
        <v>45777</v>
      </c>
      <c r="D63" s="161" t="s">
        <v>731</v>
      </c>
      <c r="E63" s="158" t="s">
        <v>880</v>
      </c>
      <c r="F63" s="162" t="s">
        <v>881</v>
      </c>
      <c r="G63" s="163" t="s">
        <v>734</v>
      </c>
      <c r="H63" s="164">
        <v>4987500</v>
      </c>
      <c r="I63" s="189"/>
      <c r="J63" s="163" t="s">
        <v>12</v>
      </c>
      <c r="K63" s="163" t="s">
        <v>735</v>
      </c>
      <c r="L63" s="166" t="s">
        <v>765</v>
      </c>
      <c r="M63" s="166" t="s">
        <v>737</v>
      </c>
      <c r="N63" s="167">
        <f>+VLOOKUP(A63, [2]Sheet2!$M$3:$Z$76, 14, FALSE)</f>
        <v>8.82878E-2</v>
      </c>
      <c r="O63" s="168" t="s">
        <v>738</v>
      </c>
      <c r="P63" s="167">
        <v>0.01</v>
      </c>
      <c r="Q63" s="167">
        <f>+VLOOKUP($A63, [2]Sheet2!$M$3:$Z$76, 13, FALSE)</f>
        <v>4.4999999999999998E-2</v>
      </c>
      <c r="R63" s="166">
        <v>3</v>
      </c>
      <c r="S63" s="165"/>
      <c r="T63" s="167" t="s">
        <v>739</v>
      </c>
      <c r="U63" s="163">
        <f t="shared" si="21"/>
        <v>6.4361111111111109</v>
      </c>
      <c r="V63" s="170">
        <v>48128</v>
      </c>
      <c r="W63" s="163" t="s">
        <v>740</v>
      </c>
      <c r="X63" s="171">
        <v>100</v>
      </c>
      <c r="Y63" s="172"/>
      <c r="Z63" s="173"/>
      <c r="AA63" s="173"/>
      <c r="AB63" s="174">
        <v>110.91983311059916</v>
      </c>
      <c r="AC63" s="175">
        <v>2.07326790860933</v>
      </c>
      <c r="AD63" s="175">
        <v>4.6880705228027466</v>
      </c>
      <c r="AE63" s="175"/>
      <c r="AF63" s="176">
        <v>4.6880705228027466</v>
      </c>
      <c r="AG63" s="170">
        <f>+VLOOKUP($A63, [2]Sheet2!$M$3:$X$76, 8, FALSE)</f>
        <v>45657</v>
      </c>
      <c r="AH63" s="191"/>
      <c r="AI63" s="176">
        <f>+VLOOKUP(A63, [2]Sheet2!$M$3:$X$76, 9, FALSE)</f>
        <v>4.250890233362143</v>
      </c>
      <c r="AJ63" s="177">
        <f>+VLOOKUP($A63, [2]Sheet2!$M$3:$X$76, 10, FALSE)</f>
        <v>115.7</v>
      </c>
      <c r="AK63" s="175">
        <f t="shared" si="0"/>
        <v>0.43718028944060361</v>
      </c>
      <c r="AL63" s="175"/>
      <c r="AM63" s="176">
        <f>+VLOOKUP($A63, [2]Sheet2!$M$3:$X$76, 11, FALSE)</f>
        <v>4.250890233362143</v>
      </c>
      <c r="AN63" s="176">
        <f t="shared" si="1"/>
        <v>0.43718028944060361</v>
      </c>
      <c r="AO63" s="176">
        <f>+VLOOKUP($A63, [2]Sheet2!$M$3:$X$76, 12, FALSE)</f>
        <v>1.6915204678362572</v>
      </c>
      <c r="AP63" s="176">
        <f t="shared" si="2"/>
        <v>0.38174744077307277</v>
      </c>
      <c r="AQ63" s="192"/>
      <c r="AR63" s="192"/>
      <c r="AS63" s="166" t="s">
        <v>741</v>
      </c>
      <c r="AT63" s="179" t="s">
        <v>742</v>
      </c>
      <c r="AU63" s="166" t="s">
        <v>742</v>
      </c>
      <c r="AV63" s="180"/>
      <c r="AW63" s="161" t="s">
        <v>743</v>
      </c>
      <c r="AX63" s="181">
        <v>4987500</v>
      </c>
      <c r="AY63" s="181"/>
      <c r="AZ63" s="181">
        <f t="shared" si="22"/>
        <v>4987500</v>
      </c>
      <c r="BA63" s="181"/>
      <c r="BB63" s="174" t="s">
        <v>744</v>
      </c>
      <c r="BC63" s="177" t="s">
        <v>745</v>
      </c>
      <c r="BD63" s="182">
        <v>100</v>
      </c>
      <c r="BE63" s="183">
        <f t="shared" si="3"/>
        <v>0</v>
      </c>
      <c r="BF63" s="183">
        <f t="shared" si="4"/>
        <v>0</v>
      </c>
      <c r="BG63" s="183">
        <f t="shared" si="5"/>
        <v>0</v>
      </c>
      <c r="BH63" s="183">
        <f t="shared" si="6"/>
        <v>0</v>
      </c>
      <c r="BI63" s="183">
        <f t="shared" si="7"/>
        <v>0</v>
      </c>
      <c r="BJ63" s="183">
        <f t="shared" si="8"/>
        <v>0</v>
      </c>
      <c r="BK63" s="183">
        <f t="shared" si="9"/>
        <v>0</v>
      </c>
      <c r="BL63" s="183">
        <f t="shared" si="10"/>
        <v>0</v>
      </c>
      <c r="BM63" s="183">
        <f t="shared" si="11"/>
        <v>0</v>
      </c>
      <c r="BN63" s="183">
        <f t="shared" si="12"/>
        <v>0</v>
      </c>
      <c r="BO63" s="183">
        <f t="shared" si="13"/>
        <v>0</v>
      </c>
      <c r="BP63" s="183">
        <f t="shared" si="14"/>
        <v>0</v>
      </c>
      <c r="BQ63" s="184">
        <f t="shared" si="15"/>
        <v>4987500</v>
      </c>
      <c r="BR63" s="185">
        <v>100</v>
      </c>
      <c r="BS63" s="186">
        <f t="shared" si="16"/>
        <v>4987500</v>
      </c>
      <c r="BT63" s="187"/>
      <c r="BU63" s="181">
        <f t="shared" si="17"/>
        <v>4987500</v>
      </c>
      <c r="BV63" s="187">
        <v>0</v>
      </c>
      <c r="BW63" s="183" t="str">
        <f t="shared" si="18"/>
        <v>30+</v>
      </c>
      <c r="BX63" s="183" t="str">
        <f t="shared" si="19"/>
        <v>&lt;0.25</v>
      </c>
      <c r="BY63" s="188"/>
      <c r="BZ63" s="183" t="str">
        <f t="shared" si="20"/>
        <v>FL 30+</v>
      </c>
    </row>
    <row r="64" spans="1:78">
      <c r="A64" s="158" t="s">
        <v>541</v>
      </c>
      <c r="B64" s="159"/>
      <c r="C64" s="160">
        <v>45777</v>
      </c>
      <c r="D64" s="161" t="s">
        <v>731</v>
      </c>
      <c r="E64" s="158" t="s">
        <v>882</v>
      </c>
      <c r="F64" s="162" t="s">
        <v>883</v>
      </c>
      <c r="G64" s="163" t="s">
        <v>734</v>
      </c>
      <c r="H64" s="164">
        <v>6443355.6400000006</v>
      </c>
      <c r="I64" s="165"/>
      <c r="J64" s="163" t="s">
        <v>12</v>
      </c>
      <c r="K64" s="163" t="s">
        <v>735</v>
      </c>
      <c r="L64" s="166" t="s">
        <v>784</v>
      </c>
      <c r="M64" s="166" t="s">
        <v>737</v>
      </c>
      <c r="N64" s="167">
        <f>+VLOOKUP(A64, [2]Sheet2!$M$3:$Z$76, 14, FALSE)</f>
        <v>0.10299200000000001</v>
      </c>
      <c r="O64" s="168" t="s">
        <v>738</v>
      </c>
      <c r="P64" s="167">
        <v>0.01</v>
      </c>
      <c r="Q64" s="167">
        <f>+VLOOKUP($A64, [2]Sheet2!$M$3:$Z$76, 13, FALSE)</f>
        <v>0.06</v>
      </c>
      <c r="R64" s="166">
        <v>3</v>
      </c>
      <c r="S64" s="165"/>
      <c r="T64" s="167" t="s">
        <v>739</v>
      </c>
      <c r="U64" s="163">
        <f t="shared" si="21"/>
        <v>4.5861111111111112</v>
      </c>
      <c r="V64" s="170">
        <v>47453</v>
      </c>
      <c r="W64" s="163" t="s">
        <v>740</v>
      </c>
      <c r="X64" s="171">
        <v>100</v>
      </c>
      <c r="Y64" s="172" t="s">
        <v>807</v>
      </c>
      <c r="Z64" s="173"/>
      <c r="AA64" s="173"/>
      <c r="AB64" s="174">
        <v>10.167894</v>
      </c>
      <c r="AC64" s="175">
        <v>1.6285679552209618</v>
      </c>
      <c r="AD64" s="175">
        <v>4.9362583421896415</v>
      </c>
      <c r="AE64" s="175"/>
      <c r="AF64" s="176">
        <v>4.9362583421896415</v>
      </c>
      <c r="AG64" s="170">
        <f>+VLOOKUP($A64, [2]Sheet2!$M$3:$X$76, 8, FALSE)</f>
        <v>45716</v>
      </c>
      <c r="AH64" s="191"/>
      <c r="AI64" s="176">
        <f>+VLOOKUP(A64, [2]Sheet2!$M$3:$X$76, 9, FALSE)</f>
        <v>4.8891217526114934</v>
      </c>
      <c r="AJ64" s="177">
        <f>+VLOOKUP($A64, [2]Sheet2!$M$3:$X$76, 10, FALSE)</f>
        <v>10.9838868241143</v>
      </c>
      <c r="AK64" s="175">
        <f t="shared" si="0"/>
        <v>4.7136589578148147E-2</v>
      </c>
      <c r="AL64" s="175"/>
      <c r="AM64" s="176">
        <f>+VLOOKUP($A64, [2]Sheet2!$M$3:$X$76, 11, FALSE)</f>
        <v>4.8891217526114934</v>
      </c>
      <c r="AN64" s="176">
        <f t="shared" si="1"/>
        <v>4.7136589578148147E-2</v>
      </c>
      <c r="AO64" s="176">
        <f>+VLOOKUP($A64, [2]Sheet2!$M$3:$X$76, 12, FALSE)</f>
        <v>1.6233362836140151</v>
      </c>
      <c r="AP64" s="176">
        <f t="shared" si="2"/>
        <v>5.2316716069467084E-3</v>
      </c>
      <c r="AQ64" s="192"/>
      <c r="AR64" s="192"/>
      <c r="AS64" s="166" t="s">
        <v>749</v>
      </c>
      <c r="AT64" s="179" t="s">
        <v>750</v>
      </c>
      <c r="AU64" s="166" t="s">
        <v>742</v>
      </c>
      <c r="AV64" s="180"/>
      <c r="AW64" s="161" t="s">
        <v>743</v>
      </c>
      <c r="AX64" s="181">
        <v>6443355.6400000006</v>
      </c>
      <c r="AY64" s="181"/>
      <c r="AZ64" s="181">
        <f t="shared" si="22"/>
        <v>6443355.6400000006</v>
      </c>
      <c r="BA64" s="181"/>
      <c r="BB64" s="174" t="s">
        <v>744</v>
      </c>
      <c r="BC64" s="177" t="s">
        <v>745</v>
      </c>
      <c r="BD64" s="182">
        <v>100</v>
      </c>
      <c r="BE64" s="183">
        <f t="shared" si="3"/>
        <v>0</v>
      </c>
      <c r="BF64" s="183">
        <f t="shared" si="4"/>
        <v>0</v>
      </c>
      <c r="BG64" s="183">
        <f t="shared" si="5"/>
        <v>0</v>
      </c>
      <c r="BH64" s="183">
        <f t="shared" si="6"/>
        <v>0</v>
      </c>
      <c r="BI64" s="183">
        <f t="shared" si="7"/>
        <v>0</v>
      </c>
      <c r="BJ64" s="183">
        <f t="shared" si="8"/>
        <v>1</v>
      </c>
      <c r="BK64" s="183">
        <f t="shared" si="9"/>
        <v>0</v>
      </c>
      <c r="BL64" s="183">
        <f t="shared" si="10"/>
        <v>0</v>
      </c>
      <c r="BM64" s="183">
        <f t="shared" si="11"/>
        <v>1</v>
      </c>
      <c r="BN64" s="183">
        <f t="shared" si="12"/>
        <v>0</v>
      </c>
      <c r="BO64" s="183">
        <f t="shared" si="13"/>
        <v>0</v>
      </c>
      <c r="BP64" s="183">
        <f t="shared" si="14"/>
        <v>0</v>
      </c>
      <c r="BQ64" s="184">
        <f t="shared" si="15"/>
        <v>6443355.6400000006</v>
      </c>
      <c r="BR64" s="185">
        <v>100</v>
      </c>
      <c r="BS64" s="186">
        <f t="shared" si="16"/>
        <v>6443355.6399999997</v>
      </c>
      <c r="BT64" s="187"/>
      <c r="BU64" s="181">
        <f t="shared" si="17"/>
        <v>6443355.6399999997</v>
      </c>
      <c r="BV64" s="187">
        <v>0</v>
      </c>
      <c r="BW64" s="183" t="str">
        <f t="shared" si="18"/>
        <v>15-</v>
      </c>
      <c r="BX64" s="183" t="str">
        <f t="shared" si="19"/>
        <v>&lt;0.25</v>
      </c>
      <c r="BY64" s="188"/>
      <c r="BZ64" s="183" t="str">
        <f t="shared" si="20"/>
        <v>FL 15-</v>
      </c>
    </row>
    <row r="65" spans="1:78">
      <c r="A65" s="158" t="s">
        <v>543</v>
      </c>
      <c r="B65" s="159"/>
      <c r="C65" s="160">
        <v>45777</v>
      </c>
      <c r="D65" s="161" t="s">
        <v>731</v>
      </c>
      <c r="E65" s="158" t="s">
        <v>884</v>
      </c>
      <c r="F65" s="162" t="s">
        <v>885</v>
      </c>
      <c r="G65" s="163" t="s">
        <v>734</v>
      </c>
      <c r="H65" s="164">
        <v>9328396.75</v>
      </c>
      <c r="I65" s="165"/>
      <c r="J65" s="163" t="s">
        <v>12</v>
      </c>
      <c r="K65" s="163" t="s">
        <v>735</v>
      </c>
      <c r="L65" s="166" t="s">
        <v>784</v>
      </c>
      <c r="M65" s="166" t="s">
        <v>886</v>
      </c>
      <c r="N65" s="167">
        <f>+VLOOKUP(A65, [2]Sheet2!$M$3:$Z$76, 14, FALSE)</f>
        <v>0.12000000000000001</v>
      </c>
      <c r="O65" s="168" t="s">
        <v>738</v>
      </c>
      <c r="P65" s="167">
        <v>0.01</v>
      </c>
      <c r="Q65" s="167">
        <f>+VLOOKUP($A65, [2]Sheet2!$M$3:$Z$76, 13, FALSE)</f>
        <v>0</v>
      </c>
      <c r="R65" s="166">
        <v>3</v>
      </c>
      <c r="S65" s="165"/>
      <c r="T65" s="167" t="s">
        <v>739</v>
      </c>
      <c r="U65" s="163">
        <f t="shared" si="21"/>
        <v>1.6305555555555555</v>
      </c>
      <c r="V65" s="170">
        <v>46373</v>
      </c>
      <c r="W65" s="163" t="s">
        <v>740</v>
      </c>
      <c r="X65" s="171">
        <v>100</v>
      </c>
      <c r="Y65" s="172"/>
      <c r="Z65" s="173"/>
      <c r="AA65" s="173"/>
      <c r="AB65" s="174">
        <v>24.6</v>
      </c>
      <c r="AC65" s="175">
        <v>2.85</v>
      </c>
      <c r="AD65" s="175">
        <v>4.6500000000000004</v>
      </c>
      <c r="AE65" s="175"/>
      <c r="AF65" s="199">
        <v>4.6500000000000004</v>
      </c>
      <c r="AG65" s="170">
        <f>+VLOOKUP($A65, [2]Sheet2!$M$3:$X$76, 8, FALSE)</f>
        <v>45688</v>
      </c>
      <c r="AH65" s="191"/>
      <c r="AI65" s="176">
        <f>+VLOOKUP(A65, [2]Sheet2!$M$3:$X$76, 9, FALSE)</f>
        <v>12.266944435520687</v>
      </c>
      <c r="AJ65" s="177">
        <f>+VLOOKUP($A65, [2]Sheet2!$M$3:$X$76, 10, FALSE)</f>
        <v>9.6868974800207592</v>
      </c>
      <c r="AK65" s="175">
        <f t="shared" si="0"/>
        <v>-7.6169444355206863</v>
      </c>
      <c r="AL65" s="175"/>
      <c r="AM65" s="176">
        <f>+VLOOKUP($A65, [2]Sheet2!$M$3:$X$76, 11, FALSE)</f>
        <v>12.266944435520687</v>
      </c>
      <c r="AN65" s="176">
        <f t="shared" si="1"/>
        <v>-7.6169444355206863</v>
      </c>
      <c r="AO65" s="176">
        <f>+VLOOKUP($A65, [2]Sheet2!$M$3:$X$76, 12, FALSE)</f>
        <v>0.61772235313048207</v>
      </c>
      <c r="AP65" s="176">
        <f t="shared" si="2"/>
        <v>2.2322776468695178</v>
      </c>
      <c r="AQ65" s="192"/>
      <c r="AR65" s="192"/>
      <c r="AS65" s="166" t="s">
        <v>741</v>
      </c>
      <c r="AT65" s="179" t="s">
        <v>742</v>
      </c>
      <c r="AU65" s="166" t="s">
        <v>742</v>
      </c>
      <c r="AV65" s="180"/>
      <c r="AW65" s="161" t="s">
        <v>743</v>
      </c>
      <c r="AX65" s="181">
        <v>9328396.75</v>
      </c>
      <c r="AY65" s="181"/>
      <c r="AZ65" s="181">
        <f t="shared" si="22"/>
        <v>9328396.75</v>
      </c>
      <c r="BA65" s="181"/>
      <c r="BB65" s="174" t="s">
        <v>744</v>
      </c>
      <c r="BC65" s="177" t="s">
        <v>744</v>
      </c>
      <c r="BD65" s="190">
        <v>45</v>
      </c>
      <c r="BE65" s="183">
        <f t="shared" si="3"/>
        <v>0</v>
      </c>
      <c r="BF65" s="183">
        <f t="shared" si="4"/>
        <v>0</v>
      </c>
      <c r="BG65" s="183">
        <f t="shared" si="5"/>
        <v>0</v>
      </c>
      <c r="BH65" s="183">
        <f t="shared" si="6"/>
        <v>0</v>
      </c>
      <c r="BI65" s="183">
        <f t="shared" si="7"/>
        <v>0</v>
      </c>
      <c r="BJ65" s="183">
        <f t="shared" si="8"/>
        <v>1</v>
      </c>
      <c r="BK65" s="183">
        <f t="shared" si="9"/>
        <v>1</v>
      </c>
      <c r="BL65" s="183">
        <f t="shared" si="10"/>
        <v>0</v>
      </c>
      <c r="BM65" s="183">
        <f t="shared" si="11"/>
        <v>0</v>
      </c>
      <c r="BN65" s="183">
        <f t="shared" si="12"/>
        <v>1</v>
      </c>
      <c r="BO65" s="183">
        <f t="shared" si="13"/>
        <v>1</v>
      </c>
      <c r="BP65" s="183">
        <f t="shared" si="14"/>
        <v>0</v>
      </c>
      <c r="BQ65" s="184">
        <f t="shared" si="15"/>
        <v>9328396.75</v>
      </c>
      <c r="BR65" s="185">
        <v>45</v>
      </c>
      <c r="BS65" s="186">
        <f t="shared" si="16"/>
        <v>4197778.5374999996</v>
      </c>
      <c r="BT65" s="187"/>
      <c r="BU65" s="181">
        <f t="shared" si="17"/>
        <v>4197778.5374999996</v>
      </c>
      <c r="BV65" s="187">
        <v>0</v>
      </c>
      <c r="BW65" s="183" t="str">
        <f t="shared" si="18"/>
        <v>15-</v>
      </c>
      <c r="BX65" s="183" t="str">
        <f t="shared" si="19"/>
        <v>&lt;0.25</v>
      </c>
      <c r="BY65" s="188"/>
      <c r="BZ65" s="183" t="str">
        <f t="shared" si="20"/>
        <v>FL 15-</v>
      </c>
    </row>
    <row r="66" spans="1:78">
      <c r="A66" s="158" t="s">
        <v>544</v>
      </c>
      <c r="B66" s="159"/>
      <c r="C66" s="160">
        <v>45777</v>
      </c>
      <c r="D66" s="161" t="s">
        <v>731</v>
      </c>
      <c r="E66" s="158" t="s">
        <v>887</v>
      </c>
      <c r="F66" s="162" t="s">
        <v>888</v>
      </c>
      <c r="G66" s="163" t="s">
        <v>734</v>
      </c>
      <c r="H66" s="164">
        <v>8577681.2599999998</v>
      </c>
      <c r="I66" s="165"/>
      <c r="J66" s="163" t="s">
        <v>12</v>
      </c>
      <c r="K66" s="163" t="s">
        <v>735</v>
      </c>
      <c r="L66" s="166" t="s">
        <v>759</v>
      </c>
      <c r="M66" s="166" t="s">
        <v>737</v>
      </c>
      <c r="N66" s="167">
        <f>+VLOOKUP(A66, [2]Sheet2!$M$3:$Z$76, 14, FALSE)</f>
        <v>0</v>
      </c>
      <c r="O66" s="168" t="s">
        <v>738</v>
      </c>
      <c r="P66" s="167">
        <v>0.01</v>
      </c>
      <c r="Q66" s="167">
        <f>+VLOOKUP($A66, [2]Sheet2!$M$3:$Z$76, 13, FALSE)</f>
        <v>0</v>
      </c>
      <c r="R66" s="166">
        <v>3</v>
      </c>
      <c r="S66" s="165"/>
      <c r="T66" s="167" t="s">
        <v>739</v>
      </c>
      <c r="U66" s="163">
        <f t="shared" si="21"/>
        <v>0.28888888888888886</v>
      </c>
      <c r="V66" s="170">
        <v>45673</v>
      </c>
      <c r="W66" s="163" t="s">
        <v>740</v>
      </c>
      <c r="X66" s="171">
        <v>100</v>
      </c>
      <c r="Y66" s="172"/>
      <c r="Z66" s="173"/>
      <c r="AA66" s="173"/>
      <c r="AB66" s="174">
        <v>71.046999999999997</v>
      </c>
      <c r="AC66" s="175">
        <v>2.3519850367047641</v>
      </c>
      <c r="AD66" s="175">
        <v>5.3640688558278322</v>
      </c>
      <c r="AE66" s="175"/>
      <c r="AF66" s="199">
        <v>5.8115588098019622</v>
      </c>
      <c r="AG66" s="170">
        <f>+VLOOKUP($A66, [2]Sheet2!$M$3:$X$76, 8, FALSE)</f>
        <v>45688</v>
      </c>
      <c r="AH66" s="163"/>
      <c r="AI66" s="176">
        <f>+VLOOKUP(A66, [2]Sheet2!$M$3:$X$76, 9, FALSE)</f>
        <v>11.154058607607812</v>
      </c>
      <c r="AJ66" s="177">
        <f>+VLOOKUP($A66, [2]Sheet2!$M$3:$X$76, 10, FALSE)</f>
        <v>55.795999999999999</v>
      </c>
      <c r="AK66" s="175">
        <f t="shared" si="0"/>
        <v>-5.7899897517799799</v>
      </c>
      <c r="AL66" s="175"/>
      <c r="AM66" s="176">
        <f>+VLOOKUP($A66, [2]Sheet2!$M$3:$X$76, 11, FALSE)</f>
        <v>11.154058607607812</v>
      </c>
      <c r="AN66" s="176">
        <f t="shared" si="1"/>
        <v>-5.3424997978058499</v>
      </c>
      <c r="AO66" s="176">
        <f>+VLOOKUP($A66, [2]Sheet2!$M$3:$X$76, 12, FALSE)</f>
        <v>0.62771833901470409</v>
      </c>
      <c r="AP66" s="176">
        <f t="shared" si="2"/>
        <v>1.72426669769006</v>
      </c>
      <c r="AQ66" s="178"/>
      <c r="AR66" s="178"/>
      <c r="AS66" s="166" t="s">
        <v>741</v>
      </c>
      <c r="AT66" s="179" t="s">
        <v>742</v>
      </c>
      <c r="AU66" s="166" t="s">
        <v>742</v>
      </c>
      <c r="AV66" s="180"/>
      <c r="AW66" s="161" t="s">
        <v>743</v>
      </c>
      <c r="AX66" s="181">
        <v>8577681.2599999998</v>
      </c>
      <c r="AY66" s="181">
        <f>62773.04+204469.56</f>
        <v>267242.59999999998</v>
      </c>
      <c r="AZ66" s="181">
        <f t="shared" si="22"/>
        <v>8310438.6600000001</v>
      </c>
      <c r="BA66" s="181"/>
      <c r="BB66" s="174" t="s">
        <v>744</v>
      </c>
      <c r="BC66" s="177" t="s">
        <v>744</v>
      </c>
      <c r="BD66" s="190">
        <v>0</v>
      </c>
      <c r="BE66" s="183">
        <f t="shared" si="3"/>
        <v>0</v>
      </c>
      <c r="BF66" s="183">
        <f t="shared" si="4"/>
        <v>0</v>
      </c>
      <c r="BG66" s="183">
        <f t="shared" si="5"/>
        <v>0</v>
      </c>
      <c r="BH66" s="183">
        <f t="shared" si="6"/>
        <v>0</v>
      </c>
      <c r="BI66" s="183">
        <f t="shared" si="7"/>
        <v>0</v>
      </c>
      <c r="BJ66" s="183">
        <f t="shared" si="8"/>
        <v>0</v>
      </c>
      <c r="BK66" s="183">
        <f t="shared" si="9"/>
        <v>0</v>
      </c>
      <c r="BL66" s="183">
        <f t="shared" si="10"/>
        <v>0</v>
      </c>
      <c r="BM66" s="183">
        <f t="shared" si="11"/>
        <v>0</v>
      </c>
      <c r="BN66" s="183">
        <f t="shared" si="12"/>
        <v>1</v>
      </c>
      <c r="BO66" s="183">
        <f t="shared" si="13"/>
        <v>0</v>
      </c>
      <c r="BP66" s="183">
        <f t="shared" si="14"/>
        <v>0</v>
      </c>
      <c r="BQ66" s="184">
        <f t="shared" si="15"/>
        <v>8577681.2599999998</v>
      </c>
      <c r="BR66" s="185">
        <v>70</v>
      </c>
      <c r="BS66" s="186">
        <f t="shared" si="16"/>
        <v>5817307.0620000008</v>
      </c>
      <c r="BT66" s="187"/>
      <c r="BU66" s="181">
        <f t="shared" si="17"/>
        <v>5817307.0620000008</v>
      </c>
      <c r="BV66" s="187">
        <v>0</v>
      </c>
      <c r="BW66" s="183" t="str">
        <f t="shared" si="18"/>
        <v>30+</v>
      </c>
      <c r="BX66" s="183" t="str">
        <f t="shared" si="19"/>
        <v>&lt;0.25</v>
      </c>
      <c r="BY66" s="188"/>
      <c r="BZ66" s="183" t="str">
        <f t="shared" si="20"/>
        <v>FL 30+</v>
      </c>
    </row>
    <row r="67" spans="1:78">
      <c r="A67" s="158" t="s">
        <v>547</v>
      </c>
      <c r="B67" s="159"/>
      <c r="C67" s="160">
        <v>45777</v>
      </c>
      <c r="D67" s="161" t="s">
        <v>731</v>
      </c>
      <c r="E67" s="158" t="s">
        <v>889</v>
      </c>
      <c r="F67" s="162" t="s">
        <v>890</v>
      </c>
      <c r="G67" s="163" t="s">
        <v>734</v>
      </c>
      <c r="H67" s="164">
        <v>0</v>
      </c>
      <c r="I67" s="165"/>
      <c r="J67" s="163" t="s">
        <v>12</v>
      </c>
      <c r="K67" s="163" t="s">
        <v>735</v>
      </c>
      <c r="L67" s="166" t="s">
        <v>770</v>
      </c>
      <c r="M67" s="166" t="s">
        <v>737</v>
      </c>
      <c r="N67" s="167">
        <f>+VLOOKUP(A67, [2]Sheet2!$M$3:$Z$76, 14, FALSE)</f>
        <v>0.107927</v>
      </c>
      <c r="O67" s="168" t="s">
        <v>738</v>
      </c>
      <c r="P67" s="167">
        <v>0.01</v>
      </c>
      <c r="Q67" s="167">
        <f>+VLOOKUP($A67, [2]Sheet2!$M$3:$Z$76, 13, FALSE)</f>
        <v>6.4699999999999994E-2</v>
      </c>
      <c r="R67" s="166">
        <v>3</v>
      </c>
      <c r="S67" s="195"/>
      <c r="T67" s="167" t="s">
        <v>739</v>
      </c>
      <c r="U67" s="163">
        <f t="shared" si="21"/>
        <v>1.5444444444444445</v>
      </c>
      <c r="V67" s="170">
        <v>46342</v>
      </c>
      <c r="W67" s="163" t="s">
        <v>740</v>
      </c>
      <c r="X67" s="171">
        <v>100</v>
      </c>
      <c r="Y67" s="196"/>
      <c r="Z67" s="197"/>
      <c r="AA67" s="173"/>
      <c r="AB67" s="174">
        <v>102.210384</v>
      </c>
      <c r="AC67" s="175">
        <v>1.630668410081459</v>
      </c>
      <c r="AD67" s="175">
        <v>4.2961877532912895</v>
      </c>
      <c r="AE67" s="175"/>
      <c r="AF67" s="175">
        <v>4.5480994621838029</v>
      </c>
      <c r="AG67" s="170">
        <f>+VLOOKUP($A67, [2]Sheet2!$M$3:$X$76, 8, FALSE)</f>
        <v>45716</v>
      </c>
      <c r="AH67" s="163"/>
      <c r="AI67" s="176">
        <f>+VLOOKUP(A67, [2]Sheet2!$M$3:$X$76, 9, FALSE)</f>
        <v>4.974015445247618</v>
      </c>
      <c r="AJ67" s="177">
        <f>+VLOOKUP($A67, [2]Sheet2!$M$3:$X$76, 10, FALSE)</f>
        <v>108.512731</v>
      </c>
      <c r="AK67" s="175">
        <f t="shared" si="0"/>
        <v>-0.67782769195632842</v>
      </c>
      <c r="AL67" s="175"/>
      <c r="AM67" s="176">
        <f>+VLOOKUP($A67, [2]Sheet2!$M$3:$X$76, 11, FALSE)</f>
        <v>5.2112962902021147</v>
      </c>
      <c r="AN67" s="176">
        <f t="shared" si="1"/>
        <v>-0.66319682801831181</v>
      </c>
      <c r="AO67" s="176">
        <f>+VLOOKUP($A67, [2]Sheet2!$M$3:$X$76, 12, FALSE)</f>
        <v>1.7457745066963752</v>
      </c>
      <c r="AP67" s="176">
        <f t="shared" si="2"/>
        <v>-0.11510609661491622</v>
      </c>
      <c r="AQ67" s="204"/>
      <c r="AR67" s="204"/>
      <c r="AS67" s="166" t="s">
        <v>741</v>
      </c>
      <c r="AT67" s="179" t="s">
        <v>742</v>
      </c>
      <c r="AU67" s="166" t="s">
        <v>742</v>
      </c>
      <c r="AV67" s="198"/>
      <c r="AW67" s="161" t="s">
        <v>743</v>
      </c>
      <c r="AX67" s="181">
        <v>0</v>
      </c>
      <c r="AY67" s="181">
        <v>0</v>
      </c>
      <c r="AZ67" s="181">
        <f t="shared" si="22"/>
        <v>0</v>
      </c>
      <c r="BA67" s="181"/>
      <c r="BB67" s="174" t="s">
        <v>744</v>
      </c>
      <c r="BC67" s="174" t="s">
        <v>745</v>
      </c>
      <c r="BD67" s="205">
        <v>100</v>
      </c>
      <c r="BE67" s="183">
        <f t="shared" si="3"/>
        <v>0</v>
      </c>
      <c r="BF67" s="183">
        <f t="shared" si="4"/>
        <v>0</v>
      </c>
      <c r="BG67" s="183">
        <f t="shared" si="5"/>
        <v>0</v>
      </c>
      <c r="BH67" s="183">
        <f t="shared" si="6"/>
        <v>0</v>
      </c>
      <c r="BI67" s="183">
        <f t="shared" si="7"/>
        <v>0</v>
      </c>
      <c r="BJ67" s="183">
        <f t="shared" si="8"/>
        <v>0</v>
      </c>
      <c r="BK67" s="183">
        <f t="shared" si="9"/>
        <v>0</v>
      </c>
      <c r="BL67" s="183">
        <f t="shared" si="10"/>
        <v>0</v>
      </c>
      <c r="BM67" s="183">
        <f t="shared" si="11"/>
        <v>0</v>
      </c>
      <c r="BN67" s="183">
        <f t="shared" si="12"/>
        <v>0</v>
      </c>
      <c r="BO67" s="183">
        <f t="shared" si="13"/>
        <v>0</v>
      </c>
      <c r="BP67" s="183">
        <f t="shared" si="14"/>
        <v>0</v>
      </c>
      <c r="BQ67" s="184">
        <f t="shared" si="15"/>
        <v>0</v>
      </c>
      <c r="BR67" s="185">
        <v>100</v>
      </c>
      <c r="BS67" s="186">
        <f t="shared" si="16"/>
        <v>0</v>
      </c>
      <c r="BT67" s="187"/>
      <c r="BU67" s="181">
        <f t="shared" si="17"/>
        <v>0</v>
      </c>
      <c r="BV67" s="187"/>
      <c r="BW67" s="183" t="str">
        <f t="shared" si="18"/>
        <v>30+</v>
      </c>
      <c r="BX67" s="183" t="str">
        <f t="shared" si="19"/>
        <v>&lt;0.25</v>
      </c>
      <c r="BY67" s="188"/>
      <c r="BZ67" s="183" t="str">
        <f t="shared" si="20"/>
        <v>FL 30+</v>
      </c>
    </row>
    <row r="68" spans="1:78">
      <c r="A68" s="158" t="s">
        <v>549</v>
      </c>
      <c r="B68" s="159"/>
      <c r="C68" s="160">
        <v>45777</v>
      </c>
      <c r="D68" s="161" t="s">
        <v>731</v>
      </c>
      <c r="E68" s="158" t="s">
        <v>891</v>
      </c>
      <c r="F68" s="162" t="s">
        <v>892</v>
      </c>
      <c r="G68" s="163" t="s">
        <v>734</v>
      </c>
      <c r="H68" s="164">
        <v>10781437.5</v>
      </c>
      <c r="I68" s="165"/>
      <c r="J68" s="163" t="s">
        <v>12</v>
      </c>
      <c r="K68" s="163" t="s">
        <v>735</v>
      </c>
      <c r="L68" s="166" t="s">
        <v>770</v>
      </c>
      <c r="M68" s="166" t="s">
        <v>737</v>
      </c>
      <c r="N68" s="167">
        <f>+VLOOKUP(A68, [2]Sheet2!$M$3:$Z$76, 14, FALSE)</f>
        <v>0.11049173862500003</v>
      </c>
      <c r="O68" s="168" t="s">
        <v>738</v>
      </c>
      <c r="P68" s="167">
        <v>0.01</v>
      </c>
      <c r="Q68" s="167">
        <f>+VLOOKUP($A68, [2]Sheet2!$M$3:$Z$76, 13, FALSE)</f>
        <v>6.7500000000000004E-2</v>
      </c>
      <c r="R68" s="166">
        <v>3</v>
      </c>
      <c r="S68" s="195"/>
      <c r="T68" s="167" t="s">
        <v>739</v>
      </c>
      <c r="U68" s="163">
        <f t="shared" si="21"/>
        <v>4.5222222222222221</v>
      </c>
      <c r="V68" s="170">
        <v>47430</v>
      </c>
      <c r="W68" s="163" t="s">
        <v>740</v>
      </c>
      <c r="X68" s="171">
        <v>100</v>
      </c>
      <c r="Y68" s="196"/>
      <c r="Z68" s="197"/>
      <c r="AA68" s="173"/>
      <c r="AB68" s="174">
        <v>66.954901924900057</v>
      </c>
      <c r="AC68" s="175">
        <v>2.2195661738466961</v>
      </c>
      <c r="AD68" s="175">
        <v>4.7332466315232091</v>
      </c>
      <c r="AE68" s="175"/>
      <c r="AF68" s="175">
        <v>5.0236778117796055</v>
      </c>
      <c r="AG68" s="170">
        <f>+VLOOKUP($A68, [2]Sheet2!$M$3:$X$76, 8, FALSE)</f>
        <v>45716</v>
      </c>
      <c r="AH68" s="163"/>
      <c r="AI68" s="176">
        <f>+VLOOKUP(A68, [2]Sheet2!$M$3:$X$76, 9, FALSE)</f>
        <v>4.4216391314769723</v>
      </c>
      <c r="AJ68" s="177">
        <f>+VLOOKUP($A68, [2]Sheet2!$M$3:$X$76, 10, FALSE)</f>
        <v>71.800262879877536</v>
      </c>
      <c r="AK68" s="175">
        <f t="shared" si="0"/>
        <v>0.31160750004623683</v>
      </c>
      <c r="AL68" s="175"/>
      <c r="AM68" s="176">
        <f>+VLOOKUP($A68, [2]Sheet2!$M$3:$X$76, 11, FALSE)</f>
        <v>4.6924708862650153</v>
      </c>
      <c r="AN68" s="176">
        <f t="shared" si="1"/>
        <v>0.33120692551459019</v>
      </c>
      <c r="AO68" s="176">
        <f>+VLOOKUP($A68, [2]Sheet2!$M$3:$X$76, 12, FALSE)</f>
        <v>2.2291668328924894</v>
      </c>
      <c r="AP68" s="176">
        <f t="shared" si="2"/>
        <v>-9.600659045793325E-3</v>
      </c>
      <c r="AQ68" s="204"/>
      <c r="AR68" s="204"/>
      <c r="AS68" s="166" t="s">
        <v>741</v>
      </c>
      <c r="AT68" s="179" t="s">
        <v>742</v>
      </c>
      <c r="AU68" s="166" t="s">
        <v>742</v>
      </c>
      <c r="AV68" s="198"/>
      <c r="AW68" s="161" t="s">
        <v>743</v>
      </c>
      <c r="AX68" s="181">
        <v>10781437.5</v>
      </c>
      <c r="AY68" s="181">
        <v>0</v>
      </c>
      <c r="AZ68" s="181">
        <f t="shared" si="22"/>
        <v>10781437.5</v>
      </c>
      <c r="BA68" s="181"/>
      <c r="BB68" s="174" t="s">
        <v>744</v>
      </c>
      <c r="BC68" s="174" t="s">
        <v>745</v>
      </c>
      <c r="BD68" s="205">
        <v>100</v>
      </c>
      <c r="BE68" s="183">
        <f t="shared" si="3"/>
        <v>0</v>
      </c>
      <c r="BF68" s="183">
        <f t="shared" si="4"/>
        <v>0</v>
      </c>
      <c r="BG68" s="183">
        <f t="shared" si="5"/>
        <v>0</v>
      </c>
      <c r="BH68" s="183">
        <f t="shared" si="6"/>
        <v>0</v>
      </c>
      <c r="BI68" s="183">
        <f t="shared" si="7"/>
        <v>0</v>
      </c>
      <c r="BJ68" s="183">
        <f t="shared" si="8"/>
        <v>0</v>
      </c>
      <c r="BK68" s="183">
        <f t="shared" si="9"/>
        <v>0</v>
      </c>
      <c r="BL68" s="183">
        <f t="shared" si="10"/>
        <v>0</v>
      </c>
      <c r="BM68" s="183">
        <f t="shared" si="11"/>
        <v>0</v>
      </c>
      <c r="BN68" s="183">
        <f t="shared" si="12"/>
        <v>0</v>
      </c>
      <c r="BO68" s="183">
        <f t="shared" si="13"/>
        <v>0</v>
      </c>
      <c r="BP68" s="183">
        <f t="shared" si="14"/>
        <v>0</v>
      </c>
      <c r="BQ68" s="184">
        <f t="shared" si="15"/>
        <v>10781437.5</v>
      </c>
      <c r="BR68" s="185">
        <v>100</v>
      </c>
      <c r="BS68" s="186">
        <f t="shared" si="16"/>
        <v>10781437.5</v>
      </c>
      <c r="BT68" s="187"/>
      <c r="BU68" s="181">
        <f t="shared" si="17"/>
        <v>10781437.5</v>
      </c>
      <c r="BV68" s="187"/>
      <c r="BW68" s="183" t="str">
        <f t="shared" si="18"/>
        <v>30+</v>
      </c>
      <c r="BX68" s="183" t="str">
        <f t="shared" si="19"/>
        <v>&lt;0.25</v>
      </c>
      <c r="BY68" s="188"/>
      <c r="BZ68" s="183" t="str">
        <f t="shared" si="20"/>
        <v>FL 30+</v>
      </c>
    </row>
    <row r="69" spans="1:78">
      <c r="A69" s="158" t="s">
        <v>551</v>
      </c>
      <c r="B69" s="159"/>
      <c r="C69" s="160">
        <v>45777</v>
      </c>
      <c r="D69" s="161" t="s">
        <v>731</v>
      </c>
      <c r="E69" s="158" t="s">
        <v>893</v>
      </c>
      <c r="F69" s="162" t="s">
        <v>894</v>
      </c>
      <c r="G69" s="163" t="s">
        <v>734</v>
      </c>
      <c r="H69" s="164">
        <v>11620875</v>
      </c>
      <c r="I69" s="165"/>
      <c r="J69" s="163" t="s">
        <v>12</v>
      </c>
      <c r="K69" s="163" t="s">
        <v>735</v>
      </c>
      <c r="L69" s="166" t="s">
        <v>770</v>
      </c>
      <c r="M69" s="166" t="s">
        <v>737</v>
      </c>
      <c r="N69" s="167">
        <f>+VLOOKUP(A69, [2]Sheet2!$M$3:$Z$76, 14, FALSE)</f>
        <v>9.2997999999999997E-2</v>
      </c>
      <c r="O69" s="168" t="s">
        <v>738</v>
      </c>
      <c r="P69" s="167">
        <v>0.01</v>
      </c>
      <c r="Q69" s="167">
        <f>+VLOOKUP($A69, [2]Sheet2!$M$3:$Z$76, 13, FALSE)</f>
        <v>0.05</v>
      </c>
      <c r="R69" s="166">
        <v>3</v>
      </c>
      <c r="S69" s="195"/>
      <c r="T69" s="167" t="s">
        <v>739</v>
      </c>
      <c r="U69" s="163">
        <f t="shared" si="21"/>
        <v>4.2611111111111111</v>
      </c>
      <c r="V69" s="170">
        <v>47334</v>
      </c>
      <c r="W69" s="163" t="s">
        <v>740</v>
      </c>
      <c r="X69" s="171">
        <v>100</v>
      </c>
      <c r="Y69" s="196"/>
      <c r="Z69" s="197"/>
      <c r="AA69" s="173"/>
      <c r="AB69" s="174">
        <v>65.727999999999994</v>
      </c>
      <c r="AC69" s="175">
        <v>1.786815277966562</v>
      </c>
      <c r="AD69" s="175">
        <v>3.9264544790652387</v>
      </c>
      <c r="AE69" s="175"/>
      <c r="AF69" s="175">
        <v>3.9264544790652387</v>
      </c>
      <c r="AG69" s="170">
        <f>+VLOOKUP($A69, [2]Sheet2!$M$3:$X$76, 8, FALSE)</f>
        <v>45565</v>
      </c>
      <c r="AH69" s="163"/>
      <c r="AI69" s="176">
        <f>+VLOOKUP(A69, [2]Sheet2!$M$3:$X$76, 9, FALSE)</f>
        <v>3.9264544790652387</v>
      </c>
      <c r="AJ69" s="177">
        <f>+VLOOKUP($A69, [2]Sheet2!$M$3:$X$76, 10, FALSE)</f>
        <v>65.727999999999994</v>
      </c>
      <c r="AK69" s="175">
        <f t="shared" si="0"/>
        <v>0</v>
      </c>
      <c r="AL69" s="175"/>
      <c r="AM69" s="176">
        <f>+VLOOKUP($A69, [2]Sheet2!$M$3:$X$76, 11, FALSE)</f>
        <v>3.9264544790652387</v>
      </c>
      <c r="AN69" s="176">
        <f t="shared" si="1"/>
        <v>0</v>
      </c>
      <c r="AO69" s="176">
        <f>+VLOOKUP($A69, [2]Sheet2!$M$3:$X$76, 12, FALSE)</f>
        <v>1.786815277966562</v>
      </c>
      <c r="AP69" s="176">
        <f t="shared" si="2"/>
        <v>0</v>
      </c>
      <c r="AQ69" s="204"/>
      <c r="AR69" s="204"/>
      <c r="AS69" s="166" t="s">
        <v>741</v>
      </c>
      <c r="AT69" s="179" t="s">
        <v>742</v>
      </c>
      <c r="AU69" s="166" t="s">
        <v>742</v>
      </c>
      <c r="AV69" s="198"/>
      <c r="AW69" s="161" t="s">
        <v>743</v>
      </c>
      <c r="AX69" s="181">
        <v>11620875</v>
      </c>
      <c r="AY69" s="181">
        <v>0</v>
      </c>
      <c r="AZ69" s="181">
        <f t="shared" si="22"/>
        <v>11620875</v>
      </c>
      <c r="BA69" s="181"/>
      <c r="BB69" s="174" t="s">
        <v>744</v>
      </c>
      <c r="BC69" s="174" t="s">
        <v>745</v>
      </c>
      <c r="BD69" s="205">
        <v>100</v>
      </c>
      <c r="BE69" s="183">
        <f t="shared" si="3"/>
        <v>0</v>
      </c>
      <c r="BF69" s="183">
        <f t="shared" si="4"/>
        <v>0</v>
      </c>
      <c r="BG69" s="183">
        <f t="shared" si="5"/>
        <v>0</v>
      </c>
      <c r="BH69" s="183">
        <f t="shared" si="6"/>
        <v>0</v>
      </c>
      <c r="BI69" s="183">
        <f t="shared" si="7"/>
        <v>0</v>
      </c>
      <c r="BJ69" s="183">
        <f t="shared" si="8"/>
        <v>0</v>
      </c>
      <c r="BK69" s="183">
        <f t="shared" si="9"/>
        <v>0</v>
      </c>
      <c r="BL69" s="183">
        <f t="shared" si="10"/>
        <v>0</v>
      </c>
      <c r="BM69" s="183">
        <f t="shared" si="11"/>
        <v>0</v>
      </c>
      <c r="BN69" s="183">
        <f t="shared" si="12"/>
        <v>0</v>
      </c>
      <c r="BO69" s="183">
        <f t="shared" si="13"/>
        <v>0</v>
      </c>
      <c r="BP69" s="183">
        <f t="shared" si="14"/>
        <v>0</v>
      </c>
      <c r="BQ69" s="184">
        <f t="shared" si="15"/>
        <v>11620875</v>
      </c>
      <c r="BR69" s="185">
        <v>100</v>
      </c>
      <c r="BS69" s="186">
        <f t="shared" si="16"/>
        <v>11620875</v>
      </c>
      <c r="BT69" s="187"/>
      <c r="BU69" s="181">
        <f t="shared" si="17"/>
        <v>11620875</v>
      </c>
      <c r="BV69" s="187"/>
      <c r="BW69" s="183" t="str">
        <f t="shared" si="18"/>
        <v>30+</v>
      </c>
      <c r="BX69" s="183" t="str">
        <f t="shared" si="19"/>
        <v>&lt;0.25</v>
      </c>
      <c r="BY69" s="188"/>
      <c r="BZ69" s="183" t="str">
        <f t="shared" si="20"/>
        <v>FL 30+</v>
      </c>
    </row>
    <row r="70" spans="1:78">
      <c r="A70" s="158" t="s">
        <v>553</v>
      </c>
      <c r="B70" s="159"/>
      <c r="C70" s="160">
        <v>45777</v>
      </c>
      <c r="D70" s="161" t="s">
        <v>731</v>
      </c>
      <c r="E70" s="158" t="s">
        <v>895</v>
      </c>
      <c r="F70" s="162" t="s">
        <v>896</v>
      </c>
      <c r="G70" s="163" t="s">
        <v>734</v>
      </c>
      <c r="H70" s="164">
        <v>2098550.4700000002</v>
      </c>
      <c r="I70" s="189"/>
      <c r="J70" s="163" t="s">
        <v>12</v>
      </c>
      <c r="K70" s="163" t="s">
        <v>735</v>
      </c>
      <c r="L70" s="166" t="s">
        <v>791</v>
      </c>
      <c r="M70" s="166" t="s">
        <v>737</v>
      </c>
      <c r="N70" s="167">
        <f>+VLOOKUP(A70, [2]Sheet2!$M$3:$Z$76, 14, FALSE)</f>
        <v>9.0492000000000031E-2</v>
      </c>
      <c r="O70" s="168" t="s">
        <v>738</v>
      </c>
      <c r="P70" s="167">
        <v>0.01</v>
      </c>
      <c r="Q70" s="167">
        <f>+VLOOKUP($A70, [2]Sheet2!$M$3:$Z$76, 13, FALSE)</f>
        <v>4.7500000000000001E-2</v>
      </c>
      <c r="R70" s="166">
        <v>3</v>
      </c>
      <c r="S70" s="195"/>
      <c r="T70" s="167" t="s">
        <v>739</v>
      </c>
      <c r="U70" s="163">
        <f t="shared" si="21"/>
        <v>5.5555555555555554</v>
      </c>
      <c r="V70" s="170">
        <v>47807</v>
      </c>
      <c r="W70" s="163" t="s">
        <v>740</v>
      </c>
      <c r="X70" s="171">
        <v>100</v>
      </c>
      <c r="Y70" s="196"/>
      <c r="Z70" s="197"/>
      <c r="AA70" s="173"/>
      <c r="AB70" s="174">
        <v>10.888</v>
      </c>
      <c r="AC70" s="175">
        <v>1.8772413793103448</v>
      </c>
      <c r="AD70" s="175">
        <v>4.1373071271124173</v>
      </c>
      <c r="AE70" s="175"/>
      <c r="AF70" s="175">
        <v>4.1373071271124173</v>
      </c>
      <c r="AG70" s="170">
        <f>+VLOOKUP($A70, [2]Sheet2!$M$3:$X$76, 8, FALSE)</f>
        <v>45688</v>
      </c>
      <c r="AH70" s="163"/>
      <c r="AI70" s="176">
        <f>+VLOOKUP(A70, [2]Sheet2!$M$3:$X$76, 9, FALSE)</f>
        <v>4.3677475147822218</v>
      </c>
      <c r="AJ70" s="177">
        <f>+VLOOKUP($A70, [2]Sheet2!$M$3:$X$76, 10, FALSE)</f>
        <v>13.024529189809741</v>
      </c>
      <c r="AK70" s="175">
        <f t="shared" ref="AK70:AK81" si="23">AD70-AI70</f>
        <v>-0.23044038766980446</v>
      </c>
      <c r="AL70" s="175"/>
      <c r="AM70" s="176">
        <f>+VLOOKUP($A70, [2]Sheet2!$M$3:$X$76, 11, FALSE)</f>
        <v>4.3677475147822218</v>
      </c>
      <c r="AN70" s="176">
        <f t="shared" ref="AN70:AN81" si="24">AF70-AM70</f>
        <v>-0.23044038766980446</v>
      </c>
      <c r="AO70" s="176">
        <f>+VLOOKUP($A70, [2]Sheet2!$M$3:$X$76, 12, FALSE)</f>
        <v>2.1520865898446826</v>
      </c>
      <c r="AP70" s="176">
        <f t="shared" ref="AP70:AP81" si="25">AC70-AO70</f>
        <v>-0.27484521053433775</v>
      </c>
      <c r="AQ70" s="204"/>
      <c r="AR70" s="204"/>
      <c r="AS70" s="166" t="s">
        <v>741</v>
      </c>
      <c r="AT70" s="179" t="s">
        <v>742</v>
      </c>
      <c r="AU70" s="166" t="s">
        <v>742</v>
      </c>
      <c r="AV70" s="198"/>
      <c r="AW70" s="161" t="s">
        <v>743</v>
      </c>
      <c r="AX70" s="181">
        <v>2098550.4700000002</v>
      </c>
      <c r="AY70" s="181">
        <v>0</v>
      </c>
      <c r="AZ70" s="181">
        <f t="shared" si="22"/>
        <v>2098550.4700000002</v>
      </c>
      <c r="BA70" s="181"/>
      <c r="BB70" s="174" t="s">
        <v>744</v>
      </c>
      <c r="BC70" s="174" t="s">
        <v>745</v>
      </c>
      <c r="BD70" s="205">
        <v>100</v>
      </c>
      <c r="BE70" s="183">
        <f t="shared" ref="BE70:BE81" si="26">IF(LEFT(BZ70,3)="FL ",0,1)</f>
        <v>0</v>
      </c>
      <c r="BF70" s="183">
        <f t="shared" ref="BF70:BF81" si="27">IF(OR(J70="FLLO",L70="2L"),1,0)</f>
        <v>0</v>
      </c>
      <c r="BG70" s="183">
        <f t="shared" ref="BG70:BG81" si="28">IF(L70="2L",1,0)</f>
        <v>0</v>
      </c>
      <c r="BH70" s="183">
        <f t="shared" ref="BH70:BH81" si="29">IF(J70="USD",0,1)</f>
        <v>0</v>
      </c>
      <c r="BI70" s="183">
        <f t="shared" ref="BI70:BI81" si="30">IF(W70="USA",0,1)</f>
        <v>0</v>
      </c>
      <c r="BJ70" s="183">
        <f t="shared" ref="BJ70:BJ81" si="31">IF(AJ70&lt;15,1,0)</f>
        <v>1</v>
      </c>
      <c r="BK70" s="183">
        <f t="shared" ref="BK70:BK81" si="32">IF(AJ70&lt;10,1,0)</f>
        <v>0</v>
      </c>
      <c r="BL70" s="183">
        <f t="shared" ref="BL70:BL81" si="33">IF(BA70="Yes",1,0)</f>
        <v>0</v>
      </c>
      <c r="BM70" s="183">
        <f t="shared" ref="BM70:BM81" si="34">IF(AT70="Yes",1,0)</f>
        <v>0</v>
      </c>
      <c r="BN70" s="183">
        <f t="shared" ref="BN70:BN81" si="35">IF(AI70&gt;5.5,1,0)</f>
        <v>0</v>
      </c>
      <c r="BO70" s="183">
        <f t="shared" ref="BO70:BO81" si="36">IF(M70="Fixed",1,0)</f>
        <v>0</v>
      </c>
      <c r="BP70" s="183">
        <f t="shared" ref="BP70:BP81" si="37">IF(AU70="Yes",1,0)</f>
        <v>0</v>
      </c>
      <c r="BQ70" s="184">
        <f t="shared" ref="BQ70:BQ81" si="38">H70</f>
        <v>2098550.4700000002</v>
      </c>
      <c r="BR70" s="185">
        <v>100</v>
      </c>
      <c r="BS70" s="186">
        <f t="shared" ref="BS70:BS81" si="39">BR70*AZ70/100</f>
        <v>2098550.4700000002</v>
      </c>
      <c r="BT70" s="187"/>
      <c r="BU70" s="181">
        <f t="shared" ref="BU70:BU81" si="40">BS70-BT70</f>
        <v>2098550.4700000002</v>
      </c>
      <c r="BV70" s="187"/>
      <c r="BW70" s="183" t="str">
        <f t="shared" ref="BW70:BW81" si="41">IF(LEN(AJ70)=0,"EBITDA missing",IF(AJ70&gt;10000,"EBITDA bad",IF(AJ70&lt;=15,"15-",IF(AJ70&gt;=30,"30+","15-30"))))</f>
        <v>15-</v>
      </c>
      <c r="BX70" s="183" t="str">
        <f t="shared" ref="BX70:BX81" si="42">IF(AE70&lt;=0.25,"&lt;0.25",IF(AE70&gt;1.5,"&gt;1.50","0.25-1.50"))</f>
        <v>&lt;0.25</v>
      </c>
      <c r="BY70" s="188"/>
      <c r="BZ70" s="183" t="str">
        <f t="shared" ref="BZ70:BZ81" si="43">IF(K70="FL",K70&amp;" "&amp;BW70,IF(K70="FLLO",IF(OR(BX70="&lt;0.25",BY70="FL"),"FL"&amp;" "&amp;BW70,K70&amp;" "&amp;BX70),K70))</f>
        <v>FL 15-</v>
      </c>
    </row>
    <row r="71" spans="1:78">
      <c r="A71" s="158" t="s">
        <v>555</v>
      </c>
      <c r="B71" s="159"/>
      <c r="C71" s="160">
        <v>45777</v>
      </c>
      <c r="D71" s="161" t="s">
        <v>731</v>
      </c>
      <c r="E71" s="158" t="s">
        <v>897</v>
      </c>
      <c r="F71" s="162" t="s">
        <v>898</v>
      </c>
      <c r="G71" s="163" t="s">
        <v>734</v>
      </c>
      <c r="H71" s="164">
        <v>19022012</v>
      </c>
      <c r="I71" s="165"/>
      <c r="J71" s="163" t="s">
        <v>12</v>
      </c>
      <c r="K71" s="163" t="s">
        <v>735</v>
      </c>
      <c r="L71" s="166" t="s">
        <v>770</v>
      </c>
      <c r="M71" s="166" t="s">
        <v>737</v>
      </c>
      <c r="N71" s="167">
        <f>+VLOOKUP(A71, [2]Sheet2!$M$3:$Z$76, 14, FALSE)</f>
        <v>0.10049200000000001</v>
      </c>
      <c r="O71" s="168" t="s">
        <v>738</v>
      </c>
      <c r="P71" s="167">
        <v>0.01</v>
      </c>
      <c r="Q71" s="167">
        <f>+VLOOKUP($A71, [2]Sheet2!$M$3:$Z$76, 13, FALSE)</f>
        <v>5.7500000000000002E-2</v>
      </c>
      <c r="R71" s="166">
        <v>3</v>
      </c>
      <c r="S71" s="195"/>
      <c r="T71" s="167" t="s">
        <v>739</v>
      </c>
      <c r="U71" s="163">
        <f t="shared" ref="U71:U81" si="44">YEARFRAC(C71,V71)</f>
        <v>4.625</v>
      </c>
      <c r="V71" s="170">
        <v>47467</v>
      </c>
      <c r="W71" s="163" t="s">
        <v>740</v>
      </c>
      <c r="X71" s="171">
        <v>100</v>
      </c>
      <c r="Y71" s="196"/>
      <c r="Z71" s="197"/>
      <c r="AA71" s="173"/>
      <c r="AB71" s="174">
        <v>20.399999999999999</v>
      </c>
      <c r="AC71" s="175">
        <v>2.193548387096774</v>
      </c>
      <c r="AD71" s="175">
        <v>3.8333333333333339</v>
      </c>
      <c r="AE71" s="175"/>
      <c r="AF71" s="175">
        <v>4.3235294117647065</v>
      </c>
      <c r="AG71" s="170">
        <f>+VLOOKUP($A71, [2]Sheet2!$M$3:$X$76, 8, FALSE)</f>
        <v>45688</v>
      </c>
      <c r="AH71" s="163"/>
      <c r="AI71" s="176">
        <f>+VLOOKUP(A71, [2]Sheet2!$M$3:$X$76, 9, FALSE)</f>
        <v>3.7932843137254904</v>
      </c>
      <c r="AJ71" s="177">
        <f>+VLOOKUP($A71, [2]Sheet2!$M$3:$X$76, 10, FALSE)</f>
        <v>20.399999999999999</v>
      </c>
      <c r="AK71" s="175">
        <f t="shared" si="23"/>
        <v>4.0049019607843572E-2</v>
      </c>
      <c r="AL71" s="175"/>
      <c r="AM71" s="176">
        <f>+VLOOKUP($A71, [2]Sheet2!$M$3:$X$76, 11, FALSE)</f>
        <v>4.2834803921568625</v>
      </c>
      <c r="AN71" s="176">
        <f t="shared" si="24"/>
        <v>4.0049019607844016E-2</v>
      </c>
      <c r="AO71" s="176">
        <f>+VLOOKUP($A71, [2]Sheet2!$M$3:$X$76, 12, FALSE)</f>
        <v>2.193548387096774</v>
      </c>
      <c r="AP71" s="176">
        <f t="shared" si="25"/>
        <v>0</v>
      </c>
      <c r="AQ71" s="204"/>
      <c r="AR71" s="204"/>
      <c r="AS71" s="166" t="s">
        <v>741</v>
      </c>
      <c r="AT71" s="179" t="s">
        <v>742</v>
      </c>
      <c r="AU71" s="166" t="s">
        <v>742</v>
      </c>
      <c r="AV71" s="198"/>
      <c r="AW71" s="161" t="s">
        <v>743</v>
      </c>
      <c r="AX71" s="181">
        <v>19022012</v>
      </c>
      <c r="AY71" s="181">
        <v>0</v>
      </c>
      <c r="AZ71" s="181">
        <f t="shared" ref="AZ71:AZ81" si="45">+AX71-AY71</f>
        <v>19022012</v>
      </c>
      <c r="BA71" s="181"/>
      <c r="BB71" s="174" t="s">
        <v>744</v>
      </c>
      <c r="BC71" s="174" t="s">
        <v>745</v>
      </c>
      <c r="BD71" s="205">
        <v>100</v>
      </c>
      <c r="BE71" s="183">
        <f t="shared" si="26"/>
        <v>0</v>
      </c>
      <c r="BF71" s="183">
        <f t="shared" si="27"/>
        <v>0</v>
      </c>
      <c r="BG71" s="183">
        <f t="shared" si="28"/>
        <v>0</v>
      </c>
      <c r="BH71" s="183">
        <f t="shared" si="29"/>
        <v>0</v>
      </c>
      <c r="BI71" s="183">
        <f t="shared" si="30"/>
        <v>0</v>
      </c>
      <c r="BJ71" s="183">
        <f t="shared" si="31"/>
        <v>0</v>
      </c>
      <c r="BK71" s="183">
        <f t="shared" si="32"/>
        <v>0</v>
      </c>
      <c r="BL71" s="183">
        <f t="shared" si="33"/>
        <v>0</v>
      </c>
      <c r="BM71" s="183">
        <f t="shared" si="34"/>
        <v>0</v>
      </c>
      <c r="BN71" s="183">
        <f t="shared" si="35"/>
        <v>0</v>
      </c>
      <c r="BO71" s="183">
        <f t="shared" si="36"/>
        <v>0</v>
      </c>
      <c r="BP71" s="183">
        <f t="shared" si="37"/>
        <v>0</v>
      </c>
      <c r="BQ71" s="184">
        <f t="shared" si="38"/>
        <v>19022012</v>
      </c>
      <c r="BR71" s="185">
        <v>100</v>
      </c>
      <c r="BS71" s="186">
        <f t="shared" si="39"/>
        <v>19022012</v>
      </c>
      <c r="BT71" s="187"/>
      <c r="BU71" s="181">
        <f t="shared" si="40"/>
        <v>19022012</v>
      </c>
      <c r="BV71" s="187"/>
      <c r="BW71" s="183" t="str">
        <f t="shared" si="41"/>
        <v>15-30</v>
      </c>
      <c r="BX71" s="183" t="str">
        <f t="shared" si="42"/>
        <v>&lt;0.25</v>
      </c>
      <c r="BY71" s="188"/>
      <c r="BZ71" s="183" t="str">
        <f t="shared" si="43"/>
        <v>FL 15-30</v>
      </c>
    </row>
    <row r="72" spans="1:78">
      <c r="A72" s="158" t="s">
        <v>557</v>
      </c>
      <c r="B72" s="159"/>
      <c r="C72" s="160">
        <v>45777</v>
      </c>
      <c r="D72" s="161" t="s">
        <v>731</v>
      </c>
      <c r="E72" s="158" t="s">
        <v>899</v>
      </c>
      <c r="F72" s="162" t="s">
        <v>900</v>
      </c>
      <c r="G72" s="163" t="s">
        <v>734</v>
      </c>
      <c r="H72" s="164">
        <v>9000000</v>
      </c>
      <c r="I72" s="165"/>
      <c r="J72" s="163" t="s">
        <v>12</v>
      </c>
      <c r="K72" s="163" t="s">
        <v>735</v>
      </c>
      <c r="L72" s="166" t="s">
        <v>901</v>
      </c>
      <c r="M72" s="166" t="s">
        <v>737</v>
      </c>
      <c r="N72" s="167">
        <f>+VLOOKUP(A72, [2]Sheet2!$M$3:$Z$76, 14, FALSE)</f>
        <v>9.0785999999999992E-2</v>
      </c>
      <c r="O72" s="168" t="s">
        <v>738</v>
      </c>
      <c r="P72" s="167">
        <v>0.01</v>
      </c>
      <c r="Q72" s="167">
        <f>+VLOOKUP($A72, [2]Sheet2!$M$3:$Z$76, 13, FALSE)</f>
        <v>4.7500000000000001E-2</v>
      </c>
      <c r="R72" s="166">
        <v>3</v>
      </c>
      <c r="S72" s="195"/>
      <c r="T72" s="167" t="s">
        <v>739</v>
      </c>
      <c r="U72" s="163">
        <f t="shared" si="44"/>
        <v>5.5611111111111109</v>
      </c>
      <c r="V72" s="170">
        <v>47809</v>
      </c>
      <c r="W72" s="163" t="s">
        <v>740</v>
      </c>
      <c r="X72" s="171">
        <v>100</v>
      </c>
      <c r="Y72" s="196"/>
      <c r="Z72" s="197"/>
      <c r="AA72" s="173"/>
      <c r="AB72" s="174">
        <v>16.096857</v>
      </c>
      <c r="AC72" s="175">
        <v>2.0905009090909092</v>
      </c>
      <c r="AD72" s="176">
        <v>4.2244271661231751</v>
      </c>
      <c r="AE72" s="175"/>
      <c r="AF72" s="175">
        <v>4.2244271661231751</v>
      </c>
      <c r="AG72" s="170">
        <f>+VLOOKUP($A72, [2]Sheet2!$M$3:$X$76, 8, FALSE)</f>
        <v>45688</v>
      </c>
      <c r="AH72" s="163"/>
      <c r="AI72" s="176">
        <f>+VLOOKUP(A72, [2]Sheet2!$M$3:$X$76, 9, FALSE)</f>
        <v>3.8470242979732006</v>
      </c>
      <c r="AJ72" s="177">
        <f>+VLOOKUP($A72, [2]Sheet2!$M$3:$X$76, 10, FALSE)</f>
        <v>16.096857</v>
      </c>
      <c r="AK72" s="175">
        <f t="shared" si="23"/>
        <v>0.37740286814997459</v>
      </c>
      <c r="AL72" s="175"/>
      <c r="AM72" s="176">
        <f>+VLOOKUP($A72, [2]Sheet2!$M$3:$X$76, 11, FALSE)</f>
        <v>3.8470242979732006</v>
      </c>
      <c r="AN72" s="176">
        <f t="shared" si="24"/>
        <v>0.37740286814997459</v>
      </c>
      <c r="AO72" s="176">
        <f>+VLOOKUP($A72, [2]Sheet2!$M$3:$X$76, 12, FALSE)</f>
        <v>2.0905009090909092</v>
      </c>
      <c r="AP72" s="176">
        <f t="shared" si="25"/>
        <v>0</v>
      </c>
      <c r="AQ72" s="204"/>
      <c r="AR72" s="204"/>
      <c r="AS72" s="166" t="s">
        <v>741</v>
      </c>
      <c r="AT72" s="179" t="s">
        <v>742</v>
      </c>
      <c r="AU72" s="166" t="s">
        <v>742</v>
      </c>
      <c r="AV72" s="198"/>
      <c r="AW72" s="161" t="s">
        <v>743</v>
      </c>
      <c r="AX72" s="181">
        <v>9000000</v>
      </c>
      <c r="AY72" s="181">
        <v>0</v>
      </c>
      <c r="AZ72" s="181">
        <f t="shared" si="45"/>
        <v>9000000</v>
      </c>
      <c r="BA72" s="181"/>
      <c r="BB72" s="174" t="s">
        <v>744</v>
      </c>
      <c r="BC72" s="174" t="s">
        <v>745</v>
      </c>
      <c r="BD72" s="205">
        <v>100</v>
      </c>
      <c r="BE72" s="183">
        <f t="shared" si="26"/>
        <v>0</v>
      </c>
      <c r="BF72" s="183">
        <f t="shared" si="27"/>
        <v>0</v>
      </c>
      <c r="BG72" s="183">
        <f t="shared" si="28"/>
        <v>0</v>
      </c>
      <c r="BH72" s="183">
        <f t="shared" si="29"/>
        <v>0</v>
      </c>
      <c r="BI72" s="183">
        <f t="shared" si="30"/>
        <v>0</v>
      </c>
      <c r="BJ72" s="183">
        <f t="shared" si="31"/>
        <v>0</v>
      </c>
      <c r="BK72" s="183">
        <f t="shared" si="32"/>
        <v>0</v>
      </c>
      <c r="BL72" s="183">
        <f t="shared" si="33"/>
        <v>0</v>
      </c>
      <c r="BM72" s="183">
        <f t="shared" si="34"/>
        <v>0</v>
      </c>
      <c r="BN72" s="183">
        <f t="shared" si="35"/>
        <v>0</v>
      </c>
      <c r="BO72" s="183">
        <f t="shared" si="36"/>
        <v>0</v>
      </c>
      <c r="BP72" s="183">
        <f t="shared" si="37"/>
        <v>0</v>
      </c>
      <c r="BQ72" s="184">
        <f t="shared" si="38"/>
        <v>9000000</v>
      </c>
      <c r="BR72" s="185">
        <v>100</v>
      </c>
      <c r="BS72" s="186">
        <f t="shared" si="39"/>
        <v>9000000</v>
      </c>
      <c r="BT72" s="187"/>
      <c r="BU72" s="181">
        <f t="shared" si="40"/>
        <v>9000000</v>
      </c>
      <c r="BV72" s="187"/>
      <c r="BW72" s="183" t="str">
        <f t="shared" si="41"/>
        <v>15-30</v>
      </c>
      <c r="BX72" s="183" t="str">
        <f t="shared" si="42"/>
        <v>&lt;0.25</v>
      </c>
      <c r="BY72" s="188"/>
      <c r="BZ72" s="183" t="str">
        <f t="shared" si="43"/>
        <v>FL 15-30</v>
      </c>
    </row>
    <row r="73" spans="1:78">
      <c r="A73" s="158" t="s">
        <v>559</v>
      </c>
      <c r="B73" s="159"/>
      <c r="C73" s="160">
        <v>45777</v>
      </c>
      <c r="D73" s="161" t="s">
        <v>731</v>
      </c>
      <c r="E73" s="158" t="s">
        <v>902</v>
      </c>
      <c r="F73" s="162" t="s">
        <v>903</v>
      </c>
      <c r="G73" s="163" t="s">
        <v>734</v>
      </c>
      <c r="H73" s="164">
        <v>6000000</v>
      </c>
      <c r="I73" s="165"/>
      <c r="J73" s="163" t="s">
        <v>12</v>
      </c>
      <c r="K73" s="163" t="s">
        <v>735</v>
      </c>
      <c r="L73" s="166" t="s">
        <v>770</v>
      </c>
      <c r="M73" s="166" t="s">
        <v>737</v>
      </c>
      <c r="N73" s="167">
        <f>+VLOOKUP(A73, [2]Sheet2!$M$3:$Z$76, 14, FALSE)</f>
        <v>9.5738400000000001E-2</v>
      </c>
      <c r="O73" s="168" t="s">
        <v>738</v>
      </c>
      <c r="P73" s="167">
        <v>0.01</v>
      </c>
      <c r="Q73" s="167">
        <f>+VLOOKUP($A73, [2]Sheet2!$M$3:$Z$76, 13, FALSE)</f>
        <v>5.2499999999999998E-2</v>
      </c>
      <c r="R73" s="166">
        <v>3</v>
      </c>
      <c r="S73" s="195"/>
      <c r="T73" s="167" t="s">
        <v>739</v>
      </c>
      <c r="U73" s="163">
        <f t="shared" si="44"/>
        <v>5.6305555555555555</v>
      </c>
      <c r="V73" s="170">
        <v>47834</v>
      </c>
      <c r="W73" s="163" t="s">
        <v>740</v>
      </c>
      <c r="X73" s="171">
        <v>100</v>
      </c>
      <c r="Y73" s="196"/>
      <c r="Z73" s="197"/>
      <c r="AA73" s="197"/>
      <c r="AB73" s="201">
        <v>23.625688</v>
      </c>
      <c r="AC73" s="202">
        <v>1.6409410260538424</v>
      </c>
      <c r="AD73" s="175">
        <v>5.1738042083684501</v>
      </c>
      <c r="AE73" s="202"/>
      <c r="AF73" s="202">
        <v>5.1738042083684501</v>
      </c>
      <c r="AG73" s="170">
        <f>+VLOOKUP($A73, [2]Sheet2!$M$3:$X$76, 8, FALSE)</f>
        <v>45716</v>
      </c>
      <c r="AH73" s="206"/>
      <c r="AI73" s="176">
        <f>+VLOOKUP(A73, [2]Sheet2!$M$3:$X$76, 9, FALSE)</f>
        <v>5.0326621901750501</v>
      </c>
      <c r="AJ73" s="177">
        <f>+VLOOKUP($A73, [2]Sheet2!$M$3:$X$76, 10, FALSE)</f>
        <v>22.916578868566667</v>
      </c>
      <c r="AK73" s="175">
        <f t="shared" si="23"/>
        <v>0.1411420181934</v>
      </c>
      <c r="AL73" s="175"/>
      <c r="AM73" s="176">
        <f>+VLOOKUP($A73, [2]Sheet2!$M$3:$X$76, 11, FALSE)</f>
        <v>5.0326621901750501</v>
      </c>
      <c r="AN73" s="176">
        <f t="shared" si="24"/>
        <v>0.1411420181934</v>
      </c>
      <c r="AO73" s="176">
        <f>+VLOOKUP($A73, [2]Sheet2!$M$3:$X$76, 12, FALSE)</f>
        <v>1.6473026517776352</v>
      </c>
      <c r="AP73" s="176">
        <f t="shared" si="25"/>
        <v>-6.3616257237928409E-3</v>
      </c>
      <c r="AQ73" s="204"/>
      <c r="AR73" s="204"/>
      <c r="AS73" s="166" t="s">
        <v>741</v>
      </c>
      <c r="AT73" s="179" t="s">
        <v>742</v>
      </c>
      <c r="AU73" s="166" t="s">
        <v>742</v>
      </c>
      <c r="AV73" s="198"/>
      <c r="AW73" s="161" t="s">
        <v>743</v>
      </c>
      <c r="AX73" s="181">
        <v>6000000</v>
      </c>
      <c r="AY73" s="181">
        <v>0</v>
      </c>
      <c r="AZ73" s="181">
        <f t="shared" si="45"/>
        <v>6000000</v>
      </c>
      <c r="BA73" s="181"/>
      <c r="BB73" s="174" t="s">
        <v>744</v>
      </c>
      <c r="BC73" s="174" t="s">
        <v>745</v>
      </c>
      <c r="BD73" s="205">
        <v>100</v>
      </c>
      <c r="BE73" s="183">
        <f t="shared" si="26"/>
        <v>0</v>
      </c>
      <c r="BF73" s="183">
        <f t="shared" si="27"/>
        <v>0</v>
      </c>
      <c r="BG73" s="183">
        <f t="shared" si="28"/>
        <v>0</v>
      </c>
      <c r="BH73" s="183">
        <f t="shared" si="29"/>
        <v>0</v>
      </c>
      <c r="BI73" s="183">
        <f t="shared" si="30"/>
        <v>0</v>
      </c>
      <c r="BJ73" s="183">
        <f t="shared" si="31"/>
        <v>0</v>
      </c>
      <c r="BK73" s="183">
        <f t="shared" si="32"/>
        <v>0</v>
      </c>
      <c r="BL73" s="183">
        <f t="shared" si="33"/>
        <v>0</v>
      </c>
      <c r="BM73" s="183">
        <f t="shared" si="34"/>
        <v>0</v>
      </c>
      <c r="BN73" s="183">
        <f t="shared" si="35"/>
        <v>0</v>
      </c>
      <c r="BO73" s="183">
        <f t="shared" si="36"/>
        <v>0</v>
      </c>
      <c r="BP73" s="183">
        <f t="shared" si="37"/>
        <v>0</v>
      </c>
      <c r="BQ73" s="184">
        <f t="shared" si="38"/>
        <v>6000000</v>
      </c>
      <c r="BR73" s="185">
        <v>100</v>
      </c>
      <c r="BS73" s="186">
        <f t="shared" si="39"/>
        <v>6000000</v>
      </c>
      <c r="BT73" s="187"/>
      <c r="BU73" s="181">
        <f t="shared" si="40"/>
        <v>6000000</v>
      </c>
      <c r="BV73" s="187"/>
      <c r="BW73" s="183" t="str">
        <f t="shared" si="41"/>
        <v>15-30</v>
      </c>
      <c r="BX73" s="183" t="str">
        <f t="shared" si="42"/>
        <v>&lt;0.25</v>
      </c>
      <c r="BY73" s="188"/>
      <c r="BZ73" s="183" t="str">
        <f t="shared" si="43"/>
        <v>FL 15-30</v>
      </c>
    </row>
    <row r="74" spans="1:78">
      <c r="A74" s="158" t="s">
        <v>561</v>
      </c>
      <c r="B74" s="159"/>
      <c r="C74" s="160">
        <v>45777</v>
      </c>
      <c r="D74" s="161" t="s">
        <v>731</v>
      </c>
      <c r="E74" s="158" t="s">
        <v>904</v>
      </c>
      <c r="F74" s="162" t="s">
        <v>905</v>
      </c>
      <c r="G74" s="163" t="s">
        <v>734</v>
      </c>
      <c r="H74" s="164">
        <v>4987500</v>
      </c>
      <c r="I74" s="165"/>
      <c r="J74" s="163" t="s">
        <v>12</v>
      </c>
      <c r="K74" s="163" t="s">
        <v>735</v>
      </c>
      <c r="L74" s="166" t="s">
        <v>784</v>
      </c>
      <c r="M74" s="166" t="s">
        <v>737</v>
      </c>
      <c r="N74" s="167">
        <f>+VLOOKUP(A74, [2]Sheet2!$M$3:$Z$76, 14, FALSE)</f>
        <v>9.2992000000000005E-2</v>
      </c>
      <c r="O74" s="168" t="s">
        <v>738</v>
      </c>
      <c r="P74" s="167">
        <v>0.01</v>
      </c>
      <c r="Q74" s="167">
        <f>+VLOOKUP($A74, [2]Sheet2!$M$3:$Z$76, 13, FALSE)</f>
        <v>0.05</v>
      </c>
      <c r="R74" s="166">
        <v>3</v>
      </c>
      <c r="S74" s="195"/>
      <c r="T74" s="167" t="s">
        <v>739</v>
      </c>
      <c r="U74" s="163">
        <f t="shared" si="44"/>
        <v>4.6388888888888893</v>
      </c>
      <c r="V74" s="170">
        <v>47472</v>
      </c>
      <c r="W74" s="163" t="s">
        <v>740</v>
      </c>
      <c r="X74" s="171">
        <v>100</v>
      </c>
      <c r="Y74" s="196"/>
      <c r="Z74" s="197"/>
      <c r="AA74" s="173"/>
      <c r="AB74" s="174">
        <v>10.5</v>
      </c>
      <c r="AC74" s="175">
        <v>5.8189780613231763</v>
      </c>
      <c r="AD74" s="175">
        <v>1.949486310952381</v>
      </c>
      <c r="AE74" s="175"/>
      <c r="AF74" s="175">
        <v>1.949486310952381</v>
      </c>
      <c r="AG74" s="170">
        <f>+VLOOKUP($A74, [2]Sheet2!$M$3:$X$76, 8, FALSE)</f>
        <v>45688</v>
      </c>
      <c r="AH74" s="206"/>
      <c r="AI74" s="176">
        <f>+VLOOKUP(A74, [2]Sheet2!$M$3:$X$76, 9, FALSE)</f>
        <v>2.4581741381271631</v>
      </c>
      <c r="AJ74" s="177">
        <f>+VLOOKUP($A74, [2]Sheet2!$M$3:$X$76, 10, FALSE)</f>
        <v>9.394128073283559</v>
      </c>
      <c r="AK74" s="175">
        <f t="shared" si="23"/>
        <v>-0.50868782717478211</v>
      </c>
      <c r="AL74" s="175"/>
      <c r="AM74" s="176">
        <f>+VLOOKUP($A74, [2]Sheet2!$M$3:$X$76, 11, FALSE)</f>
        <v>2.4581741381271631</v>
      </c>
      <c r="AN74" s="176">
        <f t="shared" si="24"/>
        <v>-0.50868782717478211</v>
      </c>
      <c r="AO74" s="176">
        <f>+VLOOKUP($A74, [2]Sheet2!$M$3:$X$76, 12, FALSE)</f>
        <v>4.6970640366417795</v>
      </c>
      <c r="AP74" s="176">
        <f t="shared" si="25"/>
        <v>1.1219140246813968</v>
      </c>
      <c r="AQ74" s="204"/>
      <c r="AR74" s="204"/>
      <c r="AS74" s="166" t="s">
        <v>741</v>
      </c>
      <c r="AT74" s="179" t="s">
        <v>742</v>
      </c>
      <c r="AU74" s="166" t="s">
        <v>742</v>
      </c>
      <c r="AV74" s="198"/>
      <c r="AW74" s="161" t="s">
        <v>743</v>
      </c>
      <c r="AX74" s="181">
        <v>4987500</v>
      </c>
      <c r="AY74" s="181">
        <v>0</v>
      </c>
      <c r="AZ74" s="181">
        <f t="shared" si="45"/>
        <v>4987500</v>
      </c>
      <c r="BA74" s="181"/>
      <c r="BB74" s="174" t="s">
        <v>744</v>
      </c>
      <c r="BC74" s="174" t="s">
        <v>745</v>
      </c>
      <c r="BD74" s="205">
        <v>100</v>
      </c>
      <c r="BE74" s="183">
        <f t="shared" si="26"/>
        <v>0</v>
      </c>
      <c r="BF74" s="183">
        <f t="shared" si="27"/>
        <v>0</v>
      </c>
      <c r="BG74" s="183">
        <f t="shared" si="28"/>
        <v>0</v>
      </c>
      <c r="BH74" s="183">
        <f t="shared" si="29"/>
        <v>0</v>
      </c>
      <c r="BI74" s="183">
        <f t="shared" si="30"/>
        <v>0</v>
      </c>
      <c r="BJ74" s="183">
        <f t="shared" si="31"/>
        <v>1</v>
      </c>
      <c r="BK74" s="183">
        <f t="shared" si="32"/>
        <v>1</v>
      </c>
      <c r="BL74" s="183">
        <f t="shared" si="33"/>
        <v>0</v>
      </c>
      <c r="BM74" s="183">
        <f t="shared" si="34"/>
        <v>0</v>
      </c>
      <c r="BN74" s="183">
        <f t="shared" si="35"/>
        <v>0</v>
      </c>
      <c r="BO74" s="183">
        <f t="shared" si="36"/>
        <v>0</v>
      </c>
      <c r="BP74" s="183">
        <f t="shared" si="37"/>
        <v>0</v>
      </c>
      <c r="BQ74" s="184">
        <f t="shared" si="38"/>
        <v>4987500</v>
      </c>
      <c r="BR74" s="185">
        <v>100</v>
      </c>
      <c r="BS74" s="186">
        <f t="shared" si="39"/>
        <v>4987500</v>
      </c>
      <c r="BT74" s="187"/>
      <c r="BU74" s="181">
        <f t="shared" si="40"/>
        <v>4987500</v>
      </c>
      <c r="BV74" s="187"/>
      <c r="BW74" s="183" t="str">
        <f t="shared" si="41"/>
        <v>15-</v>
      </c>
      <c r="BX74" s="183" t="str">
        <f t="shared" si="42"/>
        <v>&lt;0.25</v>
      </c>
      <c r="BY74" s="188"/>
      <c r="BZ74" s="183" t="str">
        <f t="shared" si="43"/>
        <v>FL 15-</v>
      </c>
    </row>
    <row r="75" spans="1:78">
      <c r="A75" s="158" t="s">
        <v>564</v>
      </c>
      <c r="B75" s="159"/>
      <c r="C75" s="160">
        <v>45777</v>
      </c>
      <c r="D75" s="161" t="s">
        <v>731</v>
      </c>
      <c r="E75" s="158" t="s">
        <v>906</v>
      </c>
      <c r="F75" s="162" t="s">
        <v>907</v>
      </c>
      <c r="G75" s="163" t="s">
        <v>734</v>
      </c>
      <c r="H75" s="164">
        <v>20000000</v>
      </c>
      <c r="I75" s="165"/>
      <c r="J75" s="163" t="s">
        <v>12</v>
      </c>
      <c r="K75" s="163" t="s">
        <v>735</v>
      </c>
      <c r="L75" s="166" t="s">
        <v>775</v>
      </c>
      <c r="M75" s="166" t="s">
        <v>737</v>
      </c>
      <c r="N75" s="167">
        <f>+VLOOKUP(A75, [2]Sheet2!$M$3:$Z$76, 14, FALSE)</f>
        <v>9.4666E-2</v>
      </c>
      <c r="O75" s="168" t="s">
        <v>738</v>
      </c>
      <c r="P75" s="167">
        <v>0.01</v>
      </c>
      <c r="Q75" s="167">
        <f>+VLOOKUP($A75, [2]Sheet2!$M$3:$Z$76, 13, FALSE)</f>
        <v>5.2499999999999998E-2</v>
      </c>
      <c r="R75" s="166">
        <v>3</v>
      </c>
      <c r="S75" s="195"/>
      <c r="T75" s="167" t="s">
        <v>739</v>
      </c>
      <c r="U75" s="163">
        <f t="shared" si="44"/>
        <v>5.6361111111111111</v>
      </c>
      <c r="V75" s="170">
        <v>47836</v>
      </c>
      <c r="W75" s="163" t="s">
        <v>740</v>
      </c>
      <c r="X75" s="171">
        <v>100</v>
      </c>
      <c r="Y75" s="196"/>
      <c r="Z75" s="197"/>
      <c r="AA75" s="173"/>
      <c r="AB75" s="174">
        <v>22.007999999999999</v>
      </c>
      <c r="AC75" s="175">
        <v>1.8494117647058823</v>
      </c>
      <c r="AD75" s="175">
        <v>5.1249094761366498</v>
      </c>
      <c r="AE75" s="175"/>
      <c r="AF75" s="175">
        <v>5.1249094761366498</v>
      </c>
      <c r="AG75" s="170">
        <f>+VLOOKUP($A75, [2]Sheet2!$M$3:$X$76, 8, FALSE)</f>
        <v>45688</v>
      </c>
      <c r="AH75" s="206"/>
      <c r="AI75" s="176">
        <f>+VLOOKUP(A75, [2]Sheet2!$M$3:$X$76, 9, FALSE)</f>
        <v>5.1055418776420307</v>
      </c>
      <c r="AJ75" s="177">
        <f>+VLOOKUP($A75, [2]Sheet2!$M$3:$X$76, 10, FALSE)</f>
        <v>21.527000000000001</v>
      </c>
      <c r="AK75" s="175">
        <f t="shared" si="23"/>
        <v>1.9367598494619109E-2</v>
      </c>
      <c r="AL75" s="175"/>
      <c r="AM75" s="176">
        <f>+VLOOKUP($A75, [2]Sheet2!$M$3:$X$76, 11, FALSE)</f>
        <v>5.1055418776420307</v>
      </c>
      <c r="AN75" s="176">
        <f t="shared" si="24"/>
        <v>1.9367598494619109E-2</v>
      </c>
      <c r="AO75" s="176">
        <f>+VLOOKUP($A75, [2]Sheet2!$M$3:$X$76, 12, FALSE)</f>
        <v>1.7958621840327023</v>
      </c>
      <c r="AP75" s="176">
        <f t="shared" si="25"/>
        <v>5.3549580673180053E-2</v>
      </c>
      <c r="AQ75" s="204"/>
      <c r="AR75" s="204"/>
      <c r="AS75" s="166" t="s">
        <v>741</v>
      </c>
      <c r="AT75" s="179" t="s">
        <v>742</v>
      </c>
      <c r="AU75" s="166" t="s">
        <v>742</v>
      </c>
      <c r="AV75" s="198"/>
      <c r="AW75" s="161" t="s">
        <v>743</v>
      </c>
      <c r="AX75" s="181">
        <v>20000000</v>
      </c>
      <c r="AY75" s="181">
        <v>0</v>
      </c>
      <c r="AZ75" s="181">
        <f t="shared" si="45"/>
        <v>20000000</v>
      </c>
      <c r="BA75" s="181"/>
      <c r="BB75" s="174" t="s">
        <v>744</v>
      </c>
      <c r="BC75" s="174" t="s">
        <v>745</v>
      </c>
      <c r="BD75" s="205">
        <v>100</v>
      </c>
      <c r="BE75" s="183">
        <f t="shared" si="26"/>
        <v>0</v>
      </c>
      <c r="BF75" s="183">
        <f t="shared" si="27"/>
        <v>0</v>
      </c>
      <c r="BG75" s="183">
        <f t="shared" si="28"/>
        <v>0</v>
      </c>
      <c r="BH75" s="183">
        <f t="shared" si="29"/>
        <v>0</v>
      </c>
      <c r="BI75" s="183">
        <f t="shared" si="30"/>
        <v>0</v>
      </c>
      <c r="BJ75" s="183">
        <f t="shared" si="31"/>
        <v>0</v>
      </c>
      <c r="BK75" s="183">
        <f t="shared" si="32"/>
        <v>0</v>
      </c>
      <c r="BL75" s="183">
        <f t="shared" si="33"/>
        <v>0</v>
      </c>
      <c r="BM75" s="183">
        <f t="shared" si="34"/>
        <v>0</v>
      </c>
      <c r="BN75" s="183">
        <f t="shared" si="35"/>
        <v>0</v>
      </c>
      <c r="BO75" s="183">
        <f t="shared" si="36"/>
        <v>0</v>
      </c>
      <c r="BP75" s="183">
        <f t="shared" si="37"/>
        <v>0</v>
      </c>
      <c r="BQ75" s="184">
        <f t="shared" si="38"/>
        <v>20000000</v>
      </c>
      <c r="BR75" s="185">
        <v>100</v>
      </c>
      <c r="BS75" s="186">
        <f t="shared" si="39"/>
        <v>20000000</v>
      </c>
      <c r="BT75" s="187"/>
      <c r="BU75" s="181">
        <f t="shared" si="40"/>
        <v>20000000</v>
      </c>
      <c r="BV75" s="187"/>
      <c r="BW75" s="183" t="str">
        <f t="shared" si="41"/>
        <v>15-30</v>
      </c>
      <c r="BX75" s="183" t="str">
        <f t="shared" si="42"/>
        <v>&lt;0.25</v>
      </c>
      <c r="BY75" s="188"/>
      <c r="BZ75" s="183" t="str">
        <f t="shared" si="43"/>
        <v>FL 15-30</v>
      </c>
    </row>
    <row r="76" spans="1:78">
      <c r="A76" s="158" t="s">
        <v>293</v>
      </c>
      <c r="B76" s="159"/>
      <c r="C76" s="160">
        <v>45777</v>
      </c>
      <c r="D76" s="161" t="s">
        <v>731</v>
      </c>
      <c r="E76" s="158" t="s">
        <v>908</v>
      </c>
      <c r="F76" s="162" t="s">
        <v>909</v>
      </c>
      <c r="G76" s="163" t="s">
        <v>734</v>
      </c>
      <c r="H76" s="164">
        <v>995000</v>
      </c>
      <c r="I76" s="165"/>
      <c r="J76" s="163" t="s">
        <v>12</v>
      </c>
      <c r="K76" s="163" t="s">
        <v>735</v>
      </c>
      <c r="L76" s="166" t="s">
        <v>765</v>
      </c>
      <c r="M76" s="166" t="s">
        <v>737</v>
      </c>
      <c r="N76" s="167">
        <f>+VLOOKUP(A76, [2]Sheet2!$M$3:$Z$76, 14, FALSE)</f>
        <v>9.7992000000000024E-2</v>
      </c>
      <c r="O76" s="168" t="s">
        <v>738</v>
      </c>
      <c r="P76" s="167">
        <v>0.01</v>
      </c>
      <c r="Q76" s="167">
        <f>+VLOOKUP($A76, [2]Sheet2!$M$3:$Z$76, 13, FALSE)</f>
        <v>5.5E-2</v>
      </c>
      <c r="R76" s="166">
        <v>3</v>
      </c>
      <c r="S76" s="195"/>
      <c r="T76" s="167" t="s">
        <v>739</v>
      </c>
      <c r="U76" s="163">
        <f t="shared" si="44"/>
        <v>2.4666666666666668</v>
      </c>
      <c r="V76" s="170">
        <v>46678</v>
      </c>
      <c r="W76" s="163" t="s">
        <v>740</v>
      </c>
      <c r="X76" s="171">
        <v>100</v>
      </c>
      <c r="Y76" s="196"/>
      <c r="Z76" s="197"/>
      <c r="AA76" s="173"/>
      <c r="AB76" s="174">
        <v>35.390895498587639</v>
      </c>
      <c r="AC76" s="175">
        <v>1.8824944414142362</v>
      </c>
      <c r="AD76" s="175">
        <v>4.5944019700346077</v>
      </c>
      <c r="AE76" s="175"/>
      <c r="AF76" s="175">
        <v>4.5944019700346077</v>
      </c>
      <c r="AG76" s="170">
        <f>+VLOOKUP($A76, [2]Sheet2!$M$3:$X$76, 8, FALSE)</f>
        <v>45688</v>
      </c>
      <c r="AH76" s="206"/>
      <c r="AI76" s="176">
        <f>+VLOOKUP(A76, [2]Sheet2!$M$3:$X$76, 9, FALSE)</f>
        <v>4.5930980457877837</v>
      </c>
      <c r="AJ76" s="177">
        <f>+VLOOKUP($A76, [2]Sheet2!$M$3:$X$76, 10, FALSE)</f>
        <v>33.876599377776309</v>
      </c>
      <c r="AK76" s="175">
        <f t="shared" si="23"/>
        <v>1.3039242468240175E-3</v>
      </c>
      <c r="AL76" s="175"/>
      <c r="AM76" s="176">
        <f>+VLOOKUP($A76, [2]Sheet2!$M$3:$X$76, 11, FALSE)</f>
        <v>4.5930980457877837</v>
      </c>
      <c r="AN76" s="176">
        <f t="shared" si="24"/>
        <v>1.3039242468240175E-3</v>
      </c>
      <c r="AO76" s="176">
        <f>+VLOOKUP($A76, [2]Sheet2!$M$3:$X$76, 12, FALSE)</f>
        <v>1.6555568317143732</v>
      </c>
      <c r="AP76" s="176">
        <f t="shared" si="25"/>
        <v>0.22693760969986299</v>
      </c>
      <c r="AQ76" s="204"/>
      <c r="AR76" s="204"/>
      <c r="AS76" s="166" t="s">
        <v>741</v>
      </c>
      <c r="AT76" s="179" t="s">
        <v>742</v>
      </c>
      <c r="AU76" s="166" t="s">
        <v>742</v>
      </c>
      <c r="AV76" s="198"/>
      <c r="AW76" s="161" t="s">
        <v>743</v>
      </c>
      <c r="AX76" s="181">
        <v>995000</v>
      </c>
      <c r="AY76" s="181">
        <v>0</v>
      </c>
      <c r="AZ76" s="181">
        <f t="shared" si="45"/>
        <v>995000</v>
      </c>
      <c r="BA76" s="181"/>
      <c r="BB76" s="174" t="s">
        <v>744</v>
      </c>
      <c r="BC76" s="174" t="s">
        <v>745</v>
      </c>
      <c r="BD76" s="205">
        <v>100</v>
      </c>
      <c r="BE76" s="183">
        <f t="shared" si="26"/>
        <v>0</v>
      </c>
      <c r="BF76" s="183">
        <f t="shared" si="27"/>
        <v>0</v>
      </c>
      <c r="BG76" s="183">
        <f t="shared" si="28"/>
        <v>0</v>
      </c>
      <c r="BH76" s="183">
        <f t="shared" si="29"/>
        <v>0</v>
      </c>
      <c r="BI76" s="183">
        <f t="shared" si="30"/>
        <v>0</v>
      </c>
      <c r="BJ76" s="183">
        <f t="shared" si="31"/>
        <v>0</v>
      </c>
      <c r="BK76" s="183">
        <f t="shared" si="32"/>
        <v>0</v>
      </c>
      <c r="BL76" s="183">
        <f t="shared" si="33"/>
        <v>0</v>
      </c>
      <c r="BM76" s="183">
        <f t="shared" si="34"/>
        <v>0</v>
      </c>
      <c r="BN76" s="183">
        <f t="shared" si="35"/>
        <v>0</v>
      </c>
      <c r="BO76" s="183">
        <f t="shared" si="36"/>
        <v>0</v>
      </c>
      <c r="BP76" s="183">
        <f t="shared" si="37"/>
        <v>0</v>
      </c>
      <c r="BQ76" s="184">
        <f t="shared" si="38"/>
        <v>995000</v>
      </c>
      <c r="BR76" s="185">
        <v>100</v>
      </c>
      <c r="BS76" s="186">
        <f t="shared" si="39"/>
        <v>995000</v>
      </c>
      <c r="BT76" s="187"/>
      <c r="BU76" s="181">
        <f t="shared" si="40"/>
        <v>995000</v>
      </c>
      <c r="BV76" s="187"/>
      <c r="BW76" s="183" t="str">
        <f t="shared" si="41"/>
        <v>30+</v>
      </c>
      <c r="BX76" s="183" t="str">
        <f t="shared" si="42"/>
        <v>&lt;0.25</v>
      </c>
      <c r="BY76" s="188"/>
      <c r="BZ76" s="183" t="str">
        <f t="shared" si="43"/>
        <v>FL 30+</v>
      </c>
    </row>
    <row r="77" spans="1:78">
      <c r="A77" s="158" t="s">
        <v>569</v>
      </c>
      <c r="B77" s="159"/>
      <c r="C77" s="160">
        <v>45777</v>
      </c>
      <c r="D77" s="161" t="s">
        <v>731</v>
      </c>
      <c r="E77" s="158" t="s">
        <v>910</v>
      </c>
      <c r="F77" s="162" t="s">
        <v>911</v>
      </c>
      <c r="G77" s="163" t="s">
        <v>734</v>
      </c>
      <c r="H77" s="164">
        <v>15159.59</v>
      </c>
      <c r="I77" s="165"/>
      <c r="J77" s="163" t="s">
        <v>12</v>
      </c>
      <c r="K77" s="163" t="s">
        <v>735</v>
      </c>
      <c r="L77" s="166" t="s">
        <v>775</v>
      </c>
      <c r="M77" s="166" t="s">
        <v>737</v>
      </c>
      <c r="N77" s="167">
        <f>+VLOOKUP(A77, [2]Sheet2!$M$3:$Z$76, 14, FALSE)</f>
        <v>0.10673393426535414</v>
      </c>
      <c r="O77" s="168" t="s">
        <v>738</v>
      </c>
      <c r="P77" s="167">
        <v>0.01</v>
      </c>
      <c r="Q77" s="167">
        <f>+VLOOKUP($A77, [2]Sheet2!$M$3:$Z$76, 13, FALSE)</f>
        <v>6.25E-2</v>
      </c>
      <c r="R77" s="166">
        <v>3</v>
      </c>
      <c r="S77" s="195"/>
      <c r="T77" s="167" t="s">
        <v>739</v>
      </c>
      <c r="U77" s="163">
        <f t="shared" si="44"/>
        <v>0.1111111111111111</v>
      </c>
      <c r="V77" s="170">
        <v>45818</v>
      </c>
      <c r="W77" s="163" t="s">
        <v>740</v>
      </c>
      <c r="X77" s="171">
        <v>100</v>
      </c>
      <c r="Y77" s="196"/>
      <c r="Z77" s="197"/>
      <c r="AA77" s="173"/>
      <c r="AB77" s="174">
        <v>21.719323313075027</v>
      </c>
      <c r="AC77" s="175">
        <v>2.4197107077846507</v>
      </c>
      <c r="AD77" s="175">
        <v>3.3763022421538689</v>
      </c>
      <c r="AE77" s="175"/>
      <c r="AF77" s="175">
        <v>4.4444754842747969</v>
      </c>
      <c r="AG77" s="170">
        <f>+VLOOKUP($A77, [2]Sheet2!$M$3:$X$76, 8, FALSE)</f>
        <v>45716</v>
      </c>
      <c r="AH77" s="206"/>
      <c r="AI77" s="176">
        <f>+VLOOKUP(A77, [2]Sheet2!$M$3:$X$76, 9, FALSE)</f>
        <v>4.0486433518033644</v>
      </c>
      <c r="AJ77" s="177">
        <f>+VLOOKUP($A77, [2]Sheet2!$M$3:$X$76, 10, FALSE)</f>
        <v>38.704322999999995</v>
      </c>
      <c r="AK77" s="175">
        <f t="shared" si="23"/>
        <v>-0.67234110964949556</v>
      </c>
      <c r="AL77" s="175"/>
      <c r="AM77" s="176">
        <f>+VLOOKUP($A77, [2]Sheet2!$M$3:$X$76, 11, FALSE)</f>
        <v>6.0923427080742387</v>
      </c>
      <c r="AN77" s="176">
        <f t="shared" si="24"/>
        <v>-1.6478672237994418</v>
      </c>
      <c r="AO77" s="176">
        <f>+VLOOKUP($A77, [2]Sheet2!$M$3:$X$76, 12, FALSE)</f>
        <v>1.3027896941745158</v>
      </c>
      <c r="AP77" s="176">
        <f t="shared" si="25"/>
        <v>1.1169210136101348</v>
      </c>
      <c r="AQ77" s="204"/>
      <c r="AR77" s="204"/>
      <c r="AS77" s="166" t="s">
        <v>741</v>
      </c>
      <c r="AT77" s="179" t="s">
        <v>742</v>
      </c>
      <c r="AU77" s="166" t="s">
        <v>742</v>
      </c>
      <c r="AV77" s="198"/>
      <c r="AW77" s="161" t="s">
        <v>743</v>
      </c>
      <c r="AX77" s="181">
        <v>15159.59</v>
      </c>
      <c r="AY77" s="181">
        <v>0</v>
      </c>
      <c r="AZ77" s="181">
        <f t="shared" si="45"/>
        <v>15159.59</v>
      </c>
      <c r="BA77" s="181"/>
      <c r="BB77" s="174" t="s">
        <v>744</v>
      </c>
      <c r="BC77" s="174" t="s">
        <v>745</v>
      </c>
      <c r="BD77" s="205">
        <v>100</v>
      </c>
      <c r="BE77" s="183">
        <f t="shared" si="26"/>
        <v>0</v>
      </c>
      <c r="BF77" s="183">
        <f t="shared" si="27"/>
        <v>0</v>
      </c>
      <c r="BG77" s="183">
        <f t="shared" si="28"/>
        <v>0</v>
      </c>
      <c r="BH77" s="183">
        <f t="shared" si="29"/>
        <v>0</v>
      </c>
      <c r="BI77" s="183">
        <f t="shared" si="30"/>
        <v>0</v>
      </c>
      <c r="BJ77" s="183">
        <f t="shared" si="31"/>
        <v>0</v>
      </c>
      <c r="BK77" s="183">
        <f t="shared" si="32"/>
        <v>0</v>
      </c>
      <c r="BL77" s="183">
        <f t="shared" si="33"/>
        <v>0</v>
      </c>
      <c r="BM77" s="183">
        <f t="shared" si="34"/>
        <v>0</v>
      </c>
      <c r="BN77" s="183">
        <f t="shared" si="35"/>
        <v>0</v>
      </c>
      <c r="BO77" s="183">
        <f t="shared" si="36"/>
        <v>0</v>
      </c>
      <c r="BP77" s="183">
        <f t="shared" si="37"/>
        <v>0</v>
      </c>
      <c r="BQ77" s="184">
        <f t="shared" si="38"/>
        <v>15159.59</v>
      </c>
      <c r="BR77" s="185">
        <v>100</v>
      </c>
      <c r="BS77" s="186">
        <f t="shared" si="39"/>
        <v>15159.59</v>
      </c>
      <c r="BT77" s="187"/>
      <c r="BU77" s="181">
        <f t="shared" si="40"/>
        <v>15159.59</v>
      </c>
      <c r="BV77" s="187"/>
      <c r="BW77" s="183" t="str">
        <f t="shared" si="41"/>
        <v>30+</v>
      </c>
      <c r="BX77" s="183" t="str">
        <f t="shared" si="42"/>
        <v>&lt;0.25</v>
      </c>
      <c r="BY77" s="188"/>
      <c r="BZ77" s="183" t="str">
        <f t="shared" si="43"/>
        <v>FL 30+</v>
      </c>
    </row>
    <row r="78" spans="1:78">
      <c r="A78" s="158" t="s">
        <v>572</v>
      </c>
      <c r="B78" s="159"/>
      <c r="C78" s="160">
        <v>45777</v>
      </c>
      <c r="D78" s="161" t="s">
        <v>731</v>
      </c>
      <c r="E78" s="158" t="s">
        <v>912</v>
      </c>
      <c r="F78" s="162" t="s">
        <v>913</v>
      </c>
      <c r="G78" s="163" t="s">
        <v>734</v>
      </c>
      <c r="H78" s="164">
        <v>300766.90999999997</v>
      </c>
      <c r="I78" s="165"/>
      <c r="J78" s="163" t="s">
        <v>12</v>
      </c>
      <c r="K78" s="163" t="s">
        <v>735</v>
      </c>
      <c r="L78" s="166" t="s">
        <v>784</v>
      </c>
      <c r="M78" s="166" t="s">
        <v>737</v>
      </c>
      <c r="N78" s="167">
        <f>+VLOOKUP(A78, [2]Sheet2!$M$3:$Z$76, 14, FALSE)</f>
        <v>0.1</v>
      </c>
      <c r="O78" s="168" t="s">
        <v>738</v>
      </c>
      <c r="P78" s="167">
        <v>0.01</v>
      </c>
      <c r="Q78" s="167">
        <f>+VLOOKUP($A78, [2]Sheet2!$M$3:$Z$76, 13, FALSE)</f>
        <v>0</v>
      </c>
      <c r="R78" s="166">
        <v>3</v>
      </c>
      <c r="S78" s="195"/>
      <c r="T78" s="167" t="s">
        <v>739</v>
      </c>
      <c r="U78" s="163">
        <f t="shared" si="44"/>
        <v>0.5</v>
      </c>
      <c r="V78" s="170">
        <v>45961</v>
      </c>
      <c r="W78" s="163" t="s">
        <v>740</v>
      </c>
      <c r="X78" s="171">
        <v>100</v>
      </c>
      <c r="Y78" s="196"/>
      <c r="Z78" s="197"/>
      <c r="AA78" s="173"/>
      <c r="AB78" s="174">
        <v>73.041018999999991</v>
      </c>
      <c r="AC78" s="175">
        <v>2.7285316602756509</v>
      </c>
      <c r="AD78" s="175">
        <v>4.2046921607158856</v>
      </c>
      <c r="AE78" s="175"/>
      <c r="AF78" s="175">
        <v>4.2046921607158856</v>
      </c>
      <c r="AG78" s="170">
        <f>+VLOOKUP($A78, [2]Sheet2!$M$3:$X$76, 8, FALSE)</f>
        <v>45716</v>
      </c>
      <c r="AH78" s="206"/>
      <c r="AI78" s="176">
        <f>+VLOOKUP(A78, [2]Sheet2!$M$3:$X$76, 9, FALSE)</f>
        <v>7.2458251177647179</v>
      </c>
      <c r="AJ78" s="177">
        <f>+VLOOKUP($A78, [2]Sheet2!$M$3:$X$76, 10, FALSE)</f>
        <v>64.493000000000009</v>
      </c>
      <c r="AK78" s="175">
        <f t="shared" si="23"/>
        <v>-3.0411329570488324</v>
      </c>
      <c r="AL78" s="175"/>
      <c r="AM78" s="176">
        <f>+VLOOKUP($A78, [2]Sheet2!$M$3:$X$76, 11, FALSE)</f>
        <v>7.6947110433690469</v>
      </c>
      <c r="AN78" s="176">
        <f t="shared" si="24"/>
        <v>-3.4900188826531613</v>
      </c>
      <c r="AO78" s="176">
        <f>+VLOOKUP($A78, [2]Sheet2!$M$3:$X$76, 12, FALSE)</f>
        <v>1.1286641815859018</v>
      </c>
      <c r="AP78" s="176">
        <f t="shared" si="25"/>
        <v>1.5998674786897491</v>
      </c>
      <c r="AQ78" s="204"/>
      <c r="AR78" s="204"/>
      <c r="AS78" s="166" t="s">
        <v>741</v>
      </c>
      <c r="AT78" s="179" t="s">
        <v>742</v>
      </c>
      <c r="AU78" s="166" t="s">
        <v>742</v>
      </c>
      <c r="AV78" s="198"/>
      <c r="AW78" s="161" t="s">
        <v>743</v>
      </c>
      <c r="AX78" s="181">
        <v>300766.90999999997</v>
      </c>
      <c r="AY78" s="181">
        <v>0</v>
      </c>
      <c r="AZ78" s="181">
        <f t="shared" si="45"/>
        <v>300766.90999999997</v>
      </c>
      <c r="BA78" s="181"/>
      <c r="BB78" s="174" t="s">
        <v>744</v>
      </c>
      <c r="BC78" s="174" t="s">
        <v>745</v>
      </c>
      <c r="BD78" s="205">
        <v>100</v>
      </c>
      <c r="BE78" s="183">
        <f t="shared" si="26"/>
        <v>0</v>
      </c>
      <c r="BF78" s="183">
        <f t="shared" si="27"/>
        <v>0</v>
      </c>
      <c r="BG78" s="183">
        <f t="shared" si="28"/>
        <v>0</v>
      </c>
      <c r="BH78" s="183">
        <f t="shared" si="29"/>
        <v>0</v>
      </c>
      <c r="BI78" s="183">
        <f t="shared" si="30"/>
        <v>0</v>
      </c>
      <c r="BJ78" s="183">
        <f t="shared" si="31"/>
        <v>0</v>
      </c>
      <c r="BK78" s="183">
        <f t="shared" si="32"/>
        <v>0</v>
      </c>
      <c r="BL78" s="183">
        <f t="shared" si="33"/>
        <v>0</v>
      </c>
      <c r="BM78" s="183">
        <f t="shared" si="34"/>
        <v>0</v>
      </c>
      <c r="BN78" s="183">
        <f t="shared" si="35"/>
        <v>1</v>
      </c>
      <c r="BO78" s="183">
        <f t="shared" si="36"/>
        <v>0</v>
      </c>
      <c r="BP78" s="183">
        <f t="shared" si="37"/>
        <v>0</v>
      </c>
      <c r="BQ78" s="184">
        <f t="shared" si="38"/>
        <v>300766.90999999997</v>
      </c>
      <c r="BR78" s="185">
        <v>100</v>
      </c>
      <c r="BS78" s="186">
        <f t="shared" si="39"/>
        <v>300766.90999999997</v>
      </c>
      <c r="BT78" s="187"/>
      <c r="BU78" s="181">
        <f t="shared" si="40"/>
        <v>300766.90999999997</v>
      </c>
      <c r="BV78" s="187"/>
      <c r="BW78" s="183" t="str">
        <f t="shared" si="41"/>
        <v>30+</v>
      </c>
      <c r="BX78" s="183" t="str">
        <f t="shared" si="42"/>
        <v>&lt;0.25</v>
      </c>
      <c r="BY78" s="188"/>
      <c r="BZ78" s="183" t="str">
        <f t="shared" si="43"/>
        <v>FL 30+</v>
      </c>
    </row>
    <row r="79" spans="1:78">
      <c r="A79" s="158" t="s">
        <v>575</v>
      </c>
      <c r="B79" s="159"/>
      <c r="C79" s="160">
        <v>45777</v>
      </c>
      <c r="D79" s="161" t="s">
        <v>731</v>
      </c>
      <c r="E79" s="158" t="s">
        <v>914</v>
      </c>
      <c r="F79" s="162" t="s">
        <v>915</v>
      </c>
      <c r="G79" s="163" t="s">
        <v>734</v>
      </c>
      <c r="H79" s="164">
        <v>5985000</v>
      </c>
      <c r="I79" s="165"/>
      <c r="J79" s="163" t="s">
        <v>12</v>
      </c>
      <c r="K79" s="163" t="s">
        <v>735</v>
      </c>
      <c r="L79" s="166" t="s">
        <v>837</v>
      </c>
      <c r="M79" s="166" t="s">
        <v>737</v>
      </c>
      <c r="N79" s="167">
        <v>9.2499999999999999E-2</v>
      </c>
      <c r="O79" s="168" t="s">
        <v>738</v>
      </c>
      <c r="P79" s="167">
        <v>0.01</v>
      </c>
      <c r="Q79" s="167">
        <v>0.05</v>
      </c>
      <c r="R79" s="166">
        <v>3</v>
      </c>
      <c r="S79" s="195"/>
      <c r="T79" s="167" t="s">
        <v>739</v>
      </c>
      <c r="U79" s="163">
        <f t="shared" si="44"/>
        <v>5.6583333333333332</v>
      </c>
      <c r="V79" s="170">
        <v>47844</v>
      </c>
      <c r="W79" s="163" t="s">
        <v>740</v>
      </c>
      <c r="X79" s="171">
        <v>100</v>
      </c>
      <c r="Y79" s="196"/>
      <c r="Z79" s="197"/>
      <c r="AA79" s="173"/>
      <c r="AB79" s="174">
        <v>10.6</v>
      </c>
      <c r="AC79" s="175">
        <v>52.999999999999993</v>
      </c>
      <c r="AD79" s="175">
        <v>3.88</v>
      </c>
      <c r="AE79" s="175"/>
      <c r="AF79" s="175">
        <v>3.88</v>
      </c>
      <c r="AG79" s="193">
        <v>45657</v>
      </c>
      <c r="AH79" s="206"/>
      <c r="AI79" s="175">
        <v>3.88</v>
      </c>
      <c r="AJ79" s="174">
        <v>10.6</v>
      </c>
      <c r="AK79" s="175">
        <f t="shared" si="23"/>
        <v>0</v>
      </c>
      <c r="AL79" s="175"/>
      <c r="AM79" s="176">
        <v>3.88</v>
      </c>
      <c r="AN79" s="176">
        <f t="shared" si="24"/>
        <v>0</v>
      </c>
      <c r="AO79" s="175">
        <v>52.999999999999993</v>
      </c>
      <c r="AP79" s="176">
        <f t="shared" si="25"/>
        <v>0</v>
      </c>
      <c r="AQ79" s="204"/>
      <c r="AR79" s="204"/>
      <c r="AS79" s="166" t="s">
        <v>741</v>
      </c>
      <c r="AT79" s="179" t="s">
        <v>742</v>
      </c>
      <c r="AU79" s="166" t="s">
        <v>742</v>
      </c>
      <c r="AV79" s="198"/>
      <c r="AW79" s="161" t="s">
        <v>743</v>
      </c>
      <c r="AX79" s="181">
        <v>5985000</v>
      </c>
      <c r="AY79" s="181">
        <v>0</v>
      </c>
      <c r="AZ79" s="181">
        <f t="shared" si="45"/>
        <v>5985000</v>
      </c>
      <c r="BA79" s="181"/>
      <c r="BB79" s="174" t="s">
        <v>744</v>
      </c>
      <c r="BC79" s="174" t="s">
        <v>745</v>
      </c>
      <c r="BD79" s="205">
        <v>100</v>
      </c>
      <c r="BE79" s="183">
        <f t="shared" si="26"/>
        <v>0</v>
      </c>
      <c r="BF79" s="188">
        <f t="shared" si="27"/>
        <v>0</v>
      </c>
      <c r="BG79" s="188">
        <f t="shared" si="28"/>
        <v>0</v>
      </c>
      <c r="BH79" s="183">
        <f t="shared" si="29"/>
        <v>0</v>
      </c>
      <c r="BI79" s="183">
        <f t="shared" si="30"/>
        <v>0</v>
      </c>
      <c r="BJ79" s="183">
        <f t="shared" si="31"/>
        <v>1</v>
      </c>
      <c r="BK79" s="183">
        <f t="shared" si="32"/>
        <v>0</v>
      </c>
      <c r="BL79" s="183">
        <f t="shared" si="33"/>
        <v>0</v>
      </c>
      <c r="BM79" s="183">
        <f t="shared" si="34"/>
        <v>0</v>
      </c>
      <c r="BN79" s="183">
        <f t="shared" si="35"/>
        <v>0</v>
      </c>
      <c r="BO79" s="183">
        <f t="shared" si="36"/>
        <v>0</v>
      </c>
      <c r="BP79" s="183">
        <f t="shared" si="37"/>
        <v>0</v>
      </c>
      <c r="BQ79" s="184">
        <f t="shared" si="38"/>
        <v>5985000</v>
      </c>
      <c r="BR79" s="185">
        <v>100</v>
      </c>
      <c r="BS79" s="186">
        <f t="shared" si="39"/>
        <v>5985000</v>
      </c>
      <c r="BT79" s="187"/>
      <c r="BU79" s="181">
        <f t="shared" si="40"/>
        <v>5985000</v>
      </c>
      <c r="BV79" s="187"/>
      <c r="BW79" s="183" t="str">
        <f t="shared" si="41"/>
        <v>15-</v>
      </c>
      <c r="BX79" s="183" t="str">
        <f t="shared" si="42"/>
        <v>&lt;0.25</v>
      </c>
      <c r="BY79" s="188"/>
      <c r="BZ79" s="183" t="str">
        <f t="shared" si="43"/>
        <v>FL 15-</v>
      </c>
    </row>
    <row r="80" spans="1:78">
      <c r="A80" s="158" t="s">
        <v>577</v>
      </c>
      <c r="B80" s="159"/>
      <c r="C80" s="160">
        <v>45777</v>
      </c>
      <c r="D80" s="161" t="s">
        <v>731</v>
      </c>
      <c r="E80" s="158" t="s">
        <v>916</v>
      </c>
      <c r="F80" s="162" t="s">
        <v>917</v>
      </c>
      <c r="G80" s="163" t="s">
        <v>734</v>
      </c>
      <c r="H80" s="164">
        <v>5985000</v>
      </c>
      <c r="I80" s="165"/>
      <c r="J80" s="163" t="s">
        <v>12</v>
      </c>
      <c r="K80" s="163" t="s">
        <v>735</v>
      </c>
      <c r="L80" s="166" t="s">
        <v>784</v>
      </c>
      <c r="M80" s="166" t="s">
        <v>737</v>
      </c>
      <c r="N80" s="167">
        <v>0.1</v>
      </c>
      <c r="O80" s="168" t="s">
        <v>738</v>
      </c>
      <c r="P80" s="167">
        <v>0.01</v>
      </c>
      <c r="Q80" s="167">
        <v>5.7500000000000002E-2</v>
      </c>
      <c r="R80" s="166">
        <v>3</v>
      </c>
      <c r="S80" s="195"/>
      <c r="T80" s="167" t="s">
        <v>739</v>
      </c>
      <c r="U80" s="163">
        <f t="shared" si="44"/>
        <v>6.666666666666667</v>
      </c>
      <c r="V80" s="170">
        <v>48213</v>
      </c>
      <c r="W80" s="163" t="s">
        <v>740</v>
      </c>
      <c r="X80" s="171">
        <v>100</v>
      </c>
      <c r="Y80" s="196"/>
      <c r="Z80" s="197"/>
      <c r="AA80" s="173"/>
      <c r="AB80" s="174">
        <v>107.5</v>
      </c>
      <c r="AC80" s="175">
        <v>3.0027932960893855</v>
      </c>
      <c r="AD80" s="175">
        <v>2.79</v>
      </c>
      <c r="AE80" s="175"/>
      <c r="AF80" s="175">
        <v>2.79</v>
      </c>
      <c r="AG80" s="193">
        <v>45473</v>
      </c>
      <c r="AH80" s="206"/>
      <c r="AI80" s="175">
        <v>2.79</v>
      </c>
      <c r="AJ80" s="174">
        <v>107.5</v>
      </c>
      <c r="AK80" s="175">
        <f t="shared" si="23"/>
        <v>0</v>
      </c>
      <c r="AL80" s="175"/>
      <c r="AM80" s="176">
        <v>2.79</v>
      </c>
      <c r="AN80" s="176">
        <f t="shared" si="24"/>
        <v>0</v>
      </c>
      <c r="AO80" s="175">
        <v>3.0027932960893855</v>
      </c>
      <c r="AP80" s="176">
        <f t="shared" si="25"/>
        <v>0</v>
      </c>
      <c r="AQ80" s="204"/>
      <c r="AR80" s="204"/>
      <c r="AS80" s="166" t="s">
        <v>741</v>
      </c>
      <c r="AT80" s="179" t="s">
        <v>742</v>
      </c>
      <c r="AU80" s="166" t="s">
        <v>742</v>
      </c>
      <c r="AV80" s="198"/>
      <c r="AW80" s="161" t="s">
        <v>743</v>
      </c>
      <c r="AX80" s="181">
        <v>5985000</v>
      </c>
      <c r="AY80" s="181">
        <v>0</v>
      </c>
      <c r="AZ80" s="181">
        <f t="shared" si="45"/>
        <v>5985000</v>
      </c>
      <c r="BA80" s="181"/>
      <c r="BB80" s="174" t="s">
        <v>744</v>
      </c>
      <c r="BC80" s="174" t="s">
        <v>745</v>
      </c>
      <c r="BD80" s="205">
        <v>100</v>
      </c>
      <c r="BE80" s="183">
        <f t="shared" si="26"/>
        <v>0</v>
      </c>
      <c r="BF80" s="188">
        <f t="shared" si="27"/>
        <v>0</v>
      </c>
      <c r="BG80" s="188">
        <f t="shared" si="28"/>
        <v>0</v>
      </c>
      <c r="BH80" s="183">
        <f t="shared" si="29"/>
        <v>0</v>
      </c>
      <c r="BI80" s="183">
        <f t="shared" si="30"/>
        <v>0</v>
      </c>
      <c r="BJ80" s="183">
        <f t="shared" si="31"/>
        <v>0</v>
      </c>
      <c r="BK80" s="183">
        <f t="shared" si="32"/>
        <v>0</v>
      </c>
      <c r="BL80" s="183">
        <f t="shared" si="33"/>
        <v>0</v>
      </c>
      <c r="BM80" s="183">
        <f t="shared" si="34"/>
        <v>0</v>
      </c>
      <c r="BN80" s="183">
        <f t="shared" si="35"/>
        <v>0</v>
      </c>
      <c r="BO80" s="183">
        <f t="shared" si="36"/>
        <v>0</v>
      </c>
      <c r="BP80" s="183">
        <f t="shared" si="37"/>
        <v>0</v>
      </c>
      <c r="BQ80" s="184">
        <f t="shared" si="38"/>
        <v>5985000</v>
      </c>
      <c r="BR80" s="185">
        <v>100</v>
      </c>
      <c r="BS80" s="186">
        <f t="shared" si="39"/>
        <v>5985000</v>
      </c>
      <c r="BT80" s="187"/>
      <c r="BU80" s="181">
        <f t="shared" si="40"/>
        <v>5985000</v>
      </c>
      <c r="BV80" s="187"/>
      <c r="BW80" s="183" t="str">
        <f t="shared" si="41"/>
        <v>30+</v>
      </c>
      <c r="BX80" s="183" t="str">
        <f t="shared" si="42"/>
        <v>&lt;0.25</v>
      </c>
      <c r="BY80" s="188"/>
      <c r="BZ80" s="183" t="str">
        <f t="shared" si="43"/>
        <v>FL 30+</v>
      </c>
    </row>
    <row r="81" spans="1:78">
      <c r="A81" s="158" t="s">
        <v>579</v>
      </c>
      <c r="B81" s="159"/>
      <c r="C81" s="160">
        <v>45777</v>
      </c>
      <c r="D81" s="161" t="s">
        <v>731</v>
      </c>
      <c r="E81" s="158" t="s">
        <v>918</v>
      </c>
      <c r="F81" s="162" t="s">
        <v>919</v>
      </c>
      <c r="G81" s="163" t="s">
        <v>734</v>
      </c>
      <c r="H81" s="164">
        <v>10000000</v>
      </c>
      <c r="I81" s="165"/>
      <c r="J81" s="163" t="s">
        <v>12</v>
      </c>
      <c r="K81" s="163" t="s">
        <v>735</v>
      </c>
      <c r="L81" s="166" t="s">
        <v>784</v>
      </c>
      <c r="M81" s="166" t="s">
        <v>737</v>
      </c>
      <c r="N81" s="167">
        <v>9.2499999999999999E-2</v>
      </c>
      <c r="O81" s="168" t="s">
        <v>738</v>
      </c>
      <c r="P81" s="167">
        <v>0.01</v>
      </c>
      <c r="Q81" s="167">
        <v>0.05</v>
      </c>
      <c r="R81" s="166">
        <v>3</v>
      </c>
      <c r="S81" s="195"/>
      <c r="T81" s="167" t="s">
        <v>739</v>
      </c>
      <c r="U81" s="163">
        <f t="shared" si="44"/>
        <v>5.7138888888888886</v>
      </c>
      <c r="V81" s="170">
        <v>47865</v>
      </c>
      <c r="W81" s="163" t="s">
        <v>740</v>
      </c>
      <c r="X81" s="171">
        <v>100</v>
      </c>
      <c r="Y81" s="196"/>
      <c r="Z81" s="197"/>
      <c r="AA81" s="173"/>
      <c r="AB81" s="174">
        <v>16.100000000000001</v>
      </c>
      <c r="AC81" s="175">
        <v>2.037974683544304</v>
      </c>
      <c r="AD81" s="175">
        <v>4.66</v>
      </c>
      <c r="AE81" s="175"/>
      <c r="AF81" s="175">
        <v>4.66</v>
      </c>
      <c r="AG81" s="193">
        <v>45596</v>
      </c>
      <c r="AH81" s="206"/>
      <c r="AI81" s="175">
        <v>4.66</v>
      </c>
      <c r="AJ81" s="174">
        <v>16.100000000000001</v>
      </c>
      <c r="AK81" s="175">
        <f t="shared" si="23"/>
        <v>0</v>
      </c>
      <c r="AL81" s="175"/>
      <c r="AM81" s="176">
        <v>4.66</v>
      </c>
      <c r="AN81" s="176">
        <f t="shared" si="24"/>
        <v>0</v>
      </c>
      <c r="AO81" s="175">
        <v>2.037974683544304</v>
      </c>
      <c r="AP81" s="176">
        <f t="shared" si="25"/>
        <v>0</v>
      </c>
      <c r="AQ81" s="204"/>
      <c r="AR81" s="204"/>
      <c r="AS81" s="166" t="s">
        <v>741</v>
      </c>
      <c r="AT81" s="179" t="s">
        <v>742</v>
      </c>
      <c r="AU81" s="166" t="s">
        <v>742</v>
      </c>
      <c r="AV81" s="198"/>
      <c r="AW81" s="161" t="s">
        <v>743</v>
      </c>
      <c r="AX81" s="181">
        <v>10000000</v>
      </c>
      <c r="AY81" s="181">
        <v>0</v>
      </c>
      <c r="AZ81" s="181">
        <f t="shared" si="45"/>
        <v>10000000</v>
      </c>
      <c r="BA81" s="181"/>
      <c r="BB81" s="174" t="s">
        <v>744</v>
      </c>
      <c r="BC81" s="174" t="s">
        <v>745</v>
      </c>
      <c r="BD81" s="205">
        <v>100</v>
      </c>
      <c r="BE81" s="183">
        <f t="shared" si="26"/>
        <v>0</v>
      </c>
      <c r="BF81" s="188">
        <f t="shared" si="27"/>
        <v>0</v>
      </c>
      <c r="BG81" s="188">
        <f t="shared" si="28"/>
        <v>0</v>
      </c>
      <c r="BH81" s="183">
        <f t="shared" si="29"/>
        <v>0</v>
      </c>
      <c r="BI81" s="183">
        <f t="shared" si="30"/>
        <v>0</v>
      </c>
      <c r="BJ81" s="183">
        <f t="shared" si="31"/>
        <v>0</v>
      </c>
      <c r="BK81" s="183">
        <f t="shared" si="32"/>
        <v>0</v>
      </c>
      <c r="BL81" s="183">
        <f t="shared" si="33"/>
        <v>0</v>
      </c>
      <c r="BM81" s="183">
        <f t="shared" si="34"/>
        <v>0</v>
      </c>
      <c r="BN81" s="183">
        <f t="shared" si="35"/>
        <v>0</v>
      </c>
      <c r="BO81" s="183">
        <f t="shared" si="36"/>
        <v>0</v>
      </c>
      <c r="BP81" s="183">
        <f t="shared" si="37"/>
        <v>0</v>
      </c>
      <c r="BQ81" s="184">
        <f t="shared" si="38"/>
        <v>10000000</v>
      </c>
      <c r="BR81" s="185">
        <v>100</v>
      </c>
      <c r="BS81" s="186">
        <f t="shared" si="39"/>
        <v>10000000</v>
      </c>
      <c r="BT81" s="187"/>
      <c r="BU81" s="181">
        <f t="shared" si="40"/>
        <v>10000000</v>
      </c>
      <c r="BV81" s="187"/>
      <c r="BW81" s="183" t="str">
        <f t="shared" si="41"/>
        <v>15-30</v>
      </c>
      <c r="BX81" s="183" t="str">
        <f t="shared" si="42"/>
        <v>&lt;0.25</v>
      </c>
      <c r="BY81" s="188"/>
      <c r="BZ81" s="183" t="str">
        <f t="shared" si="43"/>
        <v>FL 15-30</v>
      </c>
    </row>
    <row r="82" spans="1:78">
      <c r="A82" s="158"/>
      <c r="B82" s="159"/>
      <c r="C82" s="207"/>
      <c r="D82" s="161"/>
      <c r="E82" s="158"/>
      <c r="F82" s="162"/>
      <c r="G82" s="163"/>
      <c r="H82" s="164"/>
      <c r="I82" s="165"/>
      <c r="J82" s="163"/>
      <c r="K82" s="163"/>
      <c r="L82" s="166"/>
      <c r="M82" s="166"/>
      <c r="N82" s="167"/>
      <c r="O82" s="168"/>
      <c r="P82" s="167"/>
      <c r="Q82" s="167"/>
      <c r="R82" s="166"/>
      <c r="S82" s="195"/>
      <c r="T82" s="167"/>
      <c r="U82" s="163"/>
      <c r="V82" s="208"/>
      <c r="W82" s="163"/>
      <c r="X82" s="171"/>
      <c r="Y82" s="196"/>
      <c r="Z82" s="197"/>
      <c r="AA82" s="173"/>
      <c r="AB82" s="174"/>
      <c r="AC82" s="175"/>
      <c r="AD82" s="175"/>
      <c r="AE82" s="175"/>
      <c r="AF82" s="175"/>
      <c r="AG82" s="193"/>
      <c r="AH82" s="206"/>
      <c r="AI82" s="175"/>
      <c r="AJ82" s="174"/>
      <c r="AK82" s="175"/>
      <c r="AL82" s="175"/>
      <c r="AM82" s="175"/>
      <c r="AN82" s="175"/>
      <c r="AO82" s="175"/>
      <c r="AP82" s="175"/>
      <c r="AQ82" s="204"/>
      <c r="AR82" s="204"/>
      <c r="AS82" s="161"/>
      <c r="AT82" s="209"/>
      <c r="AU82" s="161"/>
      <c r="AV82" s="198"/>
      <c r="AW82" s="161"/>
      <c r="AX82" s="181"/>
      <c r="AY82" s="181"/>
      <c r="AZ82" s="181"/>
      <c r="BA82" s="181"/>
      <c r="BB82" s="174"/>
      <c r="BC82" s="174"/>
      <c r="BD82" s="205"/>
      <c r="BE82" s="188"/>
      <c r="BF82" s="188"/>
      <c r="BG82" s="188"/>
      <c r="BH82" s="188"/>
      <c r="BI82" s="188"/>
      <c r="BJ82" s="188"/>
      <c r="BK82" s="188"/>
      <c r="BL82" s="188"/>
      <c r="BM82" s="188"/>
      <c r="BN82" s="188"/>
      <c r="BO82" s="188"/>
      <c r="BP82" s="188"/>
      <c r="BQ82" s="184"/>
      <c r="BR82" s="185"/>
      <c r="BS82" s="186"/>
      <c r="BT82" s="187"/>
      <c r="BU82" s="181"/>
      <c r="BV82" s="187"/>
      <c r="BW82" s="188"/>
      <c r="BX82" s="188"/>
      <c r="BY82" s="188"/>
      <c r="BZ82" s="188"/>
    </row>
    <row r="83" spans="1:78">
      <c r="A83" s="158"/>
      <c r="B83" s="159"/>
      <c r="C83" s="207"/>
      <c r="D83" s="161"/>
      <c r="E83" s="158"/>
      <c r="F83" s="162"/>
      <c r="G83" s="163"/>
      <c r="H83" s="164"/>
      <c r="I83" s="165"/>
      <c r="J83" s="163"/>
      <c r="K83" s="163"/>
      <c r="L83" s="166"/>
      <c r="M83" s="166"/>
      <c r="N83" s="167"/>
      <c r="O83" s="168"/>
      <c r="P83" s="167"/>
      <c r="Q83" s="167"/>
      <c r="R83" s="166"/>
      <c r="S83" s="195"/>
      <c r="T83" s="167"/>
      <c r="U83" s="163"/>
      <c r="V83" s="208"/>
      <c r="W83" s="163"/>
      <c r="X83" s="171"/>
      <c r="Y83" s="196"/>
      <c r="Z83" s="197"/>
      <c r="AA83" s="173"/>
      <c r="AB83" s="174"/>
      <c r="AC83" s="175"/>
      <c r="AD83" s="175"/>
      <c r="AE83" s="175"/>
      <c r="AF83" s="175"/>
      <c r="AG83" s="193"/>
      <c r="AH83" s="206"/>
      <c r="AI83" s="175"/>
      <c r="AJ83" s="174"/>
      <c r="AK83" s="175"/>
      <c r="AL83" s="175"/>
      <c r="AM83" s="175"/>
      <c r="AN83" s="175"/>
      <c r="AO83" s="175"/>
      <c r="AP83" s="175"/>
      <c r="AQ83" s="204"/>
      <c r="AR83" s="204"/>
      <c r="AS83" s="161"/>
      <c r="AT83" s="209"/>
      <c r="AU83" s="161"/>
      <c r="AV83" s="198"/>
      <c r="AW83" s="161"/>
      <c r="AX83" s="181"/>
      <c r="AY83" s="181"/>
      <c r="AZ83" s="181"/>
      <c r="BA83" s="181"/>
      <c r="BB83" s="174"/>
      <c r="BC83" s="174"/>
      <c r="BD83" s="205"/>
      <c r="BE83" s="188"/>
      <c r="BF83" s="188"/>
      <c r="BG83" s="188"/>
      <c r="BH83" s="188"/>
      <c r="BI83" s="188"/>
      <c r="BJ83" s="188"/>
      <c r="BK83" s="188"/>
      <c r="BL83" s="188"/>
      <c r="BM83" s="188"/>
      <c r="BN83" s="188"/>
      <c r="BO83" s="188"/>
      <c r="BP83" s="188"/>
      <c r="BQ83" s="184"/>
      <c r="BR83" s="185"/>
      <c r="BS83" s="186"/>
      <c r="BT83" s="187"/>
      <c r="BU83" s="181"/>
      <c r="BV83" s="187"/>
      <c r="BW83" s="188"/>
      <c r="BX83" s="188"/>
      <c r="BY83" s="188"/>
      <c r="BZ83" s="188"/>
    </row>
    <row r="84" spans="1:78">
      <c r="A84" s="158"/>
      <c r="B84" s="159"/>
      <c r="C84" s="207"/>
      <c r="D84" s="161"/>
      <c r="E84" s="158"/>
      <c r="F84" s="162"/>
      <c r="G84" s="163"/>
      <c r="H84" s="164"/>
      <c r="I84" s="165"/>
      <c r="J84" s="163"/>
      <c r="K84" s="163"/>
      <c r="L84" s="166"/>
      <c r="M84" s="166"/>
      <c r="N84" s="167"/>
      <c r="O84" s="168"/>
      <c r="P84" s="167"/>
      <c r="Q84" s="167"/>
      <c r="R84" s="166"/>
      <c r="S84" s="195"/>
      <c r="T84" s="167"/>
      <c r="U84" s="163"/>
      <c r="V84" s="208"/>
      <c r="W84" s="163"/>
      <c r="X84" s="171"/>
      <c r="Y84" s="196"/>
      <c r="Z84" s="197"/>
      <c r="AA84" s="173"/>
      <c r="AB84" s="174"/>
      <c r="AC84" s="175"/>
      <c r="AD84" s="175"/>
      <c r="AE84" s="175"/>
      <c r="AF84" s="175"/>
      <c r="AG84" s="193"/>
      <c r="AH84" s="206"/>
      <c r="AI84" s="175"/>
      <c r="AJ84" s="174"/>
      <c r="AK84" s="175"/>
      <c r="AL84" s="175"/>
      <c r="AM84" s="175"/>
      <c r="AN84" s="175"/>
      <c r="AO84" s="175"/>
      <c r="AP84" s="175"/>
      <c r="AQ84" s="204"/>
      <c r="AR84" s="204"/>
      <c r="AS84" s="161"/>
      <c r="AT84" s="209"/>
      <c r="AU84" s="161"/>
      <c r="AV84" s="198"/>
      <c r="AW84" s="161"/>
      <c r="AX84" s="181"/>
      <c r="AY84" s="181"/>
      <c r="AZ84" s="181"/>
      <c r="BA84" s="181"/>
      <c r="BB84" s="174"/>
      <c r="BC84" s="174"/>
      <c r="BD84" s="205"/>
      <c r="BE84" s="188"/>
      <c r="BF84" s="188"/>
      <c r="BG84" s="188"/>
      <c r="BH84" s="188"/>
      <c r="BI84" s="188"/>
      <c r="BJ84" s="188"/>
      <c r="BK84" s="188"/>
      <c r="BL84" s="188"/>
      <c r="BM84" s="188"/>
      <c r="BN84" s="188"/>
      <c r="BO84" s="188"/>
      <c r="BP84" s="188"/>
      <c r="BQ84" s="184"/>
      <c r="BR84" s="185"/>
      <c r="BS84" s="186"/>
      <c r="BT84" s="187"/>
      <c r="BU84" s="181"/>
      <c r="BV84" s="187"/>
      <c r="BW84" s="188"/>
      <c r="BX84" s="188"/>
      <c r="BY84" s="188"/>
      <c r="BZ84" s="188"/>
    </row>
    <row r="85" spans="1:78">
      <c r="A85" s="158"/>
      <c r="B85" s="159"/>
      <c r="C85" s="207"/>
      <c r="D85" s="161"/>
      <c r="E85" s="158"/>
      <c r="F85" s="162"/>
      <c r="G85" s="163"/>
      <c r="H85" s="164"/>
      <c r="I85" s="165"/>
      <c r="J85" s="163"/>
      <c r="K85" s="163"/>
      <c r="L85" s="166"/>
      <c r="M85" s="166"/>
      <c r="N85" s="167"/>
      <c r="O85" s="168"/>
      <c r="P85" s="167"/>
      <c r="Q85" s="167"/>
      <c r="R85" s="166"/>
      <c r="S85" s="195"/>
      <c r="T85" s="167"/>
      <c r="U85" s="163"/>
      <c r="V85" s="208"/>
      <c r="W85" s="163"/>
      <c r="X85" s="171"/>
      <c r="Y85" s="196"/>
      <c r="Z85" s="197"/>
      <c r="AA85" s="173"/>
      <c r="AB85" s="174"/>
      <c r="AC85" s="175"/>
      <c r="AD85" s="175"/>
      <c r="AE85" s="175"/>
      <c r="AF85" s="175"/>
      <c r="AG85" s="193"/>
      <c r="AH85" s="206"/>
      <c r="AI85" s="175"/>
      <c r="AJ85" s="174"/>
      <c r="AK85" s="175"/>
      <c r="AL85" s="175"/>
      <c r="AM85" s="175"/>
      <c r="AN85" s="175"/>
      <c r="AO85" s="175"/>
      <c r="AP85" s="175"/>
      <c r="AQ85" s="204"/>
      <c r="AR85" s="204"/>
      <c r="AS85" s="161"/>
      <c r="AT85" s="209"/>
      <c r="AU85" s="161"/>
      <c r="AV85" s="198"/>
      <c r="AW85" s="161"/>
      <c r="AX85" s="181"/>
      <c r="AY85" s="181"/>
      <c r="AZ85" s="181"/>
      <c r="BA85" s="181"/>
      <c r="BB85" s="174"/>
      <c r="BC85" s="174"/>
      <c r="BD85" s="205"/>
      <c r="BE85" s="188"/>
      <c r="BF85" s="188"/>
      <c r="BG85" s="188"/>
      <c r="BH85" s="188"/>
      <c r="BI85" s="188"/>
      <c r="BJ85" s="188"/>
      <c r="BK85" s="188"/>
      <c r="BL85" s="188"/>
      <c r="BM85" s="188"/>
      <c r="BN85" s="188"/>
      <c r="BO85" s="188"/>
      <c r="BP85" s="188"/>
      <c r="BQ85" s="184"/>
      <c r="BR85" s="185"/>
      <c r="BS85" s="186"/>
      <c r="BT85" s="187"/>
      <c r="BU85" s="181"/>
      <c r="BV85" s="187"/>
      <c r="BW85" s="188"/>
      <c r="BX85" s="188"/>
      <c r="BY85" s="188"/>
      <c r="BZ85" s="188"/>
    </row>
    <row r="86" spans="1:78">
      <c r="A86" s="158"/>
      <c r="B86" s="159"/>
      <c r="C86" s="207"/>
      <c r="D86" s="161"/>
      <c r="E86" s="158"/>
      <c r="F86" s="162"/>
      <c r="G86" s="163"/>
      <c r="H86" s="164"/>
      <c r="I86" s="165"/>
      <c r="J86" s="163"/>
      <c r="K86" s="163"/>
      <c r="L86" s="166"/>
      <c r="M86" s="166"/>
      <c r="N86" s="167"/>
      <c r="O86" s="168"/>
      <c r="P86" s="167"/>
      <c r="Q86" s="167"/>
      <c r="R86" s="166"/>
      <c r="S86" s="195"/>
      <c r="T86" s="167"/>
      <c r="U86" s="163"/>
      <c r="V86" s="208"/>
      <c r="W86" s="163"/>
      <c r="X86" s="171"/>
      <c r="Y86" s="196"/>
      <c r="Z86" s="197"/>
      <c r="AA86" s="173"/>
      <c r="AB86" s="174"/>
      <c r="AC86" s="175"/>
      <c r="AD86" s="175"/>
      <c r="AE86" s="175"/>
      <c r="AF86" s="175"/>
      <c r="AG86" s="193"/>
      <c r="AH86" s="206"/>
      <c r="AI86" s="175"/>
      <c r="AJ86" s="174"/>
      <c r="AK86" s="175"/>
      <c r="AL86" s="175"/>
      <c r="AM86" s="175"/>
      <c r="AN86" s="175"/>
      <c r="AO86" s="175"/>
      <c r="AP86" s="175"/>
      <c r="AQ86" s="204"/>
      <c r="AR86" s="204"/>
      <c r="AS86" s="161"/>
      <c r="AT86" s="209"/>
      <c r="AU86" s="161"/>
      <c r="AV86" s="198"/>
      <c r="AW86" s="161"/>
      <c r="AX86" s="181"/>
      <c r="AY86" s="181"/>
      <c r="AZ86" s="181"/>
      <c r="BA86" s="181"/>
      <c r="BB86" s="174"/>
      <c r="BC86" s="174"/>
      <c r="BD86" s="205"/>
      <c r="BE86" s="188"/>
      <c r="BF86" s="188"/>
      <c r="BG86" s="188"/>
      <c r="BH86" s="188"/>
      <c r="BI86" s="188"/>
      <c r="BJ86" s="188"/>
      <c r="BK86" s="188"/>
      <c r="BL86" s="188"/>
      <c r="BM86" s="188"/>
      <c r="BN86" s="188"/>
      <c r="BO86" s="188"/>
      <c r="BP86" s="188"/>
      <c r="BQ86" s="184"/>
      <c r="BR86" s="185"/>
      <c r="BS86" s="186"/>
      <c r="BT86" s="187"/>
      <c r="BU86" s="181"/>
      <c r="BV86" s="187"/>
      <c r="BW86" s="188"/>
      <c r="BX86" s="188"/>
      <c r="BY86" s="188"/>
      <c r="BZ86" s="188"/>
    </row>
    <row r="87" spans="1:78">
      <c r="B87" s="159"/>
      <c r="C87" s="207"/>
      <c r="D87" s="161"/>
      <c r="V87" s="210"/>
    </row>
    <row r="88" spans="1:78">
      <c r="B88" s="159"/>
      <c r="C88" s="207"/>
      <c r="D88" s="161"/>
      <c r="AD88" s="211"/>
    </row>
    <row r="89" spans="1:78">
      <c r="B89" s="159"/>
      <c r="C89" s="207"/>
      <c r="D89" s="161"/>
      <c r="AD89" s="211"/>
    </row>
    <row r="90" spans="1:78">
      <c r="B90" s="159"/>
      <c r="C90" s="207"/>
      <c r="D90" s="161"/>
      <c r="AD90" s="211"/>
    </row>
    <row r="91" spans="1:78">
      <c r="B91" s="159"/>
      <c r="C91" s="207"/>
      <c r="D91" s="161"/>
    </row>
    <row r="92" spans="1:78">
      <c r="B92" s="159"/>
      <c r="C92" s="207"/>
      <c r="D92" s="161"/>
    </row>
    <row r="93" spans="1:78">
      <c r="B93" s="159"/>
      <c r="C93" s="207"/>
      <c r="D93" s="161"/>
    </row>
    <row r="94" spans="1:78">
      <c r="B94" s="159"/>
      <c r="C94" s="207"/>
      <c r="D94" s="161"/>
    </row>
    <row r="95" spans="1:78">
      <c r="B95" s="159"/>
      <c r="C95" s="207"/>
      <c r="D95" s="161"/>
    </row>
    <row r="96" spans="1:78">
      <c r="B96" s="159"/>
      <c r="C96" s="207"/>
      <c r="D96" s="161"/>
    </row>
    <row r="97" spans="2:4">
      <c r="B97" s="159"/>
      <c r="C97" s="207"/>
      <c r="D97" s="161"/>
    </row>
    <row r="98" spans="2:4">
      <c r="B98" s="159"/>
      <c r="C98" s="207"/>
      <c r="D98" s="161"/>
    </row>
    <row r="99" spans="2:4">
      <c r="B99" s="159"/>
      <c r="C99" s="207"/>
      <c r="D99" s="161"/>
    </row>
    <row r="100" spans="2:4">
      <c r="B100" s="159"/>
      <c r="C100" s="207"/>
      <c r="D100" s="161"/>
    </row>
    <row r="101" spans="2:4">
      <c r="B101" s="159"/>
      <c r="C101" s="207"/>
      <c r="D101" s="161"/>
    </row>
    <row r="102" spans="2:4">
      <c r="B102" s="159"/>
      <c r="C102" s="207"/>
      <c r="D102" s="161"/>
    </row>
    <row r="103" spans="2:4">
      <c r="B103" s="159"/>
      <c r="C103" s="207"/>
      <c r="D103" s="161"/>
    </row>
    <row r="104" spans="2:4">
      <c r="B104" s="159"/>
      <c r="C104" s="207"/>
      <c r="D104" s="161"/>
    </row>
    <row r="105" spans="2:4">
      <c r="B105" s="159"/>
      <c r="C105" s="207"/>
      <c r="D105" s="161"/>
    </row>
    <row r="106" spans="2:4">
      <c r="B106" s="159"/>
      <c r="C106" s="207"/>
      <c r="D106" s="161"/>
    </row>
    <row r="107" spans="2:4">
      <c r="B107" s="159"/>
      <c r="C107" s="207"/>
      <c r="D107" s="161"/>
    </row>
    <row r="108" spans="2:4">
      <c r="B108" s="159"/>
      <c r="C108" s="207"/>
      <c r="D108" s="161"/>
    </row>
    <row r="109" spans="2:4">
      <c r="B109" s="159"/>
      <c r="C109" s="207"/>
      <c r="D109" s="161"/>
    </row>
    <row r="110" spans="2:4">
      <c r="B110" s="159"/>
      <c r="C110" s="207"/>
      <c r="D110" s="161"/>
    </row>
    <row r="111" spans="2:4">
      <c r="B111" s="159"/>
      <c r="C111" s="207"/>
      <c r="D111" s="161"/>
    </row>
    <row r="112" spans="2:4">
      <c r="B112" s="159"/>
      <c r="C112" s="207"/>
      <c r="D112" s="161"/>
    </row>
    <row r="113" spans="2:4">
      <c r="B113" s="159"/>
      <c r="C113" s="207"/>
      <c r="D113" s="161"/>
    </row>
    <row r="114" spans="2:4">
      <c r="B114" s="159"/>
      <c r="C114" s="207"/>
      <c r="D114" s="161"/>
    </row>
    <row r="115" spans="2:4">
      <c r="B115" s="159"/>
      <c r="C115" s="207"/>
      <c r="D115" s="161"/>
    </row>
    <row r="116" spans="2:4">
      <c r="B116" s="159"/>
      <c r="C116" s="207"/>
      <c r="D116" s="161"/>
    </row>
    <row r="117" spans="2:4">
      <c r="B117" s="159"/>
      <c r="C117" s="207"/>
      <c r="D117" s="161"/>
    </row>
    <row r="118" spans="2:4">
      <c r="B118" s="159"/>
      <c r="C118" s="207"/>
      <c r="D118" s="161"/>
    </row>
    <row r="119" spans="2:4">
      <c r="B119" s="159"/>
      <c r="C119" s="207"/>
      <c r="D119" s="161"/>
    </row>
    <row r="120" spans="2:4">
      <c r="B120" s="159"/>
      <c r="C120" s="207"/>
      <c r="D120" s="161"/>
    </row>
    <row r="121" spans="2:4">
      <c r="B121" s="159"/>
      <c r="C121" s="207"/>
      <c r="D121" s="161"/>
    </row>
    <row r="122" spans="2:4">
      <c r="B122" s="159"/>
      <c r="C122" s="207"/>
      <c r="D122" s="161"/>
    </row>
    <row r="123" spans="2:4">
      <c r="B123" s="159"/>
      <c r="C123" s="207"/>
      <c r="D123" s="161"/>
    </row>
    <row r="124" spans="2:4">
      <c r="B124" s="159"/>
      <c r="C124" s="207"/>
      <c r="D124" s="161"/>
    </row>
    <row r="125" spans="2:4">
      <c r="B125" s="159"/>
      <c r="C125" s="207"/>
      <c r="D125" s="161"/>
    </row>
    <row r="126" spans="2:4">
      <c r="B126" s="159"/>
      <c r="C126" s="207"/>
      <c r="D126" s="161"/>
    </row>
    <row r="127" spans="2:4">
      <c r="B127" s="159"/>
      <c r="C127" s="207"/>
      <c r="D127" s="161"/>
    </row>
    <row r="128" spans="2:4">
      <c r="B128" s="159"/>
      <c r="C128" s="207"/>
      <c r="D128" s="161"/>
    </row>
    <row r="129" spans="2:4">
      <c r="B129" s="159"/>
      <c r="C129" s="207"/>
      <c r="D129" s="161"/>
    </row>
    <row r="130" spans="2:4">
      <c r="B130" s="159"/>
      <c r="C130" s="207"/>
      <c r="D130" s="161"/>
    </row>
    <row r="131" spans="2:4">
      <c r="B131" s="159"/>
      <c r="C131" s="207"/>
      <c r="D131" s="161"/>
    </row>
    <row r="132" spans="2:4">
      <c r="B132" s="159"/>
      <c r="C132" s="207"/>
      <c r="D132" s="161"/>
    </row>
    <row r="133" spans="2:4">
      <c r="B133" s="159"/>
      <c r="C133" s="207"/>
      <c r="D133" s="161"/>
    </row>
    <row r="134" spans="2:4">
      <c r="B134" s="159"/>
      <c r="C134" s="207"/>
      <c r="D134" s="161"/>
    </row>
    <row r="135" spans="2:4">
      <c r="B135" s="159"/>
      <c r="C135" s="207"/>
      <c r="D135" s="161"/>
    </row>
    <row r="136" spans="2:4">
      <c r="B136" s="159"/>
      <c r="C136" s="207"/>
      <c r="D136" s="161"/>
    </row>
    <row r="137" spans="2:4">
      <c r="B137" s="159"/>
      <c r="C137" s="207"/>
      <c r="D137" s="161"/>
    </row>
    <row r="138" spans="2:4">
      <c r="B138" s="159"/>
      <c r="C138" s="207"/>
      <c r="D138" s="161"/>
    </row>
    <row r="139" spans="2:4">
      <c r="B139" s="159"/>
      <c r="C139" s="207"/>
      <c r="D139" s="161"/>
    </row>
    <row r="140" spans="2:4">
      <c r="B140" s="159"/>
      <c r="C140" s="207"/>
      <c r="D140" s="161"/>
    </row>
    <row r="141" spans="2:4">
      <c r="B141" s="159"/>
      <c r="C141" s="207"/>
      <c r="D141" s="161"/>
    </row>
    <row r="142" spans="2:4">
      <c r="B142" s="159"/>
      <c r="C142" s="207"/>
      <c r="D142" s="161"/>
    </row>
    <row r="143" spans="2:4">
      <c r="B143" s="159"/>
      <c r="C143" s="207"/>
      <c r="D143" s="161"/>
    </row>
    <row r="144" spans="2:4">
      <c r="B144" s="159"/>
      <c r="C144" s="207"/>
      <c r="D144" s="161"/>
    </row>
    <row r="145" spans="2:4">
      <c r="B145" s="159"/>
      <c r="C145" s="207"/>
      <c r="D145" s="161"/>
    </row>
    <row r="146" spans="2:4">
      <c r="B146" s="159"/>
      <c r="C146" s="207"/>
      <c r="D146" s="161"/>
    </row>
    <row r="147" spans="2:4">
      <c r="B147" s="159"/>
      <c r="C147" s="207"/>
      <c r="D147" s="161"/>
    </row>
    <row r="148" spans="2:4">
      <c r="B148" s="159"/>
      <c r="C148" s="207"/>
      <c r="D148" s="161"/>
    </row>
    <row r="149" spans="2:4">
      <c r="B149" s="159"/>
      <c r="C149" s="207"/>
      <c r="D149" s="161"/>
    </row>
    <row r="150" spans="2:4">
      <c r="B150" s="159"/>
      <c r="C150" s="207"/>
      <c r="D150" s="161"/>
    </row>
    <row r="151" spans="2:4">
      <c r="B151" s="159"/>
      <c r="C151" s="207"/>
      <c r="D151" s="161"/>
    </row>
    <row r="152" spans="2:4">
      <c r="B152" s="159"/>
      <c r="C152" s="207"/>
      <c r="D152" s="161"/>
    </row>
    <row r="153" spans="2:4">
      <c r="B153" s="159"/>
      <c r="C153" s="207"/>
      <c r="D153" s="161"/>
    </row>
    <row r="154" spans="2:4">
      <c r="B154" s="159"/>
      <c r="C154" s="207"/>
      <c r="D154" s="161"/>
    </row>
    <row r="155" spans="2:4">
      <c r="B155" s="159"/>
      <c r="C155" s="207"/>
      <c r="D155" s="161"/>
    </row>
    <row r="156" spans="2:4">
      <c r="B156" s="159"/>
      <c r="C156" s="207"/>
      <c r="D156" s="161"/>
    </row>
    <row r="157" spans="2:4">
      <c r="B157" s="159"/>
      <c r="C157" s="207"/>
      <c r="D157" s="161"/>
    </row>
    <row r="158" spans="2:4">
      <c r="B158" s="159"/>
      <c r="C158" s="207"/>
      <c r="D158" s="161"/>
    </row>
    <row r="159" spans="2:4">
      <c r="B159" s="159"/>
      <c r="C159" s="207"/>
      <c r="D159" s="161"/>
    </row>
    <row r="160" spans="2:4">
      <c r="B160" s="159"/>
      <c r="C160" s="207"/>
      <c r="D160" s="161"/>
    </row>
    <row r="161" spans="2:4">
      <c r="B161" s="159"/>
      <c r="C161" s="207"/>
      <c r="D161" s="161"/>
    </row>
    <row r="162" spans="2:4">
      <c r="B162" s="159"/>
      <c r="C162" s="207"/>
      <c r="D162" s="161"/>
    </row>
    <row r="163" spans="2:4">
      <c r="B163" s="159"/>
      <c r="C163" s="207"/>
      <c r="D163" s="161"/>
    </row>
    <row r="164" spans="2:4">
      <c r="B164" s="159"/>
      <c r="C164" s="207"/>
      <c r="D164" s="161"/>
    </row>
    <row r="165" spans="2:4">
      <c r="B165" s="159"/>
      <c r="C165" s="207"/>
      <c r="D165" s="161"/>
    </row>
    <row r="166" spans="2:4">
      <c r="B166" s="159"/>
      <c r="C166" s="207"/>
      <c r="D166" s="161"/>
    </row>
    <row r="167" spans="2:4">
      <c r="B167" s="159"/>
      <c r="C167" s="207"/>
      <c r="D167" s="161"/>
    </row>
    <row r="168" spans="2:4">
      <c r="B168" s="159"/>
      <c r="C168" s="207"/>
      <c r="D168" s="161"/>
    </row>
    <row r="169" spans="2:4">
      <c r="B169" s="159"/>
      <c r="C169" s="207"/>
      <c r="D169" s="161"/>
    </row>
    <row r="170" spans="2:4">
      <c r="B170" s="159"/>
      <c r="C170" s="207"/>
      <c r="D170" s="161"/>
    </row>
    <row r="171" spans="2:4">
      <c r="B171" s="159"/>
      <c r="C171" s="207"/>
      <c r="D171" s="161"/>
    </row>
    <row r="172" spans="2:4">
      <c r="B172" s="159"/>
      <c r="C172" s="207"/>
      <c r="D172" s="161"/>
    </row>
    <row r="173" spans="2:4">
      <c r="B173" s="159"/>
      <c r="C173" s="207"/>
      <c r="D173" s="161"/>
    </row>
    <row r="174" spans="2:4">
      <c r="B174" s="159"/>
      <c r="C174" s="207"/>
      <c r="D174" s="161"/>
    </row>
    <row r="175" spans="2:4">
      <c r="B175" s="159"/>
      <c r="C175" s="207"/>
      <c r="D175" s="161"/>
    </row>
    <row r="176" spans="2:4">
      <c r="B176" s="159"/>
      <c r="C176" s="207"/>
      <c r="D176" s="161"/>
    </row>
    <row r="177" spans="2:4">
      <c r="B177" s="159"/>
      <c r="C177" s="207"/>
      <c r="D177" s="161"/>
    </row>
    <row r="178" spans="2:4">
      <c r="B178" s="159"/>
      <c r="C178" s="207"/>
      <c r="D178" s="161"/>
    </row>
    <row r="179" spans="2:4">
      <c r="B179" s="159"/>
      <c r="C179" s="207"/>
      <c r="D179" s="161"/>
    </row>
    <row r="180" spans="2:4">
      <c r="B180" s="159"/>
      <c r="C180" s="207"/>
      <c r="D180" s="161"/>
    </row>
    <row r="181" spans="2:4">
      <c r="B181" s="159"/>
      <c r="C181" s="207"/>
      <c r="D181" s="161"/>
    </row>
    <row r="182" spans="2:4">
      <c r="B182" s="159"/>
      <c r="C182" s="207"/>
      <c r="D182" s="161"/>
    </row>
    <row r="183" spans="2:4">
      <c r="B183" s="159"/>
      <c r="C183" s="207"/>
      <c r="D183" s="161"/>
    </row>
    <row r="184" spans="2:4">
      <c r="B184" s="159"/>
      <c r="C184" s="207"/>
      <c r="D184" s="161"/>
    </row>
    <row r="185" spans="2:4">
      <c r="B185" s="159"/>
      <c r="C185" s="207"/>
      <c r="D185" s="161"/>
    </row>
    <row r="186" spans="2:4">
      <c r="B186" s="159"/>
      <c r="C186" s="207"/>
      <c r="D186" s="161"/>
    </row>
    <row r="187" spans="2:4">
      <c r="B187" s="159"/>
      <c r="C187" s="207"/>
      <c r="D187" s="161"/>
    </row>
    <row r="188" spans="2:4">
      <c r="B188" s="159"/>
      <c r="C188" s="207"/>
      <c r="D188" s="161"/>
    </row>
    <row r="189" spans="2:4">
      <c r="B189" s="159"/>
      <c r="C189" s="207"/>
      <c r="D189" s="161"/>
    </row>
    <row r="190" spans="2:4">
      <c r="B190" s="159"/>
      <c r="C190" s="207"/>
      <c r="D190" s="161"/>
    </row>
    <row r="191" spans="2:4">
      <c r="B191" s="159"/>
      <c r="C191" s="207"/>
      <c r="D191" s="161"/>
    </row>
    <row r="192" spans="2:4">
      <c r="B192" s="159"/>
      <c r="C192" s="207"/>
      <c r="D192" s="161"/>
    </row>
    <row r="193" spans="2:4">
      <c r="B193" s="159"/>
      <c r="C193" s="207"/>
      <c r="D193" s="161"/>
    </row>
    <row r="194" spans="2:4">
      <c r="B194" s="159"/>
      <c r="C194" s="207"/>
      <c r="D194" s="161"/>
    </row>
    <row r="195" spans="2:4">
      <c r="B195" s="159"/>
      <c r="C195" s="207"/>
      <c r="D195" s="161"/>
    </row>
    <row r="196" spans="2:4">
      <c r="B196" s="159"/>
      <c r="C196" s="207"/>
      <c r="D196" s="161"/>
    </row>
    <row r="197" spans="2:4">
      <c r="B197" s="159"/>
      <c r="C197" s="207"/>
      <c r="D197" s="161"/>
    </row>
    <row r="198" spans="2:4">
      <c r="B198" s="159"/>
      <c r="C198" s="207"/>
      <c r="D198" s="161"/>
    </row>
    <row r="199" spans="2:4">
      <c r="B199" s="159"/>
      <c r="C199" s="207"/>
      <c r="D199" s="161"/>
    </row>
    <row r="200" spans="2:4">
      <c r="B200" s="159"/>
      <c r="C200" s="207"/>
      <c r="D200" s="161"/>
    </row>
    <row r="201" spans="2:4">
      <c r="B201" s="159"/>
      <c r="C201" s="207"/>
      <c r="D201" s="161"/>
    </row>
    <row r="202" spans="2:4">
      <c r="B202" s="159"/>
      <c r="C202" s="207"/>
      <c r="D202" s="161"/>
    </row>
    <row r="203" spans="2:4">
      <c r="B203" s="159"/>
      <c r="C203" s="207"/>
      <c r="D203" s="161"/>
    </row>
    <row r="204" spans="2:4">
      <c r="B204" s="159"/>
      <c r="C204" s="207"/>
      <c r="D204" s="161"/>
    </row>
    <row r="205" spans="2:4">
      <c r="B205" s="159"/>
      <c r="C205" s="207"/>
      <c r="D205" s="161"/>
    </row>
    <row r="206" spans="2:4">
      <c r="B206" s="159"/>
      <c r="C206" s="207"/>
      <c r="D206" s="161"/>
    </row>
    <row r="207" spans="2:4">
      <c r="B207" s="159"/>
      <c r="C207" s="207"/>
      <c r="D207" s="161"/>
    </row>
    <row r="208" spans="2:4">
      <c r="B208" s="159"/>
      <c r="C208" s="207"/>
      <c r="D208" s="161"/>
    </row>
    <row r="209" spans="2:4">
      <c r="B209" s="159"/>
      <c r="C209" s="207"/>
      <c r="D209" s="161"/>
    </row>
    <row r="210" spans="2:4">
      <c r="B210" s="159"/>
      <c r="C210" s="207"/>
      <c r="D210" s="161"/>
    </row>
    <row r="211" spans="2:4">
      <c r="B211" s="159"/>
      <c r="C211" s="207"/>
      <c r="D211" s="161"/>
    </row>
    <row r="212" spans="2:4">
      <c r="B212" s="159"/>
      <c r="C212" s="207"/>
      <c r="D212" s="161"/>
    </row>
    <row r="213" spans="2:4">
      <c r="B213" s="159"/>
      <c r="C213" s="207"/>
      <c r="D213" s="161"/>
    </row>
    <row r="214" spans="2:4">
      <c r="B214" s="159"/>
      <c r="C214" s="207"/>
      <c r="D214" s="161"/>
    </row>
    <row r="215" spans="2:4">
      <c r="B215" s="159"/>
      <c r="C215" s="207"/>
      <c r="D215" s="161"/>
    </row>
    <row r="216" spans="2:4">
      <c r="B216" s="159"/>
      <c r="C216" s="207"/>
      <c r="D216" s="161"/>
    </row>
    <row r="217" spans="2:4">
      <c r="B217" s="159"/>
      <c r="C217" s="207"/>
      <c r="D217" s="161"/>
    </row>
    <row r="218" spans="2:4">
      <c r="B218" s="159"/>
      <c r="C218" s="207"/>
      <c r="D218" s="161"/>
    </row>
    <row r="219" spans="2:4">
      <c r="B219" s="159"/>
      <c r="C219" s="207"/>
      <c r="D219" s="161"/>
    </row>
    <row r="220" spans="2:4">
      <c r="B220" s="159"/>
      <c r="C220" s="207"/>
      <c r="D220" s="161"/>
    </row>
    <row r="221" spans="2:4">
      <c r="B221" s="159"/>
      <c r="C221" s="207"/>
      <c r="D221" s="161"/>
    </row>
    <row r="222" spans="2:4">
      <c r="B222" s="159"/>
      <c r="C222" s="207"/>
      <c r="D222" s="161"/>
    </row>
    <row r="223" spans="2:4">
      <c r="B223" s="159"/>
      <c r="C223" s="207"/>
      <c r="D223" s="161"/>
    </row>
    <row r="224" spans="2:4">
      <c r="B224" s="159"/>
      <c r="C224" s="207"/>
      <c r="D224" s="161"/>
    </row>
    <row r="225" spans="2:4">
      <c r="B225" s="159"/>
      <c r="C225" s="207"/>
      <c r="D225" s="161"/>
    </row>
    <row r="226" spans="2:4">
      <c r="B226" s="159"/>
      <c r="C226" s="207"/>
      <c r="D226" s="161"/>
    </row>
    <row r="227" spans="2:4">
      <c r="B227" s="159"/>
      <c r="C227" s="207"/>
      <c r="D227" s="161"/>
    </row>
    <row r="228" spans="2:4">
      <c r="B228" s="159"/>
      <c r="C228" s="207"/>
      <c r="D228" s="161"/>
    </row>
    <row r="229" spans="2:4">
      <c r="B229" s="159"/>
      <c r="C229" s="207"/>
      <c r="D229" s="161"/>
    </row>
    <row r="230" spans="2:4">
      <c r="B230" s="159"/>
      <c r="C230" s="207"/>
      <c r="D230" s="161"/>
    </row>
    <row r="231" spans="2:4">
      <c r="B231" s="159"/>
      <c r="C231" s="207"/>
      <c r="D231" s="161"/>
    </row>
    <row r="232" spans="2:4">
      <c r="B232" s="159"/>
      <c r="C232" s="207"/>
      <c r="D232" s="161"/>
    </row>
    <row r="233" spans="2:4">
      <c r="B233" s="159"/>
      <c r="C233" s="207"/>
      <c r="D233" s="161"/>
    </row>
    <row r="234" spans="2:4">
      <c r="B234" s="159"/>
      <c r="C234" s="207"/>
      <c r="D234" s="161"/>
    </row>
    <row r="235" spans="2:4">
      <c r="B235" s="159"/>
      <c r="C235" s="207"/>
      <c r="D235" s="161"/>
    </row>
    <row r="236" spans="2:4">
      <c r="B236" s="159"/>
      <c r="C236" s="207"/>
      <c r="D236" s="161"/>
    </row>
    <row r="237" spans="2:4">
      <c r="B237" s="159"/>
      <c r="C237" s="207"/>
      <c r="D237" s="161"/>
    </row>
    <row r="238" spans="2:4">
      <c r="B238" s="159"/>
      <c r="C238" s="207"/>
      <c r="D238" s="161"/>
    </row>
    <row r="239" spans="2:4">
      <c r="B239" s="159"/>
      <c r="C239" s="207"/>
      <c r="D239" s="161"/>
    </row>
    <row r="240" spans="2:4">
      <c r="B240" s="159"/>
      <c r="C240" s="207"/>
      <c r="D240" s="161"/>
    </row>
    <row r="241" spans="2:4">
      <c r="B241" s="159"/>
      <c r="C241" s="207"/>
      <c r="D241" s="161"/>
    </row>
    <row r="242" spans="2:4">
      <c r="B242" s="159"/>
      <c r="C242" s="207"/>
      <c r="D242" s="161"/>
    </row>
    <row r="243" spans="2:4">
      <c r="B243" s="159"/>
      <c r="C243" s="207"/>
      <c r="D243" s="161"/>
    </row>
    <row r="244" spans="2:4">
      <c r="B244" s="159"/>
      <c r="C244" s="207"/>
      <c r="D244" s="161"/>
    </row>
    <row r="245" spans="2:4">
      <c r="B245" s="159"/>
      <c r="C245" s="207"/>
      <c r="D245" s="161"/>
    </row>
    <row r="246" spans="2:4">
      <c r="B246" s="159"/>
      <c r="C246" s="207"/>
      <c r="D246" s="161"/>
    </row>
    <row r="247" spans="2:4">
      <c r="B247" s="159"/>
      <c r="C247" s="207"/>
      <c r="D247" s="161"/>
    </row>
    <row r="248" spans="2:4">
      <c r="B248" s="159"/>
      <c r="C248" s="207"/>
      <c r="D248" s="161"/>
    </row>
    <row r="249" spans="2:4">
      <c r="B249" s="159"/>
      <c r="C249" s="207"/>
      <c r="D249" s="161"/>
    </row>
    <row r="250" spans="2:4">
      <c r="B250" s="159"/>
      <c r="C250" s="207"/>
      <c r="D250" s="161"/>
    </row>
    <row r="251" spans="2:4">
      <c r="B251" s="159"/>
      <c r="C251" s="207"/>
      <c r="D251" s="161"/>
    </row>
    <row r="252" spans="2:4">
      <c r="B252" s="159"/>
      <c r="C252" s="207"/>
      <c r="D252" s="161"/>
    </row>
    <row r="253" spans="2:4">
      <c r="B253" s="159"/>
      <c r="C253" s="207"/>
      <c r="D253" s="161"/>
    </row>
    <row r="254" spans="2:4">
      <c r="B254" s="159"/>
      <c r="C254" s="207"/>
      <c r="D254" s="161"/>
    </row>
    <row r="255" spans="2:4">
      <c r="B255" s="159"/>
      <c r="C255" s="207"/>
      <c r="D255" s="161"/>
    </row>
    <row r="256" spans="2:4">
      <c r="B256" s="159"/>
      <c r="C256" s="207"/>
      <c r="D256" s="161"/>
    </row>
    <row r="257" spans="2:4">
      <c r="B257" s="159"/>
      <c r="C257" s="207"/>
      <c r="D257" s="161"/>
    </row>
    <row r="258" spans="2:4">
      <c r="B258" s="159"/>
      <c r="C258" s="207"/>
      <c r="D258" s="161"/>
    </row>
    <row r="259" spans="2:4">
      <c r="B259" s="159"/>
      <c r="C259" s="207"/>
      <c r="D259" s="161"/>
    </row>
    <row r="260" spans="2:4">
      <c r="B260" s="159"/>
      <c r="C260" s="207"/>
      <c r="D260" s="161"/>
    </row>
    <row r="261" spans="2:4">
      <c r="B261" s="159"/>
      <c r="C261" s="207"/>
      <c r="D261" s="161"/>
    </row>
    <row r="262" spans="2:4">
      <c r="B262" s="159"/>
      <c r="C262" s="207"/>
      <c r="D262" s="161"/>
    </row>
    <row r="263" spans="2:4">
      <c r="B263" s="159"/>
      <c r="C263" s="207"/>
      <c r="D263" s="161"/>
    </row>
    <row r="264" spans="2:4">
      <c r="B264" s="159"/>
      <c r="C264" s="207"/>
      <c r="D264" s="161"/>
    </row>
    <row r="265" spans="2:4">
      <c r="B265" s="159"/>
      <c r="C265" s="207"/>
      <c r="D265" s="161"/>
    </row>
    <row r="266" spans="2:4">
      <c r="B266" s="159"/>
      <c r="C266" s="207"/>
      <c r="D266" s="161"/>
    </row>
    <row r="267" spans="2:4">
      <c r="B267" s="159"/>
      <c r="C267" s="207"/>
      <c r="D267" s="161"/>
    </row>
    <row r="268" spans="2:4">
      <c r="B268" s="159"/>
      <c r="C268" s="207"/>
      <c r="D268" s="161"/>
    </row>
    <row r="269" spans="2:4">
      <c r="B269" s="159"/>
      <c r="C269" s="207"/>
      <c r="D269" s="161"/>
    </row>
    <row r="270" spans="2:4">
      <c r="B270" s="159"/>
      <c r="C270" s="207"/>
      <c r="D270" s="161"/>
    </row>
    <row r="271" spans="2:4">
      <c r="B271" s="159"/>
      <c r="C271" s="207"/>
      <c r="D271" s="161"/>
    </row>
    <row r="272" spans="2:4">
      <c r="B272" s="159"/>
      <c r="C272" s="207"/>
      <c r="D272" s="161"/>
    </row>
    <row r="273" spans="2:4">
      <c r="B273" s="159"/>
      <c r="C273" s="207"/>
      <c r="D273" s="161"/>
    </row>
    <row r="274" spans="2:4">
      <c r="B274" s="159"/>
      <c r="C274" s="207"/>
      <c r="D274" s="161"/>
    </row>
    <row r="275" spans="2:4">
      <c r="B275" s="159"/>
      <c r="C275" s="207"/>
      <c r="D275" s="161"/>
    </row>
    <row r="276" spans="2:4">
      <c r="B276" s="159"/>
      <c r="C276" s="207"/>
      <c r="D276" s="161"/>
    </row>
    <row r="277" spans="2:4">
      <c r="B277" s="159"/>
      <c r="C277" s="207"/>
      <c r="D277" s="161"/>
    </row>
    <row r="278" spans="2:4">
      <c r="B278" s="159"/>
      <c r="C278" s="207"/>
      <c r="D278" s="161"/>
    </row>
    <row r="279" spans="2:4">
      <c r="B279" s="159"/>
      <c r="C279" s="207"/>
      <c r="D279" s="161"/>
    </row>
    <row r="280" spans="2:4">
      <c r="B280" s="159"/>
      <c r="C280" s="207"/>
      <c r="D280" s="161"/>
    </row>
    <row r="281" spans="2:4">
      <c r="B281" s="159"/>
      <c r="C281" s="207"/>
      <c r="D281" s="161"/>
    </row>
    <row r="282" spans="2:4">
      <c r="B282" s="159"/>
      <c r="C282" s="207"/>
      <c r="D282" s="161"/>
    </row>
    <row r="283" spans="2:4">
      <c r="B283" s="159"/>
      <c r="C283" s="207"/>
      <c r="D283" s="161"/>
    </row>
    <row r="284" spans="2:4">
      <c r="B284" s="159"/>
      <c r="C284" s="207"/>
      <c r="D284" s="161"/>
    </row>
    <row r="285" spans="2:4">
      <c r="B285" s="159"/>
      <c r="C285" s="207"/>
      <c r="D285" s="161"/>
    </row>
    <row r="286" spans="2:4">
      <c r="B286" s="159"/>
      <c r="C286" s="207"/>
      <c r="D286" s="161"/>
    </row>
    <row r="287" spans="2:4">
      <c r="B287" s="159"/>
      <c r="C287" s="207"/>
      <c r="D287" s="161"/>
    </row>
    <row r="288" spans="2:4">
      <c r="B288" s="159"/>
      <c r="C288" s="207"/>
      <c r="D288" s="161"/>
    </row>
    <row r="289" spans="2:4">
      <c r="B289" s="159"/>
      <c r="C289" s="207"/>
      <c r="D289" s="161"/>
    </row>
    <row r="290" spans="2:4">
      <c r="B290" s="159"/>
      <c r="C290" s="207"/>
      <c r="D290" s="161"/>
    </row>
    <row r="291" spans="2:4">
      <c r="B291" s="159"/>
      <c r="C291" s="207"/>
      <c r="D291" s="161"/>
    </row>
    <row r="292" spans="2:4">
      <c r="B292" s="159"/>
      <c r="C292" s="207"/>
      <c r="D292" s="161"/>
    </row>
    <row r="293" spans="2:4">
      <c r="B293" s="159"/>
      <c r="C293" s="207"/>
      <c r="D293" s="161"/>
    </row>
    <row r="294" spans="2:4">
      <c r="B294" s="159"/>
      <c r="C294" s="207"/>
      <c r="D294" s="161"/>
    </row>
    <row r="295" spans="2:4">
      <c r="B295" s="159"/>
      <c r="C295" s="207"/>
      <c r="D295" s="161"/>
    </row>
    <row r="296" spans="2:4">
      <c r="B296" s="159"/>
      <c r="C296" s="207"/>
      <c r="D296" s="161"/>
    </row>
    <row r="297" spans="2:4">
      <c r="B297" s="159"/>
      <c r="C297" s="207"/>
      <c r="D297" s="161"/>
    </row>
    <row r="298" spans="2:4">
      <c r="B298" s="159"/>
      <c r="C298" s="207"/>
      <c r="D298" s="161"/>
    </row>
    <row r="299" spans="2:4">
      <c r="B299" s="159"/>
      <c r="C299" s="207"/>
      <c r="D299" s="161"/>
    </row>
    <row r="300" spans="2:4">
      <c r="B300" s="159"/>
      <c r="C300" s="207"/>
      <c r="D300" s="161"/>
    </row>
    <row r="301" spans="2:4">
      <c r="B301" s="159"/>
      <c r="C301" s="207"/>
      <c r="D301" s="161"/>
    </row>
    <row r="302" spans="2:4">
      <c r="B302" s="159"/>
      <c r="C302" s="207"/>
      <c r="D302" s="161"/>
    </row>
    <row r="303" spans="2:4">
      <c r="B303" s="159"/>
      <c r="C303" s="207"/>
      <c r="D303" s="161"/>
    </row>
    <row r="304" spans="2:4">
      <c r="B304" s="159"/>
      <c r="C304" s="207"/>
      <c r="D304" s="161"/>
    </row>
    <row r="305" spans="2:4">
      <c r="B305" s="159"/>
      <c r="C305" s="207"/>
      <c r="D305" s="161"/>
    </row>
    <row r="306" spans="2:4">
      <c r="B306" s="159"/>
      <c r="C306" s="207"/>
      <c r="D306" s="161"/>
    </row>
    <row r="307" spans="2:4">
      <c r="B307" s="159"/>
      <c r="C307" s="207"/>
      <c r="D307" s="161"/>
    </row>
    <row r="308" spans="2:4">
      <c r="B308" s="159"/>
      <c r="C308" s="207"/>
      <c r="D308" s="161"/>
    </row>
    <row r="309" spans="2:4">
      <c r="B309" s="159"/>
      <c r="C309" s="207"/>
      <c r="D309" s="161"/>
    </row>
    <row r="310" spans="2:4">
      <c r="B310" s="159"/>
      <c r="C310" s="207"/>
      <c r="D310" s="161"/>
    </row>
    <row r="311" spans="2:4">
      <c r="B311" s="159"/>
      <c r="C311" s="207"/>
      <c r="D311" s="161"/>
    </row>
    <row r="312" spans="2:4">
      <c r="B312" s="159"/>
      <c r="C312" s="207"/>
      <c r="D312" s="161"/>
    </row>
    <row r="313" spans="2:4">
      <c r="B313" s="159"/>
      <c r="C313" s="207"/>
      <c r="D313" s="161"/>
    </row>
    <row r="314" spans="2:4">
      <c r="B314" s="159"/>
      <c r="C314" s="207"/>
      <c r="D314" s="161"/>
    </row>
    <row r="315" spans="2:4">
      <c r="B315" s="159"/>
      <c r="C315" s="207"/>
      <c r="D315" s="161"/>
    </row>
    <row r="316" spans="2:4">
      <c r="B316" s="159"/>
      <c r="C316" s="207"/>
      <c r="D316" s="161"/>
    </row>
    <row r="317" spans="2:4">
      <c r="B317" s="159"/>
      <c r="C317" s="207"/>
      <c r="D317" s="161"/>
    </row>
    <row r="318" spans="2:4">
      <c r="B318" s="159"/>
      <c r="C318" s="207"/>
      <c r="D318" s="161"/>
    </row>
    <row r="319" spans="2:4">
      <c r="B319" s="159"/>
      <c r="C319" s="207"/>
      <c r="D319" s="161"/>
    </row>
    <row r="320" spans="2:4">
      <c r="B320" s="159"/>
      <c r="C320" s="207"/>
      <c r="D320" s="161"/>
    </row>
    <row r="321" spans="2:4">
      <c r="B321" s="159"/>
      <c r="C321" s="207"/>
      <c r="D321" s="161"/>
    </row>
    <row r="322" spans="2:4">
      <c r="B322" s="159"/>
      <c r="C322" s="207"/>
      <c r="D322" s="161"/>
    </row>
    <row r="323" spans="2:4">
      <c r="B323" s="159"/>
      <c r="C323" s="207"/>
      <c r="D323" s="161"/>
    </row>
    <row r="324" spans="2:4">
      <c r="B324" s="159"/>
      <c r="C324" s="207"/>
      <c r="D324" s="161"/>
    </row>
    <row r="325" spans="2:4">
      <c r="B325" s="159"/>
      <c r="C325" s="207"/>
      <c r="D325" s="161"/>
    </row>
    <row r="326" spans="2:4">
      <c r="B326" s="159"/>
      <c r="C326" s="207"/>
      <c r="D326" s="161"/>
    </row>
    <row r="327" spans="2:4">
      <c r="B327" s="159"/>
      <c r="C327" s="207"/>
      <c r="D327" s="161"/>
    </row>
    <row r="328" spans="2:4">
      <c r="B328" s="159"/>
      <c r="C328" s="207"/>
      <c r="D328" s="161"/>
    </row>
    <row r="329" spans="2:4">
      <c r="B329" s="159"/>
      <c r="C329" s="207"/>
      <c r="D329" s="161"/>
    </row>
    <row r="330" spans="2:4">
      <c r="B330" s="159"/>
      <c r="C330" s="207"/>
      <c r="D330" s="161"/>
    </row>
    <row r="331" spans="2:4">
      <c r="B331" s="159"/>
      <c r="C331" s="207"/>
      <c r="D331" s="161"/>
    </row>
    <row r="332" spans="2:4">
      <c r="B332" s="159"/>
      <c r="C332" s="207"/>
      <c r="D332" s="161"/>
    </row>
    <row r="333" spans="2:4">
      <c r="B333" s="159"/>
      <c r="C333" s="207"/>
      <c r="D333" s="161"/>
    </row>
    <row r="334" spans="2:4">
      <c r="B334" s="159"/>
      <c r="C334" s="207"/>
      <c r="D334" s="161"/>
    </row>
    <row r="335" spans="2:4">
      <c r="B335" s="159"/>
      <c r="C335" s="207"/>
      <c r="D335" s="161"/>
    </row>
    <row r="336" spans="2:4">
      <c r="B336" s="159"/>
      <c r="C336" s="207"/>
      <c r="D336" s="161"/>
    </row>
    <row r="337" spans="2:4">
      <c r="B337" s="159"/>
      <c r="C337" s="207"/>
      <c r="D337" s="161"/>
    </row>
    <row r="338" spans="2:4">
      <c r="B338" s="159"/>
      <c r="C338" s="207"/>
      <c r="D338" s="161"/>
    </row>
    <row r="339" spans="2:4">
      <c r="B339" s="159"/>
      <c r="C339" s="207"/>
      <c r="D339" s="161"/>
    </row>
    <row r="340" spans="2:4">
      <c r="B340" s="159"/>
      <c r="C340" s="207"/>
      <c r="D340" s="161"/>
    </row>
    <row r="341" spans="2:4">
      <c r="B341" s="159"/>
      <c r="C341" s="207"/>
      <c r="D341" s="161"/>
    </row>
    <row r="342" spans="2:4">
      <c r="B342" s="159"/>
      <c r="C342" s="207"/>
      <c r="D342" s="161"/>
    </row>
    <row r="343" spans="2:4">
      <c r="B343" s="159"/>
      <c r="C343" s="207"/>
      <c r="D343" s="161"/>
    </row>
    <row r="344" spans="2:4">
      <c r="B344" s="159"/>
      <c r="C344" s="207"/>
      <c r="D344" s="161"/>
    </row>
    <row r="345" spans="2:4">
      <c r="B345" s="159"/>
      <c r="C345" s="207"/>
      <c r="D345" s="161"/>
    </row>
    <row r="346" spans="2:4">
      <c r="B346" s="159"/>
      <c r="C346" s="207"/>
      <c r="D346" s="161"/>
    </row>
    <row r="347" spans="2:4">
      <c r="B347" s="159"/>
      <c r="C347" s="207"/>
      <c r="D347" s="161"/>
    </row>
    <row r="348" spans="2:4">
      <c r="B348" s="159"/>
      <c r="C348" s="207"/>
      <c r="D348" s="161"/>
    </row>
    <row r="349" spans="2:4">
      <c r="B349" s="159"/>
      <c r="C349" s="207"/>
      <c r="D349" s="161"/>
    </row>
    <row r="350" spans="2:4">
      <c r="B350" s="159"/>
      <c r="C350" s="207"/>
      <c r="D350" s="161"/>
    </row>
    <row r="351" spans="2:4">
      <c r="B351" s="159"/>
      <c r="C351" s="207"/>
      <c r="D351" s="161"/>
    </row>
    <row r="352" spans="2:4">
      <c r="B352" s="159"/>
      <c r="C352" s="207"/>
      <c r="D352" s="161"/>
    </row>
    <row r="353" spans="2:4">
      <c r="B353" s="159"/>
      <c r="C353" s="207"/>
      <c r="D353" s="161"/>
    </row>
    <row r="354" spans="2:4">
      <c r="B354" s="159"/>
      <c r="C354" s="207"/>
      <c r="D354" s="161"/>
    </row>
    <row r="355" spans="2:4">
      <c r="B355" s="159"/>
      <c r="C355" s="207"/>
      <c r="D355" s="161"/>
    </row>
    <row r="356" spans="2:4">
      <c r="B356" s="159"/>
      <c r="C356" s="207"/>
      <c r="D356" s="161"/>
    </row>
    <row r="357" spans="2:4">
      <c r="B357" s="159"/>
      <c r="C357" s="207"/>
      <c r="D357" s="161"/>
    </row>
    <row r="358" spans="2:4">
      <c r="B358" s="159"/>
      <c r="C358" s="207"/>
      <c r="D358" s="161"/>
    </row>
    <row r="359" spans="2:4">
      <c r="B359" s="159"/>
      <c r="C359" s="207"/>
      <c r="D359" s="161"/>
    </row>
    <row r="360" spans="2:4">
      <c r="B360" s="159"/>
      <c r="C360" s="207"/>
      <c r="D360" s="161"/>
    </row>
    <row r="361" spans="2:4">
      <c r="B361" s="159"/>
      <c r="C361" s="207"/>
      <c r="D361" s="161"/>
    </row>
    <row r="362" spans="2:4">
      <c r="B362" s="159"/>
      <c r="C362" s="207"/>
      <c r="D362" s="161"/>
    </row>
    <row r="363" spans="2:4">
      <c r="B363" s="159"/>
      <c r="C363" s="207"/>
      <c r="D363" s="161"/>
    </row>
    <row r="364" spans="2:4">
      <c r="B364" s="159"/>
      <c r="C364" s="207"/>
      <c r="D364" s="161"/>
    </row>
    <row r="365" spans="2:4">
      <c r="B365" s="159"/>
      <c r="C365" s="207"/>
      <c r="D365" s="161"/>
    </row>
    <row r="366" spans="2:4">
      <c r="B366" s="159"/>
      <c r="C366" s="207"/>
      <c r="D366" s="161"/>
    </row>
    <row r="367" spans="2:4">
      <c r="B367" s="159"/>
      <c r="C367" s="207"/>
      <c r="D367" s="161"/>
    </row>
    <row r="368" spans="2:4">
      <c r="B368" s="159"/>
      <c r="C368" s="207"/>
      <c r="D368" s="161"/>
    </row>
    <row r="369" spans="2:4">
      <c r="B369" s="159"/>
      <c r="C369" s="207"/>
      <c r="D369" s="161"/>
    </row>
    <row r="370" spans="2:4">
      <c r="B370" s="159"/>
      <c r="C370" s="207"/>
      <c r="D370" s="161"/>
    </row>
    <row r="371" spans="2:4">
      <c r="B371" s="159"/>
      <c r="C371" s="207"/>
      <c r="D371" s="161"/>
    </row>
    <row r="372" spans="2:4">
      <c r="B372" s="159"/>
      <c r="C372" s="207"/>
      <c r="D372" s="161"/>
    </row>
    <row r="373" spans="2:4">
      <c r="B373" s="159"/>
      <c r="C373" s="207"/>
      <c r="D373" s="161"/>
    </row>
    <row r="374" spans="2:4">
      <c r="B374" s="159"/>
      <c r="C374" s="207"/>
      <c r="D374" s="161"/>
    </row>
    <row r="375" spans="2:4">
      <c r="B375" s="159"/>
      <c r="C375" s="207"/>
      <c r="D375" s="161"/>
    </row>
    <row r="376" spans="2:4">
      <c r="B376" s="159"/>
      <c r="C376" s="207"/>
      <c r="D376" s="161"/>
    </row>
    <row r="377" spans="2:4">
      <c r="B377" s="159"/>
      <c r="C377" s="207"/>
      <c r="D377" s="161"/>
    </row>
    <row r="378" spans="2:4">
      <c r="B378" s="159"/>
      <c r="C378" s="207"/>
      <c r="D378" s="161"/>
    </row>
    <row r="379" spans="2:4">
      <c r="B379" s="159"/>
      <c r="C379" s="207"/>
      <c r="D379" s="161"/>
    </row>
    <row r="380" spans="2:4">
      <c r="B380" s="159"/>
      <c r="C380" s="207"/>
      <c r="D380" s="161"/>
    </row>
    <row r="381" spans="2:4">
      <c r="B381" s="159"/>
      <c r="C381" s="207"/>
      <c r="D381" s="161"/>
    </row>
    <row r="382" spans="2:4">
      <c r="B382" s="159"/>
      <c r="C382" s="207"/>
      <c r="D382" s="161"/>
    </row>
    <row r="383" spans="2:4">
      <c r="B383" s="159"/>
      <c r="C383" s="207"/>
      <c r="D383" s="161"/>
    </row>
    <row r="384" spans="2:4">
      <c r="B384" s="159"/>
      <c r="C384" s="207"/>
      <c r="D384" s="161"/>
    </row>
    <row r="385" spans="2:4">
      <c r="B385" s="159"/>
      <c r="C385" s="207"/>
      <c r="D385" s="161"/>
    </row>
    <row r="386" spans="2:4">
      <c r="B386" s="159"/>
      <c r="C386" s="207"/>
      <c r="D386" s="161"/>
    </row>
    <row r="387" spans="2:4">
      <c r="B387" s="159"/>
      <c r="C387" s="207"/>
      <c r="D387" s="161"/>
    </row>
    <row r="388" spans="2:4">
      <c r="B388" s="159"/>
      <c r="C388" s="207"/>
      <c r="D388" s="161"/>
    </row>
    <row r="389" spans="2:4">
      <c r="B389" s="159"/>
      <c r="C389" s="207"/>
      <c r="D389" s="161"/>
    </row>
    <row r="390" spans="2:4">
      <c r="B390" s="159"/>
      <c r="C390" s="207"/>
      <c r="D390" s="161"/>
    </row>
    <row r="391" spans="2:4">
      <c r="B391" s="159"/>
      <c r="C391" s="207"/>
      <c r="D391" s="161"/>
    </row>
    <row r="392" spans="2:4">
      <c r="B392" s="159"/>
      <c r="C392" s="207"/>
      <c r="D392" s="161"/>
    </row>
    <row r="393" spans="2:4">
      <c r="B393" s="159"/>
      <c r="C393" s="207"/>
      <c r="D393" s="161"/>
    </row>
    <row r="394" spans="2:4">
      <c r="B394" s="159"/>
      <c r="C394" s="207"/>
      <c r="D394" s="161"/>
    </row>
    <row r="395" spans="2:4">
      <c r="B395" s="159"/>
      <c r="C395" s="207"/>
      <c r="D395" s="161"/>
    </row>
    <row r="396" spans="2:4">
      <c r="B396" s="159"/>
      <c r="C396" s="207"/>
      <c r="D396" s="161"/>
    </row>
    <row r="397" spans="2:4">
      <c r="B397" s="159"/>
      <c r="C397" s="207"/>
      <c r="D397" s="161"/>
    </row>
    <row r="398" spans="2:4">
      <c r="B398" s="159"/>
      <c r="C398" s="207"/>
      <c r="D398" s="161"/>
    </row>
    <row r="399" spans="2:4">
      <c r="B399" s="159"/>
      <c r="C399" s="207"/>
      <c r="D399" s="161"/>
    </row>
    <row r="400" spans="2:4">
      <c r="B400" s="159"/>
      <c r="C400" s="207"/>
      <c r="D400" s="161"/>
    </row>
    <row r="401" spans="2:4">
      <c r="B401" s="159"/>
      <c r="C401" s="207"/>
      <c r="D401" s="161"/>
    </row>
    <row r="402" spans="2:4">
      <c r="B402" s="159"/>
      <c r="C402" s="207"/>
      <c r="D402" s="161"/>
    </row>
    <row r="403" spans="2:4">
      <c r="B403" s="159"/>
      <c r="C403" s="207"/>
      <c r="D403" s="161"/>
    </row>
    <row r="404" spans="2:4">
      <c r="B404" s="159"/>
      <c r="C404" s="207"/>
      <c r="D404" s="161"/>
    </row>
    <row r="405" spans="2:4">
      <c r="B405" s="159"/>
      <c r="C405" s="207"/>
      <c r="D405" s="161"/>
    </row>
    <row r="406" spans="2:4">
      <c r="B406" s="159"/>
      <c r="C406" s="207"/>
      <c r="D406" s="161"/>
    </row>
    <row r="407" spans="2:4">
      <c r="B407" s="159"/>
      <c r="C407" s="207"/>
      <c r="D407" s="161"/>
    </row>
    <row r="408" spans="2:4">
      <c r="B408" s="159"/>
      <c r="C408" s="207"/>
      <c r="D408" s="161"/>
    </row>
    <row r="409" spans="2:4">
      <c r="B409" s="159"/>
      <c r="C409" s="207"/>
      <c r="D409" s="161"/>
    </row>
    <row r="410" spans="2:4">
      <c r="B410" s="159"/>
      <c r="C410" s="207"/>
      <c r="D410" s="161"/>
    </row>
    <row r="411" spans="2:4">
      <c r="B411" s="159"/>
      <c r="C411" s="207"/>
      <c r="D411" s="161"/>
    </row>
    <row r="412" spans="2:4">
      <c r="B412" s="159"/>
      <c r="C412" s="207"/>
      <c r="D412" s="161"/>
    </row>
    <row r="413" spans="2:4">
      <c r="B413" s="159"/>
      <c r="C413" s="207"/>
      <c r="D413" s="161"/>
    </row>
    <row r="414" spans="2:4">
      <c r="B414" s="159"/>
      <c r="C414" s="207"/>
      <c r="D414" s="161"/>
    </row>
    <row r="415" spans="2:4">
      <c r="B415" s="159"/>
      <c r="C415" s="207"/>
      <c r="D415" s="161"/>
    </row>
    <row r="416" spans="2:4">
      <c r="B416" s="159"/>
      <c r="C416" s="207"/>
      <c r="D416" s="161"/>
    </row>
    <row r="417" spans="2:4">
      <c r="B417" s="159"/>
      <c r="C417" s="207"/>
      <c r="D417" s="161"/>
    </row>
    <row r="418" spans="2:4">
      <c r="B418" s="159"/>
      <c r="C418" s="207"/>
      <c r="D418" s="161"/>
    </row>
    <row r="419" spans="2:4">
      <c r="B419" s="159"/>
      <c r="C419" s="207"/>
      <c r="D419" s="161"/>
    </row>
    <row r="420" spans="2:4">
      <c r="B420" s="159"/>
      <c r="C420" s="207"/>
      <c r="D420" s="161"/>
    </row>
    <row r="421" spans="2:4">
      <c r="B421" s="159"/>
      <c r="C421" s="207"/>
      <c r="D421" s="161"/>
    </row>
    <row r="422" spans="2:4">
      <c r="B422" s="159"/>
      <c r="C422" s="207"/>
      <c r="D422" s="161"/>
    </row>
    <row r="423" spans="2:4">
      <c r="B423" s="159"/>
      <c r="C423" s="207"/>
      <c r="D423" s="161"/>
    </row>
    <row r="424" spans="2:4">
      <c r="B424" s="159"/>
      <c r="C424" s="207"/>
      <c r="D424" s="161"/>
    </row>
    <row r="425" spans="2:4">
      <c r="B425" s="159"/>
      <c r="C425" s="207"/>
      <c r="D425" s="161"/>
    </row>
    <row r="426" spans="2:4">
      <c r="B426" s="159"/>
      <c r="C426" s="207"/>
      <c r="D426" s="161"/>
    </row>
    <row r="427" spans="2:4">
      <c r="B427" s="159"/>
      <c r="C427" s="207"/>
      <c r="D427" s="161"/>
    </row>
    <row r="428" spans="2:4">
      <c r="B428" s="159"/>
      <c r="C428" s="207"/>
      <c r="D428" s="161"/>
    </row>
    <row r="429" spans="2:4">
      <c r="B429" s="159"/>
      <c r="C429" s="207"/>
      <c r="D429" s="161"/>
    </row>
    <row r="430" spans="2:4">
      <c r="B430" s="159"/>
      <c r="C430" s="207"/>
      <c r="D430" s="161"/>
    </row>
    <row r="431" spans="2:4">
      <c r="B431" s="159"/>
      <c r="C431" s="207"/>
      <c r="D431" s="161"/>
    </row>
    <row r="432" spans="2:4">
      <c r="B432" s="159"/>
      <c r="C432" s="207"/>
      <c r="D432" s="161"/>
    </row>
    <row r="433" spans="2:4">
      <c r="B433" s="159"/>
      <c r="C433" s="207"/>
      <c r="D433" s="161"/>
    </row>
    <row r="434" spans="2:4">
      <c r="B434" s="159"/>
      <c r="C434" s="207"/>
      <c r="D434" s="161"/>
    </row>
    <row r="435" spans="2:4">
      <c r="B435" s="159"/>
      <c r="C435" s="207"/>
      <c r="D435" s="161"/>
    </row>
    <row r="436" spans="2:4">
      <c r="B436" s="159"/>
      <c r="C436" s="207"/>
      <c r="D436" s="161"/>
    </row>
    <row r="437" spans="2:4">
      <c r="B437" s="159"/>
      <c r="C437" s="207"/>
      <c r="D437" s="161"/>
    </row>
    <row r="438" spans="2:4">
      <c r="B438" s="159"/>
      <c r="C438" s="207"/>
      <c r="D438" s="161"/>
    </row>
    <row r="439" spans="2:4">
      <c r="B439" s="159"/>
      <c r="C439" s="207"/>
      <c r="D439" s="161"/>
    </row>
    <row r="440" spans="2:4">
      <c r="B440" s="159"/>
      <c r="C440" s="207"/>
      <c r="D440" s="161"/>
    </row>
    <row r="441" spans="2:4">
      <c r="B441" s="159"/>
      <c r="C441" s="207"/>
      <c r="D441" s="161"/>
    </row>
    <row r="442" spans="2:4">
      <c r="B442" s="159"/>
      <c r="C442" s="207"/>
      <c r="D442" s="161"/>
    </row>
    <row r="443" spans="2:4">
      <c r="B443" s="159"/>
      <c r="C443" s="207"/>
      <c r="D443" s="161"/>
    </row>
    <row r="444" spans="2:4">
      <c r="B444" s="159"/>
      <c r="C444" s="207"/>
      <c r="D444" s="161"/>
    </row>
    <row r="445" spans="2:4">
      <c r="B445" s="159"/>
      <c r="C445" s="207"/>
      <c r="D445" s="161"/>
    </row>
    <row r="446" spans="2:4">
      <c r="B446" s="159"/>
      <c r="C446" s="207"/>
      <c r="D446" s="161"/>
    </row>
    <row r="447" spans="2:4">
      <c r="B447" s="159"/>
      <c r="C447" s="207"/>
      <c r="D447" s="161"/>
    </row>
    <row r="448" spans="2:4">
      <c r="B448" s="159"/>
      <c r="C448" s="207"/>
      <c r="D448" s="161"/>
    </row>
    <row r="449" spans="2:4">
      <c r="B449" s="159"/>
      <c r="C449" s="207"/>
      <c r="D449" s="161"/>
    </row>
    <row r="450" spans="2:4">
      <c r="B450" s="159"/>
      <c r="C450" s="207"/>
      <c r="D450" s="161"/>
    </row>
    <row r="451" spans="2:4">
      <c r="B451" s="159"/>
      <c r="C451" s="207"/>
      <c r="D451" s="161"/>
    </row>
    <row r="452" spans="2:4">
      <c r="B452" s="159"/>
      <c r="C452" s="207"/>
      <c r="D452" s="161"/>
    </row>
    <row r="453" spans="2:4">
      <c r="B453" s="159"/>
      <c r="C453" s="207"/>
      <c r="D453" s="161"/>
    </row>
    <row r="454" spans="2:4">
      <c r="B454" s="159"/>
      <c r="C454" s="207"/>
      <c r="D454" s="161"/>
    </row>
    <row r="455" spans="2:4">
      <c r="B455" s="159"/>
      <c r="C455" s="207"/>
      <c r="D455" s="161"/>
    </row>
    <row r="456" spans="2:4">
      <c r="B456" s="159"/>
      <c r="C456" s="207"/>
      <c r="D456" s="161"/>
    </row>
    <row r="457" spans="2:4">
      <c r="B457" s="159"/>
      <c r="C457" s="207"/>
      <c r="D457" s="161"/>
    </row>
    <row r="458" spans="2:4">
      <c r="B458" s="159"/>
      <c r="C458" s="207"/>
      <c r="D458" s="161"/>
    </row>
    <row r="459" spans="2:4">
      <c r="B459" s="159"/>
      <c r="C459" s="207"/>
      <c r="D459" s="161"/>
    </row>
    <row r="460" spans="2:4">
      <c r="B460" s="159"/>
      <c r="C460" s="207"/>
      <c r="D460" s="161"/>
    </row>
    <row r="461" spans="2:4">
      <c r="B461" s="159"/>
      <c r="C461" s="207"/>
      <c r="D461" s="161"/>
    </row>
    <row r="462" spans="2:4">
      <c r="B462" s="159"/>
      <c r="C462" s="207"/>
      <c r="D462" s="161"/>
    </row>
    <row r="463" spans="2:4">
      <c r="B463" s="159"/>
      <c r="C463" s="207"/>
      <c r="D463" s="161"/>
    </row>
    <row r="464" spans="2:4">
      <c r="B464" s="159"/>
      <c r="C464" s="207"/>
      <c r="D464" s="161"/>
    </row>
    <row r="465" spans="2:4">
      <c r="B465" s="159"/>
      <c r="C465" s="207"/>
      <c r="D465" s="161"/>
    </row>
    <row r="466" spans="2:4">
      <c r="B466" s="159"/>
      <c r="C466" s="207"/>
      <c r="D466" s="161"/>
    </row>
    <row r="467" spans="2:4">
      <c r="B467" s="159"/>
      <c r="C467" s="207"/>
      <c r="D467" s="161"/>
    </row>
    <row r="468" spans="2:4">
      <c r="B468" s="159"/>
      <c r="C468" s="207"/>
      <c r="D468" s="161"/>
    </row>
    <row r="469" spans="2:4">
      <c r="B469" s="159"/>
      <c r="C469" s="207"/>
      <c r="D469" s="161"/>
    </row>
    <row r="470" spans="2:4">
      <c r="B470" s="159"/>
      <c r="C470" s="207"/>
      <c r="D470" s="161"/>
    </row>
    <row r="471" spans="2:4">
      <c r="B471" s="159"/>
      <c r="C471" s="207"/>
      <c r="D471" s="161"/>
    </row>
    <row r="472" spans="2:4">
      <c r="B472" s="159"/>
      <c r="C472" s="207"/>
      <c r="D472" s="161"/>
    </row>
    <row r="473" spans="2:4">
      <c r="B473" s="159"/>
      <c r="C473" s="207"/>
      <c r="D473" s="161"/>
    </row>
    <row r="474" spans="2:4">
      <c r="B474" s="159"/>
      <c r="C474" s="207"/>
      <c r="D474" s="161"/>
    </row>
    <row r="475" spans="2:4">
      <c r="B475" s="159"/>
      <c r="C475" s="207"/>
      <c r="D475" s="161"/>
    </row>
    <row r="476" spans="2:4">
      <c r="B476" s="159"/>
      <c r="C476" s="207"/>
      <c r="D476" s="161"/>
    </row>
    <row r="477" spans="2:4">
      <c r="B477" s="159"/>
      <c r="C477" s="207"/>
      <c r="D477" s="161"/>
    </row>
    <row r="478" spans="2:4">
      <c r="B478" s="159"/>
      <c r="C478" s="207"/>
      <c r="D478" s="161"/>
    </row>
    <row r="479" spans="2:4">
      <c r="B479" s="159"/>
      <c r="C479" s="207"/>
      <c r="D479" s="161"/>
    </row>
    <row r="480" spans="2:4">
      <c r="B480" s="159"/>
      <c r="C480" s="207"/>
      <c r="D480" s="161"/>
    </row>
    <row r="481" spans="2:4">
      <c r="B481" s="159"/>
      <c r="C481" s="207"/>
      <c r="D481" s="161"/>
    </row>
    <row r="482" spans="2:4">
      <c r="B482" s="159"/>
      <c r="C482" s="207"/>
      <c r="D482" s="161"/>
    </row>
    <row r="483" spans="2:4">
      <c r="B483" s="159"/>
      <c r="C483" s="207"/>
      <c r="D483" s="161"/>
    </row>
    <row r="484" spans="2:4">
      <c r="B484" s="159"/>
      <c r="C484" s="207"/>
      <c r="D484" s="161"/>
    </row>
    <row r="485" spans="2:4">
      <c r="B485" s="159"/>
      <c r="C485" s="207"/>
      <c r="D485" s="161"/>
    </row>
    <row r="486" spans="2:4">
      <c r="B486" s="159"/>
      <c r="C486" s="207"/>
      <c r="D486" s="161"/>
    </row>
    <row r="487" spans="2:4">
      <c r="B487" s="159"/>
      <c r="C487" s="207"/>
      <c r="D487" s="161"/>
    </row>
    <row r="488" spans="2:4">
      <c r="B488" s="159"/>
      <c r="C488" s="207"/>
      <c r="D488" s="161"/>
    </row>
    <row r="489" spans="2:4">
      <c r="B489" s="159"/>
      <c r="C489" s="207"/>
      <c r="D489" s="161"/>
    </row>
    <row r="490" spans="2:4">
      <c r="B490" s="159"/>
      <c r="C490" s="207"/>
      <c r="D490" s="161"/>
    </row>
    <row r="491" spans="2:4">
      <c r="B491" s="159"/>
      <c r="C491" s="207"/>
      <c r="D491" s="161"/>
    </row>
    <row r="492" spans="2:4">
      <c r="B492" s="159"/>
      <c r="C492" s="207"/>
      <c r="D492" s="161"/>
    </row>
    <row r="493" spans="2:4">
      <c r="B493" s="159"/>
      <c r="C493" s="207"/>
      <c r="D493" s="161"/>
    </row>
    <row r="494" spans="2:4">
      <c r="B494" s="159"/>
      <c r="C494" s="207"/>
      <c r="D494" s="161"/>
    </row>
    <row r="495" spans="2:4">
      <c r="B495" s="159"/>
      <c r="C495" s="207"/>
      <c r="D495" s="161"/>
    </row>
    <row r="496" spans="2:4">
      <c r="B496" s="159"/>
      <c r="C496" s="207"/>
      <c r="D496" s="161"/>
    </row>
    <row r="497" spans="2:4">
      <c r="B497" s="159"/>
      <c r="C497" s="207"/>
      <c r="D497" s="161"/>
    </row>
    <row r="498" spans="2:4">
      <c r="B498" s="159"/>
      <c r="C498" s="207"/>
      <c r="D498" s="161"/>
    </row>
    <row r="499" spans="2:4">
      <c r="B499" s="159"/>
      <c r="C499" s="207"/>
      <c r="D499" s="161"/>
    </row>
    <row r="500" spans="2:4">
      <c r="B500" s="159"/>
      <c r="C500" s="207"/>
      <c r="D500" s="161"/>
    </row>
    <row r="501" spans="2:4">
      <c r="B501" s="159"/>
      <c r="C501" s="207"/>
      <c r="D501" s="161"/>
    </row>
    <row r="502" spans="2:4">
      <c r="B502" s="159"/>
      <c r="C502" s="207"/>
      <c r="D502" s="161"/>
    </row>
    <row r="503" spans="2:4">
      <c r="B503" s="159"/>
      <c r="C503" s="207"/>
      <c r="D503" s="161"/>
    </row>
    <row r="504" spans="2:4">
      <c r="B504" s="159"/>
      <c r="C504" s="207"/>
      <c r="D504" s="161"/>
    </row>
    <row r="505" spans="2:4">
      <c r="B505" s="159"/>
      <c r="C505" s="207"/>
      <c r="D505" s="161"/>
    </row>
    <row r="506" spans="2:4">
      <c r="B506" s="159"/>
      <c r="C506" s="207"/>
      <c r="D506" s="161"/>
    </row>
    <row r="507" spans="2:4">
      <c r="B507" s="159"/>
      <c r="C507" s="207"/>
      <c r="D507" s="161"/>
    </row>
    <row r="508" spans="2:4">
      <c r="B508" s="159"/>
      <c r="C508" s="207"/>
      <c r="D508" s="161"/>
    </row>
    <row r="509" spans="2:4">
      <c r="B509" s="159"/>
      <c r="C509" s="207"/>
      <c r="D509" s="161"/>
    </row>
    <row r="510" spans="2:4">
      <c r="B510" s="159"/>
      <c r="C510" s="207"/>
      <c r="D510" s="161"/>
    </row>
    <row r="511" spans="2:4">
      <c r="B511" s="159"/>
      <c r="C511" s="207"/>
      <c r="D511" s="161"/>
    </row>
    <row r="512" spans="2:4">
      <c r="B512" s="159"/>
      <c r="C512" s="207"/>
      <c r="D512" s="161"/>
    </row>
    <row r="513" spans="2:4">
      <c r="B513" s="159"/>
      <c r="C513" s="207"/>
      <c r="D513" s="161"/>
    </row>
    <row r="514" spans="2:4">
      <c r="B514" s="159"/>
      <c r="C514" s="207"/>
      <c r="D514" s="161"/>
    </row>
    <row r="515" spans="2:4">
      <c r="B515" s="159"/>
      <c r="C515" s="207"/>
      <c r="D515" s="161"/>
    </row>
    <row r="516" spans="2:4">
      <c r="B516" s="159"/>
      <c r="C516" s="207"/>
      <c r="D516" s="161"/>
    </row>
    <row r="517" spans="2:4">
      <c r="B517" s="159"/>
      <c r="C517" s="207"/>
      <c r="D517" s="161"/>
    </row>
    <row r="518" spans="2:4">
      <c r="B518" s="159"/>
      <c r="C518" s="207"/>
      <c r="D518" s="161"/>
    </row>
    <row r="519" spans="2:4">
      <c r="B519" s="159"/>
      <c r="C519" s="207"/>
      <c r="D519" s="161"/>
    </row>
    <row r="520" spans="2:4">
      <c r="B520" s="159"/>
      <c r="C520" s="207"/>
      <c r="D520" s="161"/>
    </row>
    <row r="521" spans="2:4">
      <c r="B521" s="159"/>
      <c r="C521" s="207"/>
      <c r="D521" s="161"/>
    </row>
    <row r="522" spans="2:4">
      <c r="B522" s="159"/>
      <c r="C522" s="207"/>
      <c r="D522" s="161"/>
    </row>
    <row r="523" spans="2:4">
      <c r="B523" s="159"/>
      <c r="C523" s="207"/>
      <c r="D523" s="161"/>
    </row>
    <row r="524" spans="2:4">
      <c r="B524" s="159"/>
      <c r="C524" s="207"/>
      <c r="D524" s="161"/>
    </row>
    <row r="525" spans="2:4">
      <c r="B525" s="159"/>
      <c r="C525" s="207"/>
      <c r="D525" s="161"/>
    </row>
    <row r="526" spans="2:4">
      <c r="B526" s="159"/>
      <c r="C526" s="207"/>
      <c r="D526" s="161"/>
    </row>
    <row r="527" spans="2:4">
      <c r="B527" s="159"/>
      <c r="C527" s="207"/>
      <c r="D527" s="161"/>
    </row>
    <row r="528" spans="2:4">
      <c r="B528" s="159"/>
      <c r="C528" s="207"/>
      <c r="D528" s="161"/>
    </row>
    <row r="529" spans="2:4">
      <c r="B529" s="159"/>
      <c r="C529" s="207"/>
      <c r="D529" s="161"/>
    </row>
    <row r="530" spans="2:4">
      <c r="B530" s="159"/>
      <c r="C530" s="207"/>
      <c r="D530" s="161"/>
    </row>
    <row r="531" spans="2:4">
      <c r="B531" s="159"/>
      <c r="C531" s="207"/>
      <c r="D531" s="161"/>
    </row>
    <row r="532" spans="2:4">
      <c r="B532" s="159"/>
      <c r="C532" s="207"/>
      <c r="D532" s="161"/>
    </row>
    <row r="533" spans="2:4">
      <c r="B533" s="159"/>
      <c r="C533" s="207"/>
      <c r="D533" s="161"/>
    </row>
    <row r="534" spans="2:4">
      <c r="B534" s="159"/>
      <c r="C534" s="207"/>
      <c r="D534" s="161"/>
    </row>
    <row r="535" spans="2:4">
      <c r="B535" s="159"/>
      <c r="C535" s="207"/>
      <c r="D535" s="161"/>
    </row>
    <row r="536" spans="2:4">
      <c r="B536" s="159"/>
      <c r="C536" s="207"/>
      <c r="D536" s="161"/>
    </row>
    <row r="537" spans="2:4">
      <c r="B537" s="159"/>
      <c r="C537" s="207"/>
      <c r="D537" s="161"/>
    </row>
    <row r="538" spans="2:4">
      <c r="B538" s="159"/>
      <c r="C538" s="207"/>
      <c r="D538" s="161"/>
    </row>
    <row r="539" spans="2:4">
      <c r="B539" s="159"/>
      <c r="C539" s="207"/>
      <c r="D539" s="161"/>
    </row>
    <row r="540" spans="2:4">
      <c r="B540" s="159"/>
      <c r="C540" s="207"/>
      <c r="D540" s="161"/>
    </row>
    <row r="541" spans="2:4">
      <c r="B541" s="159"/>
      <c r="C541" s="207"/>
      <c r="D541" s="161"/>
    </row>
    <row r="542" spans="2:4">
      <c r="B542" s="159"/>
      <c r="C542" s="207"/>
      <c r="D542" s="161"/>
    </row>
    <row r="543" spans="2:4">
      <c r="B543" s="159"/>
      <c r="C543" s="207"/>
      <c r="D543" s="161"/>
    </row>
    <row r="544" spans="2:4">
      <c r="B544" s="159"/>
      <c r="C544" s="207"/>
      <c r="D544" s="161"/>
    </row>
    <row r="545" spans="2:4">
      <c r="B545" s="159"/>
      <c r="C545" s="207"/>
      <c r="D545" s="161"/>
    </row>
    <row r="546" spans="2:4">
      <c r="B546" s="159"/>
      <c r="C546" s="207"/>
      <c r="D546" s="161"/>
    </row>
    <row r="547" spans="2:4">
      <c r="B547" s="159"/>
      <c r="C547" s="207"/>
      <c r="D547" s="161"/>
    </row>
    <row r="548" spans="2:4">
      <c r="B548" s="159"/>
      <c r="C548" s="207"/>
      <c r="D548" s="161"/>
    </row>
    <row r="549" spans="2:4">
      <c r="B549" s="159"/>
      <c r="C549" s="207"/>
      <c r="D549" s="161"/>
    </row>
    <row r="550" spans="2:4">
      <c r="B550" s="159"/>
      <c r="C550" s="207"/>
      <c r="D550" s="161"/>
    </row>
    <row r="551" spans="2:4">
      <c r="B551" s="159"/>
      <c r="C551" s="207"/>
      <c r="D551" s="161"/>
    </row>
    <row r="552" spans="2:4">
      <c r="B552" s="159"/>
      <c r="C552" s="207"/>
      <c r="D552" s="161"/>
    </row>
    <row r="553" spans="2:4">
      <c r="B553" s="159"/>
      <c r="C553" s="207"/>
      <c r="D553" s="161"/>
    </row>
    <row r="554" spans="2:4">
      <c r="B554" s="159"/>
      <c r="C554" s="207"/>
      <c r="D554" s="161"/>
    </row>
    <row r="555" spans="2:4">
      <c r="B555" s="159"/>
      <c r="C555" s="207"/>
      <c r="D555" s="161"/>
    </row>
    <row r="556" spans="2:4">
      <c r="B556" s="159"/>
      <c r="C556" s="207"/>
      <c r="D556" s="161"/>
    </row>
    <row r="557" spans="2:4">
      <c r="B557" s="159"/>
      <c r="C557" s="207"/>
      <c r="D557" s="161"/>
    </row>
    <row r="558" spans="2:4">
      <c r="B558" s="159"/>
      <c r="C558" s="207"/>
      <c r="D558" s="161"/>
    </row>
    <row r="559" spans="2:4">
      <c r="B559" s="159"/>
      <c r="C559" s="207"/>
      <c r="D559" s="161"/>
    </row>
    <row r="560" spans="2:4">
      <c r="B560" s="159"/>
      <c r="C560" s="207"/>
      <c r="D560" s="161"/>
    </row>
    <row r="561" spans="2:4">
      <c r="B561" s="159"/>
      <c r="C561" s="207"/>
      <c r="D561" s="161"/>
    </row>
    <row r="562" spans="2:4">
      <c r="B562" s="159"/>
      <c r="C562" s="207"/>
      <c r="D562" s="161"/>
    </row>
    <row r="563" spans="2:4">
      <c r="B563" s="159"/>
      <c r="C563" s="207"/>
      <c r="D563" s="161"/>
    </row>
    <row r="564" spans="2:4">
      <c r="B564" s="159"/>
      <c r="C564" s="207"/>
      <c r="D564" s="161"/>
    </row>
    <row r="565" spans="2:4">
      <c r="B565" s="159"/>
      <c r="C565" s="207"/>
      <c r="D565" s="161"/>
    </row>
    <row r="566" spans="2:4">
      <c r="B566" s="159"/>
      <c r="C566" s="207"/>
      <c r="D566" s="161"/>
    </row>
    <row r="567" spans="2:4">
      <c r="B567" s="159"/>
      <c r="C567" s="207"/>
      <c r="D567" s="161"/>
    </row>
    <row r="568" spans="2:4">
      <c r="B568" s="159"/>
      <c r="C568" s="207"/>
      <c r="D568" s="161"/>
    </row>
    <row r="569" spans="2:4">
      <c r="B569" s="159"/>
      <c r="C569" s="207"/>
      <c r="D569" s="161"/>
    </row>
    <row r="570" spans="2:4">
      <c r="B570" s="159"/>
      <c r="C570" s="207"/>
      <c r="D570" s="161"/>
    </row>
    <row r="571" spans="2:4">
      <c r="B571" s="159"/>
      <c r="C571" s="207"/>
      <c r="D571" s="161"/>
    </row>
    <row r="572" spans="2:4">
      <c r="B572" s="159"/>
      <c r="C572" s="207"/>
      <c r="D572" s="161"/>
    </row>
    <row r="573" spans="2:4">
      <c r="B573" s="159"/>
      <c r="C573" s="207"/>
      <c r="D573" s="161"/>
    </row>
    <row r="574" spans="2:4">
      <c r="B574" s="159"/>
      <c r="C574" s="207"/>
      <c r="D574" s="161"/>
    </row>
    <row r="575" spans="2:4">
      <c r="B575" s="159"/>
      <c r="C575" s="207"/>
      <c r="D575" s="161"/>
    </row>
    <row r="576" spans="2:4">
      <c r="B576" s="159"/>
      <c r="C576" s="207"/>
      <c r="D576" s="161"/>
    </row>
    <row r="577" spans="2:4">
      <c r="B577" s="159"/>
      <c r="C577" s="207"/>
      <c r="D577" s="161"/>
    </row>
    <row r="578" spans="2:4">
      <c r="B578" s="159"/>
      <c r="C578" s="207"/>
      <c r="D578" s="161"/>
    </row>
    <row r="579" spans="2:4">
      <c r="B579" s="159"/>
      <c r="C579" s="207"/>
      <c r="D579" s="161"/>
    </row>
    <row r="580" spans="2:4">
      <c r="B580" s="159"/>
      <c r="C580" s="207"/>
      <c r="D580" s="161"/>
    </row>
    <row r="581" spans="2:4">
      <c r="B581" s="159"/>
      <c r="C581" s="207"/>
      <c r="D581" s="161"/>
    </row>
    <row r="582" spans="2:4">
      <c r="B582" s="159"/>
      <c r="C582" s="207"/>
      <c r="D582" s="161"/>
    </row>
    <row r="583" spans="2:4">
      <c r="B583" s="159"/>
      <c r="C583" s="207"/>
      <c r="D583" s="161"/>
    </row>
    <row r="584" spans="2:4">
      <c r="B584" s="159"/>
      <c r="C584" s="207"/>
      <c r="D584" s="161"/>
    </row>
    <row r="585" spans="2:4">
      <c r="B585" s="159"/>
      <c r="C585" s="207"/>
      <c r="D585" s="161"/>
    </row>
    <row r="586" spans="2:4">
      <c r="B586" s="159"/>
      <c r="C586" s="207"/>
      <c r="D586" s="161"/>
    </row>
    <row r="587" spans="2:4">
      <c r="B587" s="159"/>
      <c r="C587" s="207"/>
      <c r="D587" s="161"/>
    </row>
    <row r="588" spans="2:4">
      <c r="B588" s="159"/>
      <c r="C588" s="207"/>
      <c r="D588" s="161"/>
    </row>
    <row r="589" spans="2:4">
      <c r="B589" s="159"/>
      <c r="C589" s="207"/>
      <c r="D589" s="161"/>
    </row>
    <row r="590" spans="2:4">
      <c r="B590" s="159"/>
      <c r="C590" s="207"/>
      <c r="D590" s="161"/>
    </row>
    <row r="591" spans="2:4">
      <c r="B591" s="159"/>
      <c r="C591" s="207"/>
      <c r="D591" s="161"/>
    </row>
    <row r="592" spans="2:4">
      <c r="B592" s="159"/>
      <c r="C592" s="207"/>
      <c r="D592" s="161"/>
    </row>
    <row r="593" spans="2:4">
      <c r="B593" s="159"/>
      <c r="C593" s="207"/>
      <c r="D593" s="161"/>
    </row>
    <row r="594" spans="2:4">
      <c r="B594" s="159"/>
      <c r="C594" s="207"/>
      <c r="D594" s="161"/>
    </row>
    <row r="595" spans="2:4">
      <c r="B595" s="159"/>
      <c r="C595" s="207"/>
      <c r="D595" s="161"/>
    </row>
    <row r="596" spans="2:4">
      <c r="B596" s="159"/>
      <c r="C596" s="207"/>
      <c r="D596" s="161"/>
    </row>
    <row r="597" spans="2:4">
      <c r="B597" s="159"/>
      <c r="C597" s="207"/>
      <c r="D597" s="161"/>
    </row>
    <row r="598" spans="2:4">
      <c r="B598" s="159"/>
      <c r="C598" s="207"/>
      <c r="D598" s="161"/>
    </row>
    <row r="599" spans="2:4">
      <c r="B599" s="159"/>
      <c r="C599" s="207"/>
      <c r="D599" s="161"/>
    </row>
    <row r="600" spans="2:4">
      <c r="B600" s="159"/>
      <c r="C600" s="207"/>
      <c r="D600" s="161"/>
    </row>
    <row r="601" spans="2:4">
      <c r="B601" s="159"/>
      <c r="C601" s="207"/>
      <c r="D601" s="161"/>
    </row>
    <row r="602" spans="2:4">
      <c r="B602" s="159"/>
      <c r="C602" s="207"/>
      <c r="D602" s="161"/>
    </row>
    <row r="603" spans="2:4">
      <c r="B603" s="159"/>
      <c r="C603" s="207"/>
      <c r="D603" s="161"/>
    </row>
    <row r="604" spans="2:4">
      <c r="B604" s="159"/>
      <c r="C604" s="207"/>
      <c r="D604" s="161"/>
    </row>
    <row r="605" spans="2:4">
      <c r="B605" s="159"/>
      <c r="C605" s="207"/>
      <c r="D605" s="161"/>
    </row>
    <row r="606" spans="2:4">
      <c r="B606" s="159"/>
      <c r="C606" s="207"/>
      <c r="D606" s="161"/>
    </row>
    <row r="607" spans="2:4">
      <c r="B607" s="159"/>
      <c r="C607" s="207"/>
      <c r="D607" s="161"/>
    </row>
    <row r="608" spans="2:4">
      <c r="B608" s="159"/>
      <c r="C608" s="207"/>
      <c r="D608" s="161"/>
    </row>
    <row r="609" spans="2:4">
      <c r="B609" s="159"/>
      <c r="C609" s="207"/>
      <c r="D609" s="161"/>
    </row>
    <row r="610" spans="2:4">
      <c r="B610" s="159"/>
      <c r="C610" s="207"/>
      <c r="D610" s="161"/>
    </row>
    <row r="611" spans="2:4">
      <c r="B611" s="159"/>
      <c r="C611" s="207"/>
      <c r="D611" s="161"/>
    </row>
    <row r="612" spans="2:4">
      <c r="B612" s="159"/>
      <c r="C612" s="207"/>
      <c r="D612" s="161"/>
    </row>
    <row r="613" spans="2:4">
      <c r="B613" s="159"/>
      <c r="C613" s="207"/>
      <c r="D613" s="161"/>
    </row>
    <row r="614" spans="2:4">
      <c r="B614" s="159"/>
      <c r="C614" s="207"/>
      <c r="D614" s="161"/>
    </row>
    <row r="615" spans="2:4">
      <c r="B615" s="159"/>
      <c r="C615" s="207"/>
      <c r="D615" s="161"/>
    </row>
    <row r="616" spans="2:4">
      <c r="B616" s="159"/>
      <c r="C616" s="207"/>
      <c r="D616" s="161"/>
    </row>
    <row r="617" spans="2:4">
      <c r="B617" s="159"/>
      <c r="C617" s="207"/>
      <c r="D617" s="161"/>
    </row>
    <row r="618" spans="2:4">
      <c r="B618" s="159"/>
      <c r="C618" s="207"/>
      <c r="D618" s="161"/>
    </row>
    <row r="619" spans="2:4">
      <c r="B619" s="159"/>
      <c r="C619" s="207"/>
      <c r="D619" s="161"/>
    </row>
    <row r="620" spans="2:4">
      <c r="B620" s="159"/>
      <c r="C620" s="207"/>
      <c r="D620" s="161"/>
    </row>
    <row r="621" spans="2:4">
      <c r="B621" s="159"/>
      <c r="C621" s="207"/>
      <c r="D621" s="161"/>
    </row>
    <row r="622" spans="2:4">
      <c r="B622" s="159"/>
      <c r="C622" s="207"/>
      <c r="D622" s="161"/>
    </row>
    <row r="623" spans="2:4">
      <c r="B623" s="159"/>
      <c r="C623" s="207"/>
      <c r="D623" s="161"/>
    </row>
    <row r="624" spans="2:4">
      <c r="B624" s="159"/>
      <c r="C624" s="207"/>
      <c r="D624" s="161"/>
    </row>
    <row r="625" spans="2:4">
      <c r="B625" s="159"/>
      <c r="C625" s="207"/>
      <c r="D625" s="161"/>
    </row>
    <row r="626" spans="2:4">
      <c r="B626" s="159"/>
      <c r="C626" s="207"/>
      <c r="D626" s="161"/>
    </row>
    <row r="627" spans="2:4">
      <c r="B627" s="159"/>
      <c r="C627" s="207"/>
      <c r="D627" s="161"/>
    </row>
    <row r="628" spans="2:4">
      <c r="B628" s="159"/>
      <c r="C628" s="207"/>
      <c r="D628" s="161"/>
    </row>
    <row r="629" spans="2:4">
      <c r="B629" s="159"/>
      <c r="C629" s="207"/>
      <c r="D629" s="161"/>
    </row>
    <row r="630" spans="2:4">
      <c r="B630" s="159"/>
      <c r="C630" s="207"/>
      <c r="D630" s="161"/>
    </row>
    <row r="631" spans="2:4">
      <c r="B631" s="159"/>
      <c r="C631" s="207"/>
      <c r="D631" s="161"/>
    </row>
    <row r="632" spans="2:4">
      <c r="B632" s="159"/>
      <c r="C632" s="207"/>
      <c r="D632" s="161"/>
    </row>
    <row r="633" spans="2:4">
      <c r="B633" s="159"/>
      <c r="C633" s="207"/>
      <c r="D633" s="161"/>
    </row>
    <row r="634" spans="2:4">
      <c r="B634" s="159"/>
      <c r="C634" s="207"/>
      <c r="D634" s="161"/>
    </row>
    <row r="635" spans="2:4">
      <c r="B635" s="159"/>
      <c r="C635" s="207"/>
      <c r="D635" s="161"/>
    </row>
    <row r="636" spans="2:4">
      <c r="B636" s="159"/>
      <c r="C636" s="207"/>
      <c r="D636" s="161"/>
    </row>
    <row r="637" spans="2:4">
      <c r="B637" s="159"/>
      <c r="C637" s="207"/>
      <c r="D637" s="161"/>
    </row>
    <row r="638" spans="2:4">
      <c r="B638" s="159"/>
      <c r="C638" s="207"/>
      <c r="D638" s="161"/>
    </row>
    <row r="639" spans="2:4">
      <c r="B639" s="159"/>
      <c r="C639" s="207"/>
      <c r="D639" s="161"/>
    </row>
    <row r="640" spans="2:4">
      <c r="B640" s="159"/>
      <c r="C640" s="207"/>
      <c r="D640" s="161"/>
    </row>
    <row r="641" spans="2:4">
      <c r="B641" s="159"/>
      <c r="C641" s="207"/>
      <c r="D641" s="161"/>
    </row>
    <row r="642" spans="2:4">
      <c r="B642" s="159"/>
      <c r="C642" s="207"/>
      <c r="D642" s="161"/>
    </row>
    <row r="643" spans="2:4">
      <c r="B643" s="159"/>
      <c r="C643" s="207"/>
      <c r="D643" s="161"/>
    </row>
    <row r="644" spans="2:4">
      <c r="B644" s="159"/>
      <c r="C644" s="207"/>
      <c r="D644" s="161"/>
    </row>
    <row r="645" spans="2:4">
      <c r="B645" s="159"/>
      <c r="C645" s="207"/>
      <c r="D645" s="161"/>
    </row>
    <row r="646" spans="2:4">
      <c r="B646" s="159"/>
      <c r="C646" s="207"/>
      <c r="D646" s="161"/>
    </row>
    <row r="647" spans="2:4">
      <c r="B647" s="159"/>
      <c r="C647" s="207"/>
      <c r="D647" s="161"/>
    </row>
    <row r="648" spans="2:4">
      <c r="B648" s="159"/>
      <c r="C648" s="207"/>
      <c r="D648" s="161"/>
    </row>
    <row r="649" spans="2:4">
      <c r="B649" s="159"/>
      <c r="C649" s="207"/>
      <c r="D649" s="161"/>
    </row>
    <row r="650" spans="2:4">
      <c r="B650" s="159"/>
      <c r="C650" s="207"/>
      <c r="D650" s="161"/>
    </row>
    <row r="651" spans="2:4">
      <c r="B651" s="159"/>
      <c r="C651" s="207"/>
      <c r="D651" s="161"/>
    </row>
    <row r="652" spans="2:4">
      <c r="B652" s="159"/>
      <c r="C652" s="207"/>
      <c r="D652" s="161"/>
    </row>
    <row r="653" spans="2:4">
      <c r="B653" s="159"/>
      <c r="C653" s="207"/>
      <c r="D653" s="161"/>
    </row>
    <row r="654" spans="2:4">
      <c r="B654" s="159"/>
      <c r="C654" s="207"/>
      <c r="D654" s="161"/>
    </row>
    <row r="655" spans="2:4">
      <c r="B655" s="159"/>
      <c r="C655" s="207"/>
      <c r="D655" s="161"/>
    </row>
    <row r="656" spans="2:4">
      <c r="B656" s="159"/>
      <c r="C656" s="207"/>
      <c r="D656" s="161"/>
    </row>
    <row r="657" spans="2:4">
      <c r="B657" s="159"/>
      <c r="C657" s="207"/>
      <c r="D657" s="161"/>
    </row>
    <row r="658" spans="2:4">
      <c r="B658" s="159"/>
      <c r="C658" s="207"/>
      <c r="D658" s="161"/>
    </row>
    <row r="659" spans="2:4">
      <c r="B659" s="159"/>
      <c r="C659" s="207"/>
      <c r="D659" s="161"/>
    </row>
    <row r="660" spans="2:4">
      <c r="B660" s="159"/>
      <c r="C660" s="207"/>
      <c r="D660" s="161"/>
    </row>
    <row r="661" spans="2:4">
      <c r="B661" s="159"/>
      <c r="C661" s="207"/>
      <c r="D661" s="161"/>
    </row>
    <row r="662" spans="2:4">
      <c r="B662" s="159"/>
      <c r="C662" s="207"/>
      <c r="D662" s="161"/>
    </row>
    <row r="663" spans="2:4">
      <c r="B663" s="159"/>
      <c r="C663" s="207"/>
      <c r="D663" s="161"/>
    </row>
    <row r="664" spans="2:4">
      <c r="B664" s="159"/>
      <c r="C664" s="207"/>
      <c r="D664" s="161"/>
    </row>
    <row r="665" spans="2:4">
      <c r="B665" s="159"/>
      <c r="C665" s="207"/>
      <c r="D665" s="161"/>
    </row>
    <row r="666" spans="2:4">
      <c r="B666" s="159"/>
      <c r="C666" s="207"/>
      <c r="D666" s="161"/>
    </row>
    <row r="667" spans="2:4">
      <c r="B667" s="159"/>
      <c r="C667" s="207"/>
      <c r="D667" s="161"/>
    </row>
    <row r="668" spans="2:4">
      <c r="B668" s="159"/>
      <c r="C668" s="207"/>
      <c r="D668" s="161"/>
    </row>
    <row r="669" spans="2:4">
      <c r="B669" s="159"/>
      <c r="C669" s="207"/>
      <c r="D669" s="161"/>
    </row>
    <row r="670" spans="2:4">
      <c r="B670" s="159"/>
      <c r="C670" s="207"/>
      <c r="D670" s="161"/>
    </row>
    <row r="671" spans="2:4">
      <c r="B671" s="159"/>
      <c r="C671" s="207"/>
      <c r="D671" s="161"/>
    </row>
    <row r="672" spans="2:4">
      <c r="B672" s="159"/>
      <c r="C672" s="207"/>
      <c r="D672" s="161"/>
    </row>
    <row r="673" spans="2:4">
      <c r="B673" s="159"/>
      <c r="C673" s="207"/>
      <c r="D673" s="161"/>
    </row>
    <row r="674" spans="2:4">
      <c r="B674" s="159"/>
      <c r="C674" s="207"/>
      <c r="D674" s="161"/>
    </row>
    <row r="675" spans="2:4">
      <c r="B675" s="159"/>
      <c r="C675" s="207"/>
      <c r="D675" s="161"/>
    </row>
    <row r="676" spans="2:4">
      <c r="B676" s="159"/>
      <c r="C676" s="207"/>
      <c r="D676" s="161"/>
    </row>
    <row r="677" spans="2:4">
      <c r="B677" s="159"/>
      <c r="C677" s="207"/>
      <c r="D677" s="161"/>
    </row>
    <row r="678" spans="2:4">
      <c r="B678" s="159"/>
      <c r="C678" s="207"/>
      <c r="D678" s="161"/>
    </row>
    <row r="679" spans="2:4">
      <c r="B679" s="159"/>
      <c r="C679" s="207"/>
      <c r="D679" s="161"/>
    </row>
    <row r="680" spans="2:4">
      <c r="B680" s="159"/>
      <c r="C680" s="207"/>
      <c r="D680" s="161"/>
    </row>
    <row r="681" spans="2:4">
      <c r="B681" s="159"/>
      <c r="C681" s="207"/>
      <c r="D681" s="161"/>
    </row>
    <row r="682" spans="2:4">
      <c r="B682" s="159"/>
      <c r="C682" s="207"/>
      <c r="D682" s="161"/>
    </row>
    <row r="683" spans="2:4">
      <c r="B683" s="159"/>
      <c r="C683" s="207"/>
      <c r="D683" s="161"/>
    </row>
    <row r="684" spans="2:4">
      <c r="B684" s="159"/>
      <c r="C684" s="207"/>
      <c r="D684" s="161"/>
    </row>
    <row r="685" spans="2:4">
      <c r="B685" s="159"/>
      <c r="C685" s="207"/>
      <c r="D685" s="161"/>
    </row>
    <row r="686" spans="2:4">
      <c r="B686" s="159"/>
      <c r="C686" s="207"/>
      <c r="D686" s="161"/>
    </row>
    <row r="687" spans="2:4">
      <c r="B687" s="159"/>
      <c r="C687" s="207"/>
      <c r="D687" s="161"/>
    </row>
    <row r="688" spans="2:4">
      <c r="B688" s="159"/>
      <c r="C688" s="207"/>
      <c r="D688" s="161"/>
    </row>
    <row r="689" spans="2:4">
      <c r="B689" s="159"/>
      <c r="C689" s="207"/>
      <c r="D689" s="161"/>
    </row>
    <row r="690" spans="2:4">
      <c r="B690" s="159"/>
      <c r="C690" s="207"/>
      <c r="D690" s="161"/>
    </row>
    <row r="691" spans="2:4">
      <c r="B691" s="159"/>
      <c r="C691" s="207"/>
      <c r="D691" s="161"/>
    </row>
    <row r="692" spans="2:4">
      <c r="B692" s="159"/>
      <c r="C692" s="207"/>
      <c r="D692" s="161"/>
    </row>
    <row r="693" spans="2:4">
      <c r="B693" s="159"/>
      <c r="C693" s="207"/>
      <c r="D693" s="161"/>
    </row>
    <row r="694" spans="2:4">
      <c r="B694" s="159"/>
      <c r="C694" s="207"/>
      <c r="D694" s="161"/>
    </row>
    <row r="695" spans="2:4">
      <c r="B695" s="159"/>
      <c r="C695" s="207"/>
      <c r="D695" s="161"/>
    </row>
    <row r="696" spans="2:4">
      <c r="B696" s="159"/>
      <c r="C696" s="207"/>
      <c r="D696" s="161"/>
    </row>
    <row r="697" spans="2:4">
      <c r="B697" s="159"/>
      <c r="C697" s="207"/>
      <c r="D697" s="161"/>
    </row>
    <row r="698" spans="2:4">
      <c r="B698" s="159"/>
      <c r="C698" s="207"/>
      <c r="D698" s="161"/>
    </row>
    <row r="699" spans="2:4">
      <c r="B699" s="159"/>
      <c r="C699" s="207"/>
      <c r="D699" s="161"/>
    </row>
    <row r="700" spans="2:4">
      <c r="B700" s="159"/>
      <c r="C700" s="207"/>
      <c r="D700" s="161"/>
    </row>
    <row r="701" spans="2:4">
      <c r="B701" s="159"/>
      <c r="C701" s="207"/>
      <c r="D701" s="161"/>
    </row>
    <row r="702" spans="2:4">
      <c r="B702" s="159"/>
      <c r="C702" s="207"/>
      <c r="D702" s="161"/>
    </row>
    <row r="703" spans="2:4">
      <c r="B703" s="159"/>
      <c r="C703" s="207"/>
      <c r="D703" s="161"/>
    </row>
    <row r="704" spans="2:4">
      <c r="B704" s="159"/>
      <c r="C704" s="207"/>
      <c r="D704" s="161"/>
    </row>
    <row r="705" spans="2:4">
      <c r="B705" s="159"/>
      <c r="C705" s="207"/>
      <c r="D705" s="161"/>
    </row>
    <row r="706" spans="2:4">
      <c r="B706" s="159"/>
      <c r="C706" s="207"/>
      <c r="D706" s="161"/>
    </row>
    <row r="707" spans="2:4">
      <c r="B707" s="159"/>
      <c r="C707" s="207"/>
      <c r="D707" s="161"/>
    </row>
    <row r="708" spans="2:4">
      <c r="B708" s="159"/>
      <c r="C708" s="207"/>
      <c r="D708" s="161"/>
    </row>
    <row r="709" spans="2:4">
      <c r="B709" s="159"/>
      <c r="C709" s="207"/>
      <c r="D709" s="161"/>
    </row>
    <row r="710" spans="2:4">
      <c r="B710" s="159"/>
      <c r="C710" s="207"/>
      <c r="D710" s="161"/>
    </row>
    <row r="711" spans="2:4">
      <c r="B711" s="159"/>
      <c r="C711" s="207"/>
      <c r="D711" s="161"/>
    </row>
    <row r="712" spans="2:4">
      <c r="B712" s="159"/>
      <c r="C712" s="207"/>
      <c r="D712" s="161"/>
    </row>
    <row r="713" spans="2:4">
      <c r="B713" s="159"/>
      <c r="C713" s="207"/>
      <c r="D713" s="161"/>
    </row>
    <row r="714" spans="2:4">
      <c r="B714" s="159"/>
      <c r="C714" s="207"/>
      <c r="D714" s="161"/>
    </row>
    <row r="715" spans="2:4">
      <c r="B715" s="159"/>
      <c r="C715" s="207"/>
      <c r="D715" s="161"/>
    </row>
    <row r="716" spans="2:4">
      <c r="B716" s="159"/>
      <c r="C716" s="207"/>
      <c r="D716" s="161"/>
    </row>
    <row r="717" spans="2:4">
      <c r="B717" s="159"/>
      <c r="C717" s="207"/>
      <c r="D717" s="161"/>
    </row>
    <row r="718" spans="2:4">
      <c r="B718" s="159"/>
      <c r="C718" s="207"/>
      <c r="D718" s="161"/>
    </row>
    <row r="719" spans="2:4">
      <c r="B719" s="159"/>
      <c r="C719" s="207"/>
      <c r="D719" s="161"/>
    </row>
    <row r="720" spans="2:4">
      <c r="B720" s="159"/>
      <c r="C720" s="207"/>
      <c r="D720" s="161"/>
    </row>
    <row r="721" spans="2:4">
      <c r="B721" s="159"/>
      <c r="C721" s="207"/>
      <c r="D721" s="161"/>
    </row>
    <row r="722" spans="2:4">
      <c r="B722" s="159"/>
      <c r="C722" s="207"/>
      <c r="D722" s="161"/>
    </row>
    <row r="723" spans="2:4">
      <c r="B723" s="159"/>
      <c r="C723" s="207"/>
      <c r="D723" s="161"/>
    </row>
    <row r="724" spans="2:4">
      <c r="B724" s="159"/>
      <c r="C724" s="207"/>
      <c r="D724" s="161"/>
    </row>
    <row r="725" spans="2:4">
      <c r="B725" s="159"/>
      <c r="C725" s="207"/>
      <c r="D725" s="161"/>
    </row>
    <row r="726" spans="2:4">
      <c r="B726" s="159"/>
      <c r="C726" s="207"/>
      <c r="D726" s="161"/>
    </row>
    <row r="727" spans="2:4">
      <c r="B727" s="159"/>
      <c r="C727" s="207"/>
      <c r="D727" s="161"/>
    </row>
    <row r="728" spans="2:4">
      <c r="B728" s="159"/>
      <c r="C728" s="207"/>
      <c r="D728" s="161"/>
    </row>
    <row r="729" spans="2:4">
      <c r="B729" s="159"/>
      <c r="C729" s="207"/>
      <c r="D729" s="161"/>
    </row>
    <row r="730" spans="2:4">
      <c r="B730" s="159"/>
      <c r="C730" s="207"/>
      <c r="D730" s="161"/>
    </row>
    <row r="731" spans="2:4">
      <c r="B731" s="159"/>
      <c r="C731" s="207"/>
      <c r="D731" s="161"/>
    </row>
    <row r="732" spans="2:4">
      <c r="B732" s="159"/>
      <c r="C732" s="207"/>
      <c r="D732" s="161"/>
    </row>
    <row r="733" spans="2:4">
      <c r="B733" s="159"/>
      <c r="C733" s="207"/>
      <c r="D733" s="161"/>
    </row>
    <row r="734" spans="2:4">
      <c r="B734" s="159"/>
      <c r="C734" s="207"/>
      <c r="D734" s="161"/>
    </row>
    <row r="735" spans="2:4">
      <c r="B735" s="159"/>
      <c r="C735" s="207"/>
      <c r="D735" s="161"/>
    </row>
    <row r="736" spans="2:4">
      <c r="B736" s="159"/>
      <c r="C736" s="207"/>
      <c r="D736" s="161"/>
    </row>
    <row r="737" spans="2:4">
      <c r="B737" s="159"/>
      <c r="C737" s="207"/>
      <c r="D737" s="161"/>
    </row>
    <row r="738" spans="2:4">
      <c r="B738" s="159"/>
      <c r="C738" s="207"/>
      <c r="D738" s="161"/>
    </row>
    <row r="739" spans="2:4">
      <c r="B739" s="159"/>
      <c r="C739" s="207"/>
      <c r="D739" s="161"/>
    </row>
    <row r="740" spans="2:4">
      <c r="B740" s="159"/>
      <c r="C740" s="207"/>
      <c r="D740" s="161"/>
    </row>
    <row r="741" spans="2:4">
      <c r="B741" s="159"/>
      <c r="C741" s="207"/>
      <c r="D741" s="161"/>
    </row>
    <row r="742" spans="2:4">
      <c r="B742" s="159"/>
      <c r="C742" s="207"/>
      <c r="D742" s="161"/>
    </row>
    <row r="743" spans="2:4">
      <c r="B743" s="159"/>
      <c r="C743" s="207"/>
      <c r="D743" s="161"/>
    </row>
    <row r="744" spans="2:4">
      <c r="B744" s="159"/>
      <c r="C744" s="207"/>
      <c r="D744" s="161"/>
    </row>
    <row r="745" spans="2:4">
      <c r="B745" s="159"/>
      <c r="C745" s="207"/>
      <c r="D745" s="161"/>
    </row>
    <row r="746" spans="2:4">
      <c r="B746" s="159"/>
      <c r="C746" s="207"/>
      <c r="D746" s="161"/>
    </row>
    <row r="747" spans="2:4">
      <c r="B747" s="159"/>
      <c r="C747" s="207"/>
      <c r="D747" s="161"/>
    </row>
    <row r="748" spans="2:4">
      <c r="B748" s="159"/>
      <c r="C748" s="207"/>
      <c r="D748" s="161"/>
    </row>
    <row r="749" spans="2:4">
      <c r="B749" s="159"/>
      <c r="C749" s="207"/>
      <c r="D749" s="161"/>
    </row>
    <row r="750" spans="2:4">
      <c r="B750" s="159"/>
      <c r="C750" s="207"/>
      <c r="D750" s="161"/>
    </row>
    <row r="751" spans="2:4">
      <c r="B751" s="159"/>
      <c r="C751" s="207"/>
      <c r="D751" s="161"/>
    </row>
    <row r="752" spans="2:4">
      <c r="B752" s="159"/>
      <c r="C752" s="207"/>
      <c r="D752" s="161"/>
    </row>
    <row r="753" spans="2:4">
      <c r="B753" s="159"/>
      <c r="C753" s="207"/>
      <c r="D753" s="161"/>
    </row>
    <row r="754" spans="2:4">
      <c r="B754" s="159"/>
      <c r="C754" s="207"/>
      <c r="D754" s="161"/>
    </row>
    <row r="755" spans="2:4">
      <c r="B755" s="159"/>
      <c r="C755" s="207"/>
      <c r="D755" s="161"/>
    </row>
    <row r="756" spans="2:4">
      <c r="B756" s="159"/>
      <c r="C756" s="207"/>
      <c r="D756" s="161"/>
    </row>
    <row r="757" spans="2:4">
      <c r="B757" s="159"/>
      <c r="C757" s="207"/>
      <c r="D757" s="161"/>
    </row>
    <row r="758" spans="2:4">
      <c r="B758" s="159"/>
      <c r="C758" s="207"/>
      <c r="D758" s="161"/>
    </row>
    <row r="759" spans="2:4">
      <c r="B759" s="159"/>
      <c r="C759" s="207"/>
      <c r="D759" s="161"/>
    </row>
    <row r="760" spans="2:4">
      <c r="B760" s="159"/>
      <c r="C760" s="207"/>
      <c r="D760" s="161"/>
    </row>
    <row r="761" spans="2:4">
      <c r="B761" s="159"/>
      <c r="C761" s="207"/>
      <c r="D761" s="161"/>
    </row>
    <row r="762" spans="2:4">
      <c r="B762" s="159"/>
      <c r="C762" s="207"/>
      <c r="D762" s="161"/>
    </row>
    <row r="763" spans="2:4">
      <c r="B763" s="159"/>
      <c r="C763" s="207"/>
      <c r="D763" s="161"/>
    </row>
    <row r="764" spans="2:4">
      <c r="B764" s="159"/>
      <c r="C764" s="207"/>
      <c r="D764" s="161"/>
    </row>
    <row r="765" spans="2:4">
      <c r="B765" s="159"/>
      <c r="C765" s="207"/>
      <c r="D765" s="161"/>
    </row>
    <row r="766" spans="2:4">
      <c r="B766" s="159"/>
      <c r="C766" s="207"/>
      <c r="D766" s="161"/>
    </row>
    <row r="767" spans="2:4">
      <c r="B767" s="159"/>
      <c r="C767" s="207"/>
      <c r="D767" s="161"/>
    </row>
    <row r="768" spans="2:4">
      <c r="B768" s="159"/>
      <c r="C768" s="207"/>
      <c r="D768" s="161"/>
    </row>
    <row r="769" spans="2:4">
      <c r="B769" s="159"/>
      <c r="C769" s="207"/>
      <c r="D769" s="161"/>
    </row>
    <row r="770" spans="2:4">
      <c r="B770" s="159"/>
      <c r="C770" s="207"/>
      <c r="D770" s="161"/>
    </row>
    <row r="771" spans="2:4">
      <c r="B771" s="159"/>
      <c r="C771" s="207"/>
      <c r="D771" s="161"/>
    </row>
    <row r="772" spans="2:4">
      <c r="B772" s="159"/>
      <c r="C772" s="207"/>
      <c r="D772" s="161"/>
    </row>
    <row r="773" spans="2:4">
      <c r="B773" s="159"/>
      <c r="C773" s="207"/>
      <c r="D773" s="161"/>
    </row>
    <row r="774" spans="2:4">
      <c r="B774" s="159"/>
      <c r="C774" s="207"/>
      <c r="D774" s="161"/>
    </row>
    <row r="775" spans="2:4">
      <c r="B775" s="159"/>
      <c r="C775" s="207"/>
      <c r="D775" s="161"/>
    </row>
    <row r="776" spans="2:4">
      <c r="B776" s="159"/>
      <c r="C776" s="207"/>
      <c r="D776" s="161"/>
    </row>
    <row r="777" spans="2:4">
      <c r="B777" s="159"/>
      <c r="C777" s="207"/>
      <c r="D777" s="161"/>
    </row>
    <row r="778" spans="2:4">
      <c r="B778" s="159"/>
      <c r="C778" s="207"/>
      <c r="D778" s="161"/>
    </row>
    <row r="779" spans="2:4">
      <c r="B779" s="159"/>
      <c r="C779" s="207"/>
      <c r="D779" s="161"/>
    </row>
    <row r="780" spans="2:4">
      <c r="B780" s="159"/>
      <c r="C780" s="207"/>
      <c r="D780" s="161"/>
    </row>
    <row r="781" spans="2:4">
      <c r="B781" s="159"/>
      <c r="C781" s="207"/>
      <c r="D781" s="161"/>
    </row>
    <row r="782" spans="2:4">
      <c r="B782" s="159"/>
      <c r="C782" s="207"/>
      <c r="D782" s="161"/>
    </row>
    <row r="783" spans="2:4">
      <c r="B783" s="159"/>
      <c r="C783" s="207"/>
      <c r="D783" s="161"/>
    </row>
    <row r="784" spans="2:4">
      <c r="B784" s="159"/>
      <c r="C784" s="207"/>
      <c r="D784" s="161"/>
    </row>
    <row r="785" spans="2:4">
      <c r="B785" s="159"/>
      <c r="C785" s="207"/>
      <c r="D785" s="161"/>
    </row>
    <row r="786" spans="2:4">
      <c r="B786" s="159"/>
      <c r="C786" s="207"/>
      <c r="D786" s="161"/>
    </row>
    <row r="787" spans="2:4">
      <c r="B787" s="159"/>
      <c r="C787" s="207"/>
      <c r="D787" s="161"/>
    </row>
    <row r="788" spans="2:4">
      <c r="B788" s="159"/>
      <c r="C788" s="207"/>
      <c r="D788" s="161"/>
    </row>
    <row r="789" spans="2:4">
      <c r="B789" s="159"/>
      <c r="C789" s="207"/>
      <c r="D789" s="161"/>
    </row>
    <row r="790" spans="2:4">
      <c r="B790" s="159"/>
      <c r="C790" s="207"/>
      <c r="D790" s="161"/>
    </row>
    <row r="791" spans="2:4">
      <c r="B791" s="159"/>
      <c r="C791" s="207"/>
      <c r="D791" s="161"/>
    </row>
    <row r="792" spans="2:4">
      <c r="B792" s="159"/>
      <c r="C792" s="207"/>
      <c r="D792" s="161"/>
    </row>
    <row r="793" spans="2:4">
      <c r="B793" s="159"/>
      <c r="C793" s="207"/>
      <c r="D793" s="161"/>
    </row>
    <row r="794" spans="2:4">
      <c r="B794" s="159"/>
      <c r="C794" s="207"/>
      <c r="D794" s="161"/>
    </row>
    <row r="795" spans="2:4">
      <c r="B795" s="159"/>
      <c r="C795" s="207"/>
      <c r="D795" s="161"/>
    </row>
    <row r="796" spans="2:4">
      <c r="B796" s="159"/>
      <c r="C796" s="207"/>
      <c r="D796" s="161"/>
    </row>
    <row r="797" spans="2:4">
      <c r="B797" s="159"/>
      <c r="C797" s="207"/>
      <c r="D797" s="161"/>
    </row>
    <row r="798" spans="2:4">
      <c r="B798" s="159"/>
      <c r="C798" s="207"/>
      <c r="D798" s="161"/>
    </row>
    <row r="799" spans="2:4">
      <c r="B799" s="159"/>
      <c r="C799" s="207"/>
      <c r="D799" s="161"/>
    </row>
    <row r="800" spans="2:4">
      <c r="B800" s="159"/>
      <c r="C800" s="207"/>
      <c r="D800" s="161"/>
    </row>
    <row r="801" spans="2:4">
      <c r="B801" s="159"/>
      <c r="C801" s="207"/>
      <c r="D801" s="161"/>
    </row>
    <row r="802" spans="2:4">
      <c r="B802" s="159"/>
      <c r="C802" s="207"/>
      <c r="D802" s="161"/>
    </row>
    <row r="803" spans="2:4">
      <c r="B803" s="159"/>
      <c r="C803" s="207"/>
      <c r="D803" s="161"/>
    </row>
    <row r="804" spans="2:4">
      <c r="B804" s="159"/>
      <c r="C804" s="207"/>
      <c r="D804" s="161"/>
    </row>
    <row r="805" spans="2:4">
      <c r="B805" s="159"/>
      <c r="C805" s="207"/>
      <c r="D805" s="161"/>
    </row>
    <row r="806" spans="2:4">
      <c r="B806" s="159"/>
      <c r="C806" s="207"/>
      <c r="D806" s="161"/>
    </row>
    <row r="807" spans="2:4">
      <c r="B807" s="159"/>
      <c r="C807" s="207"/>
      <c r="D807" s="161"/>
    </row>
    <row r="808" spans="2:4">
      <c r="B808" s="159"/>
      <c r="C808" s="207"/>
      <c r="D808" s="161"/>
    </row>
    <row r="809" spans="2:4">
      <c r="B809" s="159"/>
      <c r="C809" s="207"/>
      <c r="D809" s="161"/>
    </row>
    <row r="810" spans="2:4">
      <c r="B810" s="159"/>
      <c r="C810" s="207"/>
      <c r="D810" s="161"/>
    </row>
    <row r="811" spans="2:4">
      <c r="B811" s="159"/>
      <c r="C811" s="207"/>
      <c r="D811" s="161"/>
    </row>
    <row r="812" spans="2:4">
      <c r="B812" s="159"/>
      <c r="C812" s="207"/>
      <c r="D812" s="161"/>
    </row>
    <row r="813" spans="2:4">
      <c r="B813" s="159"/>
      <c r="C813" s="207"/>
      <c r="D813" s="161"/>
    </row>
    <row r="814" spans="2:4">
      <c r="B814" s="159"/>
      <c r="C814" s="207"/>
      <c r="D814" s="161"/>
    </row>
    <row r="815" spans="2:4">
      <c r="B815" s="159"/>
      <c r="C815" s="207"/>
      <c r="D815" s="161"/>
    </row>
    <row r="816" spans="2:4">
      <c r="B816" s="159"/>
      <c r="C816" s="207"/>
      <c r="D816" s="161"/>
    </row>
    <row r="817" spans="2:4">
      <c r="B817" s="159"/>
      <c r="C817" s="207"/>
      <c r="D817" s="161"/>
    </row>
    <row r="818" spans="2:4">
      <c r="B818" s="159"/>
      <c r="C818" s="207"/>
      <c r="D818" s="161"/>
    </row>
    <row r="819" spans="2:4">
      <c r="B819" s="159"/>
      <c r="C819" s="207"/>
      <c r="D819" s="161"/>
    </row>
    <row r="820" spans="2:4">
      <c r="B820" s="159"/>
      <c r="C820" s="207"/>
      <c r="D820" s="161"/>
    </row>
    <row r="821" spans="2:4">
      <c r="B821" s="159"/>
      <c r="C821" s="207"/>
      <c r="D821" s="161"/>
    </row>
    <row r="822" spans="2:4">
      <c r="B822" s="159"/>
      <c r="C822" s="207"/>
      <c r="D822" s="161"/>
    </row>
    <row r="823" spans="2:4">
      <c r="B823" s="159"/>
      <c r="C823" s="207"/>
      <c r="D823" s="161"/>
    </row>
    <row r="824" spans="2:4">
      <c r="B824" s="159"/>
      <c r="C824" s="207"/>
      <c r="D824" s="161"/>
    </row>
    <row r="825" spans="2:4">
      <c r="B825" s="159"/>
      <c r="C825" s="207"/>
      <c r="D825" s="161"/>
    </row>
    <row r="826" spans="2:4">
      <c r="B826" s="159"/>
      <c r="C826" s="207"/>
      <c r="D826" s="161"/>
    </row>
    <row r="827" spans="2:4">
      <c r="B827" s="159"/>
      <c r="C827" s="207"/>
      <c r="D827" s="161"/>
    </row>
    <row r="828" spans="2:4">
      <c r="B828" s="159"/>
      <c r="C828" s="207"/>
      <c r="D828" s="161"/>
    </row>
    <row r="829" spans="2:4">
      <c r="B829" s="159"/>
      <c r="C829" s="207"/>
      <c r="D829" s="161"/>
    </row>
    <row r="830" spans="2:4">
      <c r="B830" s="159"/>
      <c r="C830" s="207"/>
      <c r="D830" s="161"/>
    </row>
    <row r="831" spans="2:4">
      <c r="B831" s="159"/>
      <c r="C831" s="207"/>
      <c r="D831" s="161"/>
    </row>
    <row r="832" spans="2:4">
      <c r="B832" s="159"/>
      <c r="C832" s="207"/>
      <c r="D832" s="161"/>
    </row>
    <row r="833" spans="2:4">
      <c r="B833" s="159"/>
      <c r="C833" s="207"/>
      <c r="D833" s="161"/>
    </row>
    <row r="834" spans="2:4">
      <c r="B834" s="159"/>
      <c r="C834" s="207"/>
      <c r="D834" s="161"/>
    </row>
    <row r="835" spans="2:4">
      <c r="B835" s="159"/>
      <c r="C835" s="207"/>
      <c r="D835" s="161"/>
    </row>
    <row r="836" spans="2:4">
      <c r="B836" s="159"/>
      <c r="C836" s="207"/>
      <c r="D836" s="161"/>
    </row>
    <row r="837" spans="2:4">
      <c r="B837" s="159"/>
      <c r="C837" s="207"/>
      <c r="D837" s="161"/>
    </row>
    <row r="838" spans="2:4">
      <c r="B838" s="159"/>
      <c r="C838" s="207"/>
      <c r="D838" s="161"/>
    </row>
    <row r="839" spans="2:4">
      <c r="B839" s="159"/>
      <c r="C839" s="207"/>
      <c r="D839" s="161"/>
    </row>
    <row r="840" spans="2:4">
      <c r="B840" s="159"/>
      <c r="C840" s="207"/>
      <c r="D840" s="161"/>
    </row>
    <row r="841" spans="2:4">
      <c r="B841" s="159"/>
      <c r="C841" s="207"/>
      <c r="D841" s="161"/>
    </row>
    <row r="842" spans="2:4">
      <c r="B842" s="159"/>
      <c r="C842" s="207"/>
      <c r="D842" s="161"/>
    </row>
    <row r="843" spans="2:4">
      <c r="B843" s="159"/>
      <c r="C843" s="207"/>
      <c r="D843" s="161"/>
    </row>
    <row r="844" spans="2:4">
      <c r="B844" s="159"/>
      <c r="C844" s="207"/>
      <c r="D844" s="161"/>
    </row>
    <row r="845" spans="2:4">
      <c r="B845" s="159"/>
      <c r="C845" s="207"/>
      <c r="D845" s="161"/>
    </row>
    <row r="846" spans="2:4">
      <c r="B846" s="159"/>
      <c r="C846" s="207"/>
      <c r="D846" s="161"/>
    </row>
    <row r="847" spans="2:4">
      <c r="B847" s="159"/>
      <c r="C847" s="207"/>
      <c r="D847" s="161"/>
    </row>
    <row r="848" spans="2:4">
      <c r="B848" s="159"/>
      <c r="C848" s="207"/>
      <c r="D848" s="161"/>
    </row>
    <row r="849" spans="2:4">
      <c r="B849" s="159"/>
      <c r="C849" s="207"/>
      <c r="D849" s="161"/>
    </row>
    <row r="850" spans="2:4">
      <c r="B850" s="159"/>
      <c r="C850" s="207"/>
      <c r="D850" s="161"/>
    </row>
    <row r="851" spans="2:4">
      <c r="B851" s="159"/>
      <c r="C851" s="207"/>
      <c r="D851" s="161"/>
    </row>
    <row r="852" spans="2:4">
      <c r="B852" s="159"/>
      <c r="C852" s="207"/>
      <c r="D852" s="161"/>
    </row>
    <row r="853" spans="2:4">
      <c r="B853" s="159"/>
      <c r="C853" s="207"/>
      <c r="D853" s="161"/>
    </row>
    <row r="854" spans="2:4">
      <c r="B854" s="159"/>
      <c r="C854" s="207"/>
      <c r="D854" s="161"/>
    </row>
    <row r="855" spans="2:4">
      <c r="B855" s="159"/>
      <c r="C855" s="207"/>
      <c r="D855" s="161"/>
    </row>
    <row r="856" spans="2:4">
      <c r="B856" s="159"/>
      <c r="C856" s="207"/>
      <c r="D856" s="161"/>
    </row>
    <row r="857" spans="2:4">
      <c r="B857" s="159"/>
      <c r="C857" s="207"/>
      <c r="D857" s="161"/>
    </row>
    <row r="858" spans="2:4">
      <c r="B858" s="159"/>
      <c r="C858" s="207"/>
      <c r="D858" s="161"/>
    </row>
    <row r="859" spans="2:4">
      <c r="B859" s="159"/>
      <c r="C859" s="207"/>
      <c r="D859" s="161"/>
    </row>
    <row r="860" spans="2:4">
      <c r="B860" s="159"/>
      <c r="C860" s="207"/>
      <c r="D860" s="161"/>
    </row>
    <row r="861" spans="2:4">
      <c r="B861" s="159"/>
      <c r="C861" s="207"/>
      <c r="D861" s="161"/>
    </row>
    <row r="862" spans="2:4">
      <c r="B862" s="159"/>
      <c r="C862" s="207"/>
      <c r="D862" s="161"/>
    </row>
    <row r="863" spans="2:4">
      <c r="B863" s="159"/>
      <c r="C863" s="207"/>
      <c r="D863" s="161"/>
    </row>
    <row r="864" spans="2:4">
      <c r="B864" s="159"/>
      <c r="C864" s="207"/>
      <c r="D864" s="161"/>
    </row>
    <row r="865" spans="2:4">
      <c r="B865" s="159"/>
      <c r="C865" s="207"/>
      <c r="D865" s="161"/>
    </row>
    <row r="866" spans="2:4">
      <c r="B866" s="159"/>
      <c r="C866" s="207"/>
      <c r="D866" s="161"/>
    </row>
    <row r="867" spans="2:4">
      <c r="B867" s="159"/>
      <c r="C867" s="207"/>
      <c r="D867" s="161"/>
    </row>
    <row r="868" spans="2:4">
      <c r="B868" s="159"/>
      <c r="C868" s="207"/>
      <c r="D868" s="161"/>
    </row>
    <row r="869" spans="2:4">
      <c r="B869" s="159"/>
      <c r="C869" s="207"/>
      <c r="D869" s="161"/>
    </row>
    <row r="870" spans="2:4">
      <c r="B870" s="159"/>
      <c r="C870" s="207"/>
      <c r="D870" s="161"/>
    </row>
    <row r="871" spans="2:4">
      <c r="B871" s="159"/>
      <c r="C871" s="207"/>
      <c r="D871" s="161"/>
    </row>
    <row r="872" spans="2:4">
      <c r="B872" s="159"/>
      <c r="C872" s="207"/>
      <c r="D872" s="161"/>
    </row>
    <row r="873" spans="2:4">
      <c r="B873" s="159"/>
      <c r="C873" s="207"/>
      <c r="D873" s="161"/>
    </row>
    <row r="874" spans="2:4">
      <c r="B874" s="159"/>
      <c r="C874" s="207"/>
      <c r="D874" s="161"/>
    </row>
    <row r="875" spans="2:4">
      <c r="B875" s="159"/>
      <c r="C875" s="207"/>
      <c r="D875" s="161"/>
    </row>
    <row r="876" spans="2:4">
      <c r="B876" s="159"/>
      <c r="C876" s="207"/>
      <c r="D876" s="161"/>
    </row>
    <row r="877" spans="2:4">
      <c r="B877" s="159"/>
      <c r="C877" s="207"/>
      <c r="D877" s="161"/>
    </row>
    <row r="878" spans="2:4">
      <c r="B878" s="159"/>
      <c r="C878" s="207"/>
      <c r="D878" s="161"/>
    </row>
    <row r="879" spans="2:4">
      <c r="B879" s="159"/>
      <c r="C879" s="207"/>
      <c r="D879" s="161"/>
    </row>
    <row r="880" spans="2:4">
      <c r="B880" s="159"/>
      <c r="C880" s="207"/>
      <c r="D880" s="161"/>
    </row>
    <row r="881" spans="2:4">
      <c r="B881" s="159"/>
      <c r="C881" s="207"/>
      <c r="D881" s="161"/>
    </row>
    <row r="882" spans="2:4">
      <c r="B882" s="159"/>
      <c r="C882" s="207"/>
      <c r="D882" s="161"/>
    </row>
    <row r="883" spans="2:4">
      <c r="B883" s="159"/>
      <c r="C883" s="207"/>
      <c r="D883" s="161"/>
    </row>
    <row r="884" spans="2:4">
      <c r="B884" s="159"/>
      <c r="C884" s="207"/>
      <c r="D884" s="161"/>
    </row>
    <row r="885" spans="2:4">
      <c r="B885" s="159"/>
      <c r="C885" s="207"/>
      <c r="D885" s="161"/>
    </row>
    <row r="886" spans="2:4">
      <c r="B886" s="159"/>
      <c r="C886" s="207"/>
      <c r="D886" s="161"/>
    </row>
    <row r="887" spans="2:4">
      <c r="B887" s="159"/>
      <c r="C887" s="207"/>
      <c r="D887" s="161"/>
    </row>
    <row r="888" spans="2:4">
      <c r="B888" s="159"/>
      <c r="C888" s="207"/>
      <c r="D888" s="161"/>
    </row>
    <row r="889" spans="2:4">
      <c r="B889" s="159"/>
      <c r="C889" s="207"/>
      <c r="D889" s="161"/>
    </row>
    <row r="890" spans="2:4">
      <c r="B890" s="159"/>
      <c r="C890" s="207"/>
      <c r="D890" s="161"/>
    </row>
    <row r="891" spans="2:4">
      <c r="B891" s="159"/>
      <c r="C891" s="207"/>
      <c r="D891" s="161"/>
    </row>
    <row r="892" spans="2:4">
      <c r="B892" s="159"/>
      <c r="C892" s="207"/>
      <c r="D892" s="161"/>
    </row>
    <row r="893" spans="2:4">
      <c r="B893" s="159"/>
      <c r="C893" s="207"/>
      <c r="D893" s="161"/>
    </row>
    <row r="894" spans="2:4">
      <c r="B894" s="159"/>
      <c r="C894" s="207"/>
      <c r="D894" s="161"/>
    </row>
    <row r="895" spans="2:4">
      <c r="B895" s="159"/>
      <c r="C895" s="207"/>
      <c r="D895" s="161"/>
    </row>
    <row r="896" spans="2:4">
      <c r="B896" s="159"/>
      <c r="C896" s="207"/>
      <c r="D896" s="161"/>
    </row>
    <row r="897" spans="2:4">
      <c r="B897" s="159"/>
      <c r="C897" s="207"/>
      <c r="D897" s="161"/>
    </row>
    <row r="898" spans="2:4">
      <c r="B898" s="159"/>
      <c r="C898" s="207"/>
      <c r="D898" s="161"/>
    </row>
    <row r="899" spans="2:4">
      <c r="B899" s="159"/>
      <c r="C899" s="207"/>
      <c r="D899" s="161"/>
    </row>
    <row r="900" spans="2:4">
      <c r="B900" s="159"/>
      <c r="C900" s="207"/>
      <c r="D900" s="161"/>
    </row>
    <row r="901" spans="2:4">
      <c r="B901" s="159"/>
      <c r="C901" s="207"/>
      <c r="D901" s="161"/>
    </row>
    <row r="902" spans="2:4">
      <c r="B902" s="159"/>
      <c r="C902" s="207"/>
      <c r="D902" s="161"/>
    </row>
    <row r="903" spans="2:4">
      <c r="B903" s="159"/>
      <c r="C903" s="207"/>
      <c r="D903" s="161"/>
    </row>
    <row r="904" spans="2:4">
      <c r="B904" s="159"/>
      <c r="C904" s="207"/>
      <c r="D904" s="161"/>
    </row>
    <row r="905" spans="2:4">
      <c r="B905" s="159"/>
      <c r="C905" s="207"/>
      <c r="D905" s="161"/>
    </row>
    <row r="906" spans="2:4">
      <c r="B906" s="159"/>
      <c r="C906" s="207"/>
      <c r="D906" s="161"/>
    </row>
    <row r="907" spans="2:4">
      <c r="B907" s="159"/>
      <c r="C907" s="207"/>
      <c r="D907" s="161"/>
    </row>
    <row r="908" spans="2:4">
      <c r="B908" s="159"/>
      <c r="C908" s="207"/>
      <c r="D908" s="161"/>
    </row>
    <row r="909" spans="2:4">
      <c r="B909" s="159"/>
      <c r="C909" s="207"/>
      <c r="D909" s="161"/>
    </row>
    <row r="910" spans="2:4">
      <c r="B910" s="159"/>
      <c r="C910" s="207"/>
      <c r="D910" s="161"/>
    </row>
    <row r="911" spans="2:4">
      <c r="B911" s="159"/>
      <c r="C911" s="207"/>
      <c r="D911" s="161"/>
    </row>
    <row r="912" spans="2:4">
      <c r="B912" s="159"/>
      <c r="C912" s="207"/>
      <c r="D912" s="161"/>
    </row>
    <row r="913" spans="2:4">
      <c r="B913" s="159"/>
      <c r="C913" s="207"/>
      <c r="D913" s="161"/>
    </row>
    <row r="914" spans="2:4">
      <c r="B914" s="159"/>
      <c r="C914" s="207"/>
      <c r="D914" s="161"/>
    </row>
    <row r="915" spans="2:4">
      <c r="B915" s="159"/>
      <c r="C915" s="207"/>
      <c r="D915" s="161"/>
    </row>
    <row r="916" spans="2:4">
      <c r="B916" s="159"/>
      <c r="C916" s="207"/>
      <c r="D916" s="161"/>
    </row>
    <row r="917" spans="2:4">
      <c r="B917" s="159"/>
      <c r="C917" s="207"/>
      <c r="D917" s="161"/>
    </row>
    <row r="918" spans="2:4">
      <c r="B918" s="159"/>
      <c r="C918" s="207"/>
      <c r="D918" s="161"/>
    </row>
    <row r="919" spans="2:4">
      <c r="B919" s="159"/>
      <c r="C919" s="207"/>
      <c r="D919" s="161"/>
    </row>
    <row r="920" spans="2:4">
      <c r="B920" s="159"/>
      <c r="C920" s="207"/>
      <c r="D920" s="161"/>
    </row>
    <row r="921" spans="2:4">
      <c r="B921" s="159"/>
      <c r="C921" s="207"/>
      <c r="D921" s="161"/>
    </row>
    <row r="922" spans="2:4">
      <c r="B922" s="159"/>
      <c r="C922" s="207"/>
      <c r="D922" s="161"/>
    </row>
    <row r="923" spans="2:4">
      <c r="B923" s="159"/>
      <c r="C923" s="207"/>
      <c r="D923" s="161"/>
    </row>
    <row r="924" spans="2:4">
      <c r="B924" s="159"/>
      <c r="C924" s="207"/>
      <c r="D924" s="161"/>
    </row>
    <row r="925" spans="2:4">
      <c r="B925" s="159"/>
      <c r="C925" s="207"/>
      <c r="D925" s="161"/>
    </row>
    <row r="926" spans="2:4">
      <c r="B926" s="159"/>
      <c r="C926" s="207"/>
      <c r="D926" s="161"/>
    </row>
    <row r="927" spans="2:4">
      <c r="B927" s="159"/>
      <c r="C927" s="207"/>
      <c r="D927" s="161"/>
    </row>
    <row r="928" spans="2:4">
      <c r="B928" s="159"/>
      <c r="C928" s="207"/>
      <c r="D928" s="161"/>
    </row>
    <row r="929" spans="2:4">
      <c r="B929" s="159"/>
      <c r="C929" s="207"/>
      <c r="D929" s="161"/>
    </row>
    <row r="930" spans="2:4">
      <c r="B930" s="159"/>
      <c r="C930" s="207"/>
      <c r="D930" s="161"/>
    </row>
    <row r="931" spans="2:4">
      <c r="B931" s="159"/>
      <c r="C931" s="207"/>
      <c r="D931" s="161"/>
    </row>
    <row r="932" spans="2:4">
      <c r="B932" s="159"/>
      <c r="C932" s="207"/>
      <c r="D932" s="161"/>
    </row>
    <row r="933" spans="2:4">
      <c r="B933" s="159"/>
      <c r="C933" s="207"/>
      <c r="D933" s="161"/>
    </row>
    <row r="934" spans="2:4">
      <c r="B934" s="159"/>
      <c r="C934" s="207"/>
      <c r="D934" s="161"/>
    </row>
    <row r="935" spans="2:4">
      <c r="B935" s="159"/>
      <c r="C935" s="207"/>
      <c r="D935" s="161"/>
    </row>
    <row r="936" spans="2:4">
      <c r="B936" s="159"/>
      <c r="C936" s="207"/>
      <c r="D936" s="161"/>
    </row>
    <row r="937" spans="2:4">
      <c r="B937" s="159"/>
      <c r="C937" s="207"/>
      <c r="D937" s="161"/>
    </row>
    <row r="938" spans="2:4">
      <c r="B938" s="159"/>
      <c r="C938" s="207"/>
      <c r="D938" s="161"/>
    </row>
    <row r="939" spans="2:4">
      <c r="B939" s="159"/>
      <c r="C939" s="207"/>
      <c r="D939" s="161"/>
    </row>
    <row r="940" spans="2:4">
      <c r="B940" s="159"/>
      <c r="C940" s="207"/>
      <c r="D940" s="161"/>
    </row>
    <row r="941" spans="2:4">
      <c r="B941" s="159"/>
      <c r="C941" s="207"/>
      <c r="D941" s="161"/>
    </row>
    <row r="942" spans="2:4">
      <c r="B942" s="159"/>
      <c r="C942" s="207"/>
      <c r="D942" s="161"/>
    </row>
    <row r="943" spans="2:4">
      <c r="B943" s="159"/>
      <c r="C943" s="207"/>
      <c r="D943" s="161"/>
    </row>
    <row r="944" spans="2:4">
      <c r="B944" s="159"/>
      <c r="C944" s="207"/>
      <c r="D944" s="161"/>
    </row>
    <row r="945" spans="2:4">
      <c r="B945" s="159"/>
      <c r="C945" s="207"/>
      <c r="D945" s="161"/>
    </row>
    <row r="946" spans="2:4">
      <c r="B946" s="159"/>
      <c r="C946" s="207"/>
      <c r="D946" s="161"/>
    </row>
    <row r="947" spans="2:4">
      <c r="B947" s="159"/>
      <c r="C947" s="207"/>
      <c r="D947" s="161"/>
    </row>
    <row r="948" spans="2:4">
      <c r="B948" s="159"/>
      <c r="C948" s="207"/>
      <c r="D948" s="161"/>
    </row>
    <row r="949" spans="2:4">
      <c r="B949" s="159"/>
      <c r="C949" s="207"/>
      <c r="D949" s="161"/>
    </row>
    <row r="950" spans="2:4">
      <c r="B950" s="159"/>
      <c r="C950" s="207"/>
      <c r="D950" s="161"/>
    </row>
    <row r="951" spans="2:4">
      <c r="B951" s="159"/>
      <c r="C951" s="207"/>
      <c r="D951" s="161"/>
    </row>
    <row r="952" spans="2:4">
      <c r="B952" s="159"/>
      <c r="C952" s="207"/>
      <c r="D952" s="161"/>
    </row>
    <row r="953" spans="2:4">
      <c r="B953" s="159"/>
      <c r="C953" s="207"/>
      <c r="D953" s="161"/>
    </row>
    <row r="954" spans="2:4">
      <c r="B954" s="159"/>
      <c r="C954" s="207"/>
      <c r="D954" s="161"/>
    </row>
    <row r="955" spans="2:4">
      <c r="B955" s="159"/>
      <c r="C955" s="207"/>
      <c r="D955" s="161"/>
    </row>
    <row r="956" spans="2:4">
      <c r="B956" s="159"/>
      <c r="C956" s="207"/>
      <c r="D956" s="161"/>
    </row>
    <row r="957" spans="2:4">
      <c r="B957" s="159"/>
      <c r="C957" s="207"/>
      <c r="D957" s="161"/>
    </row>
    <row r="958" spans="2:4">
      <c r="B958" s="159"/>
      <c r="C958" s="207"/>
      <c r="D958" s="161"/>
    </row>
    <row r="959" spans="2:4">
      <c r="B959" s="159"/>
      <c r="C959" s="207"/>
      <c r="D959" s="161"/>
    </row>
    <row r="960" spans="2:4">
      <c r="B960" s="159"/>
      <c r="C960" s="207"/>
      <c r="D960" s="161"/>
    </row>
    <row r="961" spans="2:4">
      <c r="B961" s="159"/>
      <c r="C961" s="207"/>
      <c r="D961" s="161"/>
    </row>
    <row r="962" spans="2:4">
      <c r="B962" s="159"/>
      <c r="C962" s="207"/>
      <c r="D962" s="161"/>
    </row>
    <row r="963" spans="2:4">
      <c r="B963" s="159"/>
      <c r="C963" s="207"/>
      <c r="D963" s="161"/>
    </row>
    <row r="964" spans="2:4">
      <c r="B964" s="159"/>
      <c r="C964" s="207"/>
      <c r="D964" s="161"/>
    </row>
    <row r="965" spans="2:4">
      <c r="B965" s="159"/>
      <c r="C965" s="207"/>
      <c r="D965" s="161"/>
    </row>
    <row r="966" spans="2:4">
      <c r="B966" s="159"/>
      <c r="C966" s="207"/>
      <c r="D966" s="161"/>
    </row>
    <row r="967" spans="2:4">
      <c r="B967" s="159"/>
      <c r="C967" s="207"/>
      <c r="D967" s="161"/>
    </row>
    <row r="968" spans="2:4">
      <c r="B968" s="159"/>
      <c r="C968" s="207"/>
      <c r="D968" s="161"/>
    </row>
    <row r="969" spans="2:4">
      <c r="B969" s="159"/>
      <c r="C969" s="207"/>
      <c r="D969" s="161"/>
    </row>
    <row r="970" spans="2:4">
      <c r="B970" s="159"/>
      <c r="C970" s="207"/>
      <c r="D970" s="161"/>
    </row>
    <row r="971" spans="2:4">
      <c r="B971" s="159"/>
      <c r="C971" s="207"/>
      <c r="D971" s="161"/>
    </row>
    <row r="972" spans="2:4">
      <c r="B972" s="159"/>
      <c r="C972" s="207"/>
      <c r="D972" s="161"/>
    </row>
    <row r="973" spans="2:4">
      <c r="B973" s="159"/>
      <c r="C973" s="207"/>
      <c r="D973" s="161"/>
    </row>
    <row r="974" spans="2:4">
      <c r="B974" s="159"/>
      <c r="C974" s="207"/>
      <c r="D974" s="161"/>
    </row>
    <row r="975" spans="2:4">
      <c r="B975" s="159"/>
      <c r="C975" s="207"/>
      <c r="D975" s="161"/>
    </row>
    <row r="976" spans="2:4">
      <c r="B976" s="159"/>
      <c r="C976" s="207"/>
      <c r="D976" s="161"/>
    </row>
    <row r="977" spans="2:4">
      <c r="B977" s="159"/>
      <c r="C977" s="207"/>
      <c r="D977" s="161"/>
    </row>
    <row r="978" spans="2:4">
      <c r="B978" s="159"/>
      <c r="C978" s="207"/>
      <c r="D978" s="161"/>
    </row>
    <row r="979" spans="2:4">
      <c r="B979" s="159"/>
      <c r="C979" s="207"/>
      <c r="D979" s="161"/>
    </row>
    <row r="980" spans="2:4">
      <c r="B980" s="159"/>
      <c r="C980" s="207"/>
      <c r="D980" s="161"/>
    </row>
    <row r="981" spans="2:4">
      <c r="B981" s="159"/>
      <c r="C981" s="207"/>
      <c r="D981" s="161"/>
    </row>
    <row r="982" spans="2:4">
      <c r="B982" s="159"/>
      <c r="C982" s="207"/>
      <c r="D982" s="161"/>
    </row>
    <row r="983" spans="2:4">
      <c r="B983" s="159"/>
      <c r="C983" s="207"/>
      <c r="D983" s="161"/>
    </row>
    <row r="984" spans="2:4">
      <c r="B984" s="159"/>
      <c r="C984" s="207"/>
      <c r="D984" s="161"/>
    </row>
    <row r="985" spans="2:4">
      <c r="B985" s="159"/>
      <c r="C985" s="207"/>
      <c r="D985" s="161"/>
    </row>
    <row r="986" spans="2:4">
      <c r="B986" s="159"/>
      <c r="C986" s="207"/>
      <c r="D986" s="161"/>
    </row>
    <row r="987" spans="2:4">
      <c r="B987" s="159"/>
      <c r="C987" s="207"/>
      <c r="D987" s="161"/>
    </row>
    <row r="988" spans="2:4">
      <c r="B988" s="159"/>
      <c r="C988" s="207"/>
      <c r="D988" s="161"/>
    </row>
    <row r="989" spans="2:4">
      <c r="B989" s="159"/>
      <c r="C989" s="207"/>
      <c r="D989" s="161"/>
    </row>
    <row r="990" spans="2:4">
      <c r="B990" s="159"/>
      <c r="C990" s="207"/>
      <c r="D990" s="161"/>
    </row>
    <row r="991" spans="2:4">
      <c r="B991" s="159"/>
      <c r="C991" s="207"/>
      <c r="D991" s="161"/>
    </row>
    <row r="992" spans="2:4">
      <c r="B992" s="159"/>
      <c r="C992" s="207"/>
      <c r="D992" s="161"/>
    </row>
    <row r="993" spans="2:4">
      <c r="B993" s="159"/>
      <c r="C993" s="207"/>
      <c r="D993" s="161"/>
    </row>
    <row r="994" spans="2:4">
      <c r="B994" s="159"/>
      <c r="C994" s="207"/>
      <c r="D994" s="161"/>
    </row>
    <row r="995" spans="2:4">
      <c r="B995" s="159"/>
      <c r="C995" s="207"/>
      <c r="D995" s="161"/>
    </row>
    <row r="996" spans="2:4">
      <c r="B996" s="159"/>
      <c r="C996" s="207"/>
      <c r="D996" s="161"/>
    </row>
    <row r="997" spans="2:4">
      <c r="B997" s="159"/>
      <c r="C997" s="207"/>
      <c r="D997" s="161"/>
    </row>
    <row r="998" spans="2:4">
      <c r="B998" s="159"/>
      <c r="C998" s="207"/>
      <c r="D998" s="161"/>
    </row>
    <row r="999" spans="2:4">
      <c r="B999" s="159"/>
      <c r="C999" s="207"/>
      <c r="D999" s="161"/>
    </row>
    <row r="1000" spans="2:4">
      <c r="B1000" s="159"/>
      <c r="C1000" s="207"/>
      <c r="D1000" s="161"/>
    </row>
    <row r="1001" spans="2:4">
      <c r="B1001" s="159"/>
      <c r="C1001" s="207"/>
      <c r="D1001" s="161"/>
    </row>
    <row r="1002" spans="2:4">
      <c r="B1002" s="159"/>
      <c r="C1002" s="207"/>
      <c r="D1002" s="161"/>
    </row>
    <row r="1003" spans="2:4">
      <c r="B1003" s="159"/>
      <c r="C1003" s="207"/>
      <c r="D1003" s="161"/>
    </row>
    <row r="1004" spans="2:4">
      <c r="B1004" s="159"/>
      <c r="C1004" s="207"/>
      <c r="D1004" s="161"/>
    </row>
    <row r="1005" spans="2:4">
      <c r="B1005" s="159"/>
      <c r="C1005" s="207"/>
      <c r="D1005" s="161"/>
    </row>
    <row r="1006" spans="2:4">
      <c r="B1006" s="159"/>
      <c r="C1006" s="207"/>
      <c r="D1006" s="161"/>
    </row>
    <row r="1007" spans="2:4">
      <c r="B1007" s="159"/>
      <c r="C1007" s="207"/>
      <c r="D1007" s="161"/>
    </row>
    <row r="1008" spans="2:4">
      <c r="B1008" s="159"/>
      <c r="C1008" s="207"/>
      <c r="D1008" s="161"/>
    </row>
    <row r="1009" spans="2:4">
      <c r="B1009" s="159"/>
      <c r="C1009" s="207"/>
      <c r="D1009" s="161"/>
    </row>
    <row r="1010" spans="2:4">
      <c r="B1010" s="159"/>
      <c r="C1010" s="207"/>
      <c r="D1010" s="161"/>
    </row>
    <row r="1011" spans="2:4">
      <c r="B1011" s="159"/>
      <c r="C1011" s="207"/>
      <c r="D1011" s="161"/>
    </row>
    <row r="1012" spans="2:4">
      <c r="B1012" s="159"/>
      <c r="C1012" s="207"/>
      <c r="D1012" s="161"/>
    </row>
    <row r="1013" spans="2:4">
      <c r="B1013" s="159"/>
      <c r="C1013" s="207"/>
      <c r="D1013" s="161"/>
    </row>
    <row r="1014" spans="2:4">
      <c r="B1014" s="159"/>
      <c r="C1014" s="207"/>
      <c r="D1014" s="161"/>
    </row>
    <row r="1015" spans="2:4">
      <c r="B1015" s="159"/>
      <c r="C1015" s="207"/>
      <c r="D1015" s="161"/>
    </row>
    <row r="1016" spans="2:4">
      <c r="B1016" s="159"/>
      <c r="C1016" s="207"/>
      <c r="D1016" s="161"/>
    </row>
    <row r="1017" spans="2:4">
      <c r="B1017" s="159"/>
      <c r="C1017" s="207"/>
      <c r="D1017" s="161"/>
    </row>
    <row r="1018" spans="2:4">
      <c r="B1018" s="159"/>
      <c r="C1018" s="207"/>
      <c r="D1018" s="161"/>
    </row>
    <row r="1019" spans="2:4">
      <c r="B1019" s="159"/>
      <c r="C1019" s="207"/>
      <c r="D1019" s="161"/>
    </row>
    <row r="1020" spans="2:4">
      <c r="B1020" s="159"/>
      <c r="C1020" s="207"/>
      <c r="D1020" s="161"/>
    </row>
    <row r="1021" spans="2:4">
      <c r="B1021" s="159"/>
      <c r="C1021" s="207"/>
      <c r="D1021" s="161"/>
    </row>
    <row r="1022" spans="2:4">
      <c r="B1022" s="159"/>
      <c r="C1022" s="207"/>
      <c r="D1022" s="161"/>
    </row>
    <row r="1023" spans="2:4">
      <c r="B1023" s="159"/>
      <c r="C1023" s="207"/>
      <c r="D1023" s="161"/>
    </row>
    <row r="1024" spans="2:4">
      <c r="B1024" s="159"/>
      <c r="C1024" s="207"/>
      <c r="D1024" s="161"/>
    </row>
    <row r="1025" spans="2:4">
      <c r="B1025" s="159"/>
      <c r="C1025" s="207"/>
      <c r="D1025" s="161"/>
    </row>
    <row r="1026" spans="2:4">
      <c r="B1026" s="159"/>
      <c r="C1026" s="207"/>
      <c r="D1026" s="161"/>
    </row>
    <row r="1027" spans="2:4">
      <c r="B1027" s="159"/>
      <c r="C1027" s="207"/>
      <c r="D1027" s="161"/>
    </row>
    <row r="1028" spans="2:4">
      <c r="B1028" s="159"/>
      <c r="C1028" s="207"/>
      <c r="D1028" s="161"/>
    </row>
    <row r="1029" spans="2:4">
      <c r="B1029" s="159"/>
      <c r="C1029" s="207"/>
      <c r="D1029" s="161"/>
    </row>
    <row r="1030" spans="2:4">
      <c r="B1030" s="159"/>
      <c r="C1030" s="207"/>
      <c r="D1030" s="161"/>
    </row>
    <row r="1031" spans="2:4">
      <c r="B1031" s="159"/>
      <c r="C1031" s="207"/>
      <c r="D1031" s="161"/>
    </row>
    <row r="1032" spans="2:4">
      <c r="B1032" s="159"/>
      <c r="C1032" s="207"/>
      <c r="D1032" s="161"/>
    </row>
    <row r="1033" spans="2:4">
      <c r="B1033" s="159"/>
      <c r="C1033" s="207"/>
      <c r="D1033" s="161"/>
    </row>
    <row r="1034" spans="2:4">
      <c r="B1034" s="159"/>
      <c r="C1034" s="207"/>
      <c r="D1034" s="161"/>
    </row>
    <row r="1035" spans="2:4">
      <c r="B1035" s="159"/>
      <c r="C1035" s="207"/>
      <c r="D1035" s="161"/>
    </row>
    <row r="1036" spans="2:4">
      <c r="B1036" s="159"/>
      <c r="C1036" s="207"/>
      <c r="D1036" s="161"/>
    </row>
    <row r="1037" spans="2:4">
      <c r="B1037" s="159"/>
      <c r="C1037" s="207"/>
      <c r="D1037" s="161"/>
    </row>
    <row r="1038" spans="2:4">
      <c r="B1038" s="159"/>
      <c r="C1038" s="207"/>
      <c r="D1038" s="161"/>
    </row>
    <row r="1039" spans="2:4">
      <c r="B1039" s="159"/>
      <c r="C1039" s="207"/>
      <c r="D1039" s="161"/>
    </row>
    <row r="1040" spans="2:4">
      <c r="B1040" s="159"/>
      <c r="C1040" s="207"/>
      <c r="D1040" s="161"/>
    </row>
    <row r="1041" spans="2:4">
      <c r="B1041" s="159"/>
      <c r="C1041" s="207"/>
      <c r="D1041" s="161"/>
    </row>
    <row r="1042" spans="2:4">
      <c r="B1042" s="159"/>
      <c r="C1042" s="207"/>
      <c r="D1042" s="161"/>
    </row>
    <row r="1043" spans="2:4">
      <c r="B1043" s="159"/>
      <c r="C1043" s="207"/>
      <c r="D1043" s="161"/>
    </row>
    <row r="1044" spans="2:4">
      <c r="B1044" s="159"/>
      <c r="C1044" s="207"/>
      <c r="D1044" s="161"/>
    </row>
    <row r="1045" spans="2:4">
      <c r="B1045" s="159"/>
      <c r="C1045" s="207"/>
      <c r="D1045" s="161"/>
    </row>
    <row r="1046" spans="2:4">
      <c r="B1046" s="159"/>
      <c r="C1046" s="207"/>
      <c r="D1046" s="161"/>
    </row>
    <row r="1047" spans="2:4">
      <c r="B1047" s="159"/>
      <c r="C1047" s="207"/>
      <c r="D1047" s="161"/>
    </row>
    <row r="1048" spans="2:4">
      <c r="B1048" s="159"/>
      <c r="C1048" s="207"/>
      <c r="D1048" s="161"/>
    </row>
    <row r="1049" spans="2:4">
      <c r="B1049" s="159"/>
      <c r="C1049" s="207"/>
      <c r="D1049" s="161"/>
    </row>
    <row r="1050" spans="2:4">
      <c r="B1050" s="159"/>
      <c r="C1050" s="207"/>
      <c r="D1050" s="161"/>
    </row>
    <row r="1051" spans="2:4">
      <c r="B1051" s="159"/>
      <c r="C1051" s="207"/>
      <c r="D1051" s="161"/>
    </row>
    <row r="1052" spans="2:4">
      <c r="B1052" s="159"/>
      <c r="C1052" s="207"/>
      <c r="D1052" s="161"/>
    </row>
    <row r="1053" spans="2:4">
      <c r="B1053" s="159"/>
      <c r="C1053" s="207"/>
      <c r="D1053" s="161"/>
    </row>
    <row r="1054" spans="2:4">
      <c r="B1054" s="159"/>
      <c r="C1054" s="207"/>
      <c r="D1054" s="161"/>
    </row>
    <row r="1055" spans="2:4">
      <c r="B1055" s="159"/>
      <c r="C1055" s="207"/>
      <c r="D1055" s="161"/>
    </row>
    <row r="1056" spans="2:4">
      <c r="B1056" s="159"/>
      <c r="C1056" s="207"/>
      <c r="D1056" s="161"/>
    </row>
    <row r="1057" spans="2:4">
      <c r="B1057" s="159"/>
      <c r="C1057" s="207"/>
      <c r="D1057" s="161"/>
    </row>
    <row r="1058" spans="2:4">
      <c r="B1058" s="159"/>
      <c r="C1058" s="207"/>
      <c r="D1058" s="161"/>
    </row>
    <row r="1059" spans="2:4">
      <c r="B1059" s="159"/>
      <c r="C1059" s="207"/>
      <c r="D1059" s="161"/>
    </row>
    <row r="1060" spans="2:4">
      <c r="B1060" s="159"/>
      <c r="C1060" s="207"/>
      <c r="D1060" s="161"/>
    </row>
    <row r="1061" spans="2:4">
      <c r="B1061" s="159"/>
      <c r="C1061" s="207"/>
      <c r="D1061" s="161"/>
    </row>
    <row r="1062" spans="2:4">
      <c r="B1062" s="159"/>
      <c r="C1062" s="207"/>
      <c r="D1062" s="161"/>
    </row>
    <row r="1063" spans="2:4">
      <c r="B1063" s="159"/>
      <c r="C1063" s="207"/>
      <c r="D1063" s="161"/>
    </row>
    <row r="1064" spans="2:4">
      <c r="B1064" s="159"/>
      <c r="C1064" s="207"/>
      <c r="D1064" s="161"/>
    </row>
    <row r="1065" spans="2:4">
      <c r="B1065" s="159"/>
      <c r="C1065" s="207"/>
      <c r="D1065" s="161"/>
    </row>
    <row r="1066" spans="2:4">
      <c r="B1066" s="159"/>
      <c r="C1066" s="207"/>
      <c r="D1066" s="161"/>
    </row>
    <row r="1067" spans="2:4">
      <c r="B1067" s="159"/>
      <c r="C1067" s="207"/>
      <c r="D1067" s="161"/>
    </row>
    <row r="1068" spans="2:4">
      <c r="B1068" s="159"/>
      <c r="C1068" s="207"/>
      <c r="D1068" s="161"/>
    </row>
    <row r="1069" spans="2:4">
      <c r="B1069" s="159"/>
      <c r="C1069" s="207"/>
      <c r="D1069" s="161"/>
    </row>
    <row r="1070" spans="2:4">
      <c r="B1070" s="159"/>
      <c r="C1070" s="207"/>
      <c r="D1070" s="161"/>
    </row>
    <row r="1071" spans="2:4">
      <c r="B1071" s="159"/>
      <c r="C1071" s="207"/>
      <c r="D1071" s="161"/>
    </row>
    <row r="1072" spans="2:4">
      <c r="B1072" s="159"/>
      <c r="C1072" s="207"/>
      <c r="D1072" s="161"/>
    </row>
    <row r="1073" spans="2:4">
      <c r="B1073" s="159"/>
      <c r="C1073" s="207"/>
      <c r="D1073" s="161"/>
    </row>
    <row r="1074" spans="2:4">
      <c r="B1074" s="159"/>
      <c r="C1074" s="207"/>
      <c r="D1074" s="161"/>
    </row>
    <row r="1075" spans="2:4">
      <c r="B1075" s="159"/>
      <c r="C1075" s="207"/>
      <c r="D1075" s="161"/>
    </row>
    <row r="1076" spans="2:4">
      <c r="B1076" s="159"/>
      <c r="C1076" s="207"/>
      <c r="D1076" s="161"/>
    </row>
    <row r="1077" spans="2:4">
      <c r="B1077" s="159"/>
      <c r="C1077" s="207"/>
      <c r="D1077" s="161"/>
    </row>
    <row r="1078" spans="2:4">
      <c r="B1078" s="159"/>
      <c r="C1078" s="207"/>
      <c r="D1078" s="161"/>
    </row>
    <row r="1079" spans="2:4">
      <c r="B1079" s="159"/>
      <c r="C1079" s="207"/>
      <c r="D1079" s="161"/>
    </row>
    <row r="1080" spans="2:4">
      <c r="B1080" s="159"/>
      <c r="C1080" s="207"/>
      <c r="D1080" s="161"/>
    </row>
    <row r="1081" spans="2:4">
      <c r="B1081" s="159"/>
      <c r="C1081" s="207"/>
      <c r="D1081" s="161"/>
    </row>
    <row r="1082" spans="2:4">
      <c r="B1082" s="159"/>
      <c r="C1082" s="207"/>
      <c r="D1082" s="161"/>
    </row>
    <row r="1083" spans="2:4">
      <c r="B1083" s="159"/>
      <c r="C1083" s="207"/>
      <c r="D1083" s="161"/>
    </row>
    <row r="1084" spans="2:4">
      <c r="B1084" s="159"/>
      <c r="C1084" s="207"/>
      <c r="D1084" s="161"/>
    </row>
    <row r="1085" spans="2:4">
      <c r="B1085" s="159"/>
      <c r="C1085" s="207"/>
      <c r="D1085" s="161"/>
    </row>
    <row r="1086" spans="2:4">
      <c r="B1086" s="159"/>
      <c r="C1086" s="207"/>
      <c r="D1086" s="161"/>
    </row>
    <row r="1087" spans="2:4">
      <c r="B1087" s="159"/>
      <c r="C1087" s="207"/>
      <c r="D1087" s="161"/>
    </row>
    <row r="1088" spans="2:4">
      <c r="B1088" s="159"/>
      <c r="C1088" s="207"/>
      <c r="D1088" s="161"/>
    </row>
    <row r="1089" spans="2:4">
      <c r="B1089" s="159"/>
      <c r="C1089" s="207"/>
      <c r="D1089" s="161"/>
    </row>
    <row r="1090" spans="2:4">
      <c r="B1090" s="159"/>
      <c r="C1090" s="207"/>
      <c r="D1090" s="161"/>
    </row>
    <row r="1091" spans="2:4">
      <c r="B1091" s="159"/>
      <c r="C1091" s="207"/>
      <c r="D1091" s="161"/>
    </row>
    <row r="1092" spans="2:4">
      <c r="B1092" s="159"/>
      <c r="C1092" s="207"/>
      <c r="D1092" s="161"/>
    </row>
    <row r="1093" spans="2:4">
      <c r="B1093" s="159"/>
      <c r="C1093" s="207"/>
      <c r="D1093" s="161"/>
    </row>
    <row r="1094" spans="2:4">
      <c r="B1094" s="159"/>
      <c r="C1094" s="207"/>
      <c r="D1094" s="161"/>
    </row>
    <row r="1095" spans="2:4">
      <c r="B1095" s="159"/>
      <c r="C1095" s="207"/>
      <c r="D1095" s="161"/>
    </row>
    <row r="1096" spans="2:4">
      <c r="B1096" s="159"/>
      <c r="C1096" s="207"/>
      <c r="D1096" s="161"/>
    </row>
    <row r="1097" spans="2:4">
      <c r="B1097" s="159"/>
      <c r="C1097" s="207"/>
      <c r="D1097" s="161"/>
    </row>
    <row r="1098" spans="2:4">
      <c r="B1098" s="159"/>
      <c r="C1098" s="207"/>
      <c r="D1098" s="161"/>
    </row>
    <row r="1099" spans="2:4">
      <c r="B1099" s="159"/>
      <c r="C1099" s="207"/>
      <c r="D1099" s="161"/>
    </row>
    <row r="1100" spans="2:4">
      <c r="B1100" s="159"/>
      <c r="C1100" s="207"/>
      <c r="D1100" s="161"/>
    </row>
    <row r="1101" spans="2:4">
      <c r="B1101" s="159"/>
      <c r="C1101" s="207"/>
      <c r="D1101" s="161"/>
    </row>
    <row r="1102" spans="2:4">
      <c r="B1102" s="159"/>
      <c r="C1102" s="207"/>
      <c r="D1102" s="161"/>
    </row>
    <row r="1103" spans="2:4">
      <c r="B1103" s="159"/>
      <c r="C1103" s="207"/>
      <c r="D1103" s="161"/>
    </row>
    <row r="1104" spans="2:4">
      <c r="B1104" s="159"/>
      <c r="C1104" s="207"/>
      <c r="D1104" s="161"/>
    </row>
    <row r="1105" spans="2:4">
      <c r="B1105" s="159"/>
      <c r="C1105" s="207"/>
      <c r="D1105" s="161"/>
    </row>
    <row r="1106" spans="2:4">
      <c r="B1106" s="159"/>
      <c r="C1106" s="207"/>
      <c r="D1106" s="161"/>
    </row>
    <row r="1107" spans="2:4">
      <c r="B1107" s="159"/>
      <c r="C1107" s="207"/>
      <c r="D1107" s="161"/>
    </row>
    <row r="1108" spans="2:4">
      <c r="B1108" s="159"/>
      <c r="C1108" s="207"/>
      <c r="D1108" s="161"/>
    </row>
    <row r="1109" spans="2:4">
      <c r="B1109" s="159"/>
      <c r="C1109" s="207"/>
      <c r="D1109" s="161"/>
    </row>
    <row r="1110" spans="2:4">
      <c r="B1110" s="159"/>
      <c r="C1110" s="207"/>
      <c r="D1110" s="161"/>
    </row>
    <row r="1111" spans="2:4">
      <c r="B1111" s="159"/>
      <c r="C1111" s="207"/>
      <c r="D1111" s="161"/>
    </row>
    <row r="1112" spans="2:4">
      <c r="B1112" s="159"/>
      <c r="C1112" s="207"/>
      <c r="D1112" s="161"/>
    </row>
    <row r="1113" spans="2:4">
      <c r="B1113" s="159"/>
      <c r="C1113" s="207"/>
      <c r="D1113" s="161"/>
    </row>
    <row r="1114" spans="2:4">
      <c r="B1114" s="159"/>
      <c r="C1114" s="207"/>
      <c r="D1114" s="161"/>
    </row>
    <row r="1115" spans="2:4">
      <c r="B1115" s="159"/>
      <c r="C1115" s="207"/>
      <c r="D1115" s="161"/>
    </row>
    <row r="1116" spans="2:4">
      <c r="B1116" s="159"/>
      <c r="C1116" s="207"/>
      <c r="D1116" s="161"/>
    </row>
    <row r="1117" spans="2:4">
      <c r="B1117" s="159"/>
      <c r="C1117" s="207"/>
      <c r="D1117" s="161"/>
    </row>
    <row r="1118" spans="2:4">
      <c r="B1118" s="159"/>
      <c r="C1118" s="207"/>
      <c r="D1118" s="161"/>
    </row>
    <row r="1119" spans="2:4">
      <c r="B1119" s="159"/>
      <c r="C1119" s="207"/>
      <c r="D1119" s="161"/>
    </row>
    <row r="1120" spans="2:4">
      <c r="B1120" s="159"/>
      <c r="C1120" s="207"/>
      <c r="D1120" s="161"/>
    </row>
    <row r="1121" spans="2:4">
      <c r="B1121" s="159"/>
      <c r="C1121" s="207"/>
      <c r="D1121" s="161"/>
    </row>
    <row r="1122" spans="2:4">
      <c r="B1122" s="159"/>
      <c r="C1122" s="207"/>
      <c r="D1122" s="161"/>
    </row>
    <row r="1123" spans="2:4">
      <c r="B1123" s="159"/>
      <c r="C1123" s="207"/>
      <c r="D1123" s="161"/>
    </row>
    <row r="1124" spans="2:4">
      <c r="B1124" s="159"/>
      <c r="C1124" s="207"/>
      <c r="D1124" s="161"/>
    </row>
    <row r="1125" spans="2:4">
      <c r="B1125" s="159"/>
      <c r="C1125" s="207"/>
      <c r="D1125" s="161"/>
    </row>
    <row r="1126" spans="2:4">
      <c r="B1126" s="159"/>
      <c r="C1126" s="207"/>
      <c r="D1126" s="161"/>
    </row>
    <row r="1127" spans="2:4">
      <c r="B1127" s="159"/>
      <c r="C1127" s="207"/>
      <c r="D1127" s="161"/>
    </row>
    <row r="1128" spans="2:4">
      <c r="B1128" s="159"/>
      <c r="C1128" s="207"/>
      <c r="D1128" s="161"/>
    </row>
    <row r="1129" spans="2:4">
      <c r="B1129" s="159"/>
      <c r="C1129" s="207"/>
      <c r="D1129" s="161"/>
    </row>
    <row r="1130" spans="2:4">
      <c r="B1130" s="159"/>
      <c r="C1130" s="207"/>
      <c r="D1130" s="161"/>
    </row>
    <row r="1131" spans="2:4">
      <c r="B1131" s="159"/>
      <c r="C1131" s="207"/>
      <c r="D1131" s="161"/>
    </row>
    <row r="1132" spans="2:4">
      <c r="B1132" s="159"/>
      <c r="C1132" s="207"/>
      <c r="D1132" s="161"/>
    </row>
    <row r="1133" spans="2:4">
      <c r="B1133" s="159"/>
      <c r="C1133" s="207"/>
      <c r="D1133" s="161"/>
    </row>
    <row r="1134" spans="2:4">
      <c r="B1134" s="159"/>
      <c r="C1134" s="207"/>
      <c r="D1134" s="161"/>
    </row>
    <row r="1135" spans="2:4">
      <c r="B1135" s="159"/>
      <c r="C1135" s="207"/>
      <c r="D1135" s="161"/>
    </row>
    <row r="1136" spans="2:4">
      <c r="B1136" s="159"/>
      <c r="C1136" s="207"/>
      <c r="D1136" s="161"/>
    </row>
    <row r="1137" spans="2:4">
      <c r="B1137" s="159"/>
      <c r="C1137" s="207"/>
      <c r="D1137" s="161"/>
    </row>
    <row r="1138" spans="2:4">
      <c r="B1138" s="159"/>
      <c r="C1138" s="207"/>
      <c r="D1138" s="161"/>
    </row>
    <row r="1139" spans="2:4">
      <c r="B1139" s="159"/>
      <c r="C1139" s="207"/>
      <c r="D1139" s="161"/>
    </row>
    <row r="1140" spans="2:4">
      <c r="B1140" s="159"/>
      <c r="C1140" s="207"/>
      <c r="D1140" s="161"/>
    </row>
    <row r="1141" spans="2:4">
      <c r="B1141" s="159"/>
      <c r="C1141" s="207"/>
      <c r="D1141" s="161"/>
    </row>
    <row r="1142" spans="2:4">
      <c r="B1142" s="159"/>
      <c r="C1142" s="207"/>
      <c r="D1142" s="161"/>
    </row>
    <row r="1143" spans="2:4">
      <c r="B1143" s="159"/>
      <c r="C1143" s="207"/>
      <c r="D1143" s="161"/>
    </row>
    <row r="1144" spans="2:4">
      <c r="B1144" s="159"/>
      <c r="C1144" s="207"/>
      <c r="D1144" s="161"/>
    </row>
    <row r="1145" spans="2:4">
      <c r="B1145" s="159"/>
      <c r="C1145" s="207"/>
      <c r="D1145" s="161"/>
    </row>
    <row r="1146" spans="2:4">
      <c r="B1146" s="159"/>
      <c r="C1146" s="207"/>
      <c r="D1146" s="161"/>
    </row>
    <row r="1147" spans="2:4">
      <c r="B1147" s="159"/>
      <c r="C1147" s="207"/>
      <c r="D1147" s="161"/>
    </row>
    <row r="1148" spans="2:4">
      <c r="B1148" s="159"/>
      <c r="C1148" s="207"/>
      <c r="D1148" s="161"/>
    </row>
    <row r="1149" spans="2:4">
      <c r="B1149" s="159"/>
      <c r="C1149" s="207"/>
      <c r="D1149" s="161"/>
    </row>
    <row r="1150" spans="2:4">
      <c r="B1150" s="159"/>
      <c r="C1150" s="207"/>
      <c r="D1150" s="161"/>
    </row>
    <row r="1151" spans="2:4">
      <c r="B1151" s="159"/>
      <c r="C1151" s="207"/>
      <c r="D1151" s="161"/>
    </row>
    <row r="1152" spans="2:4">
      <c r="B1152" s="159"/>
      <c r="C1152" s="207"/>
      <c r="D1152" s="161"/>
    </row>
    <row r="1153" spans="2:4">
      <c r="B1153" s="159"/>
      <c r="C1153" s="207"/>
      <c r="D1153" s="161"/>
    </row>
    <row r="1154" spans="2:4">
      <c r="B1154" s="159"/>
      <c r="C1154" s="207"/>
      <c r="D1154" s="161"/>
    </row>
    <row r="1155" spans="2:4">
      <c r="B1155" s="159"/>
      <c r="C1155" s="207"/>
      <c r="D1155" s="161"/>
    </row>
    <row r="1156" spans="2:4">
      <c r="B1156" s="159"/>
      <c r="C1156" s="207"/>
      <c r="D1156" s="161"/>
    </row>
    <row r="1157" spans="2:4">
      <c r="B1157" s="159"/>
      <c r="C1157" s="207"/>
      <c r="D1157" s="161"/>
    </row>
    <row r="1158" spans="2:4">
      <c r="B1158" s="159"/>
      <c r="C1158" s="207"/>
      <c r="D1158" s="161"/>
    </row>
    <row r="1159" spans="2:4">
      <c r="B1159" s="159"/>
      <c r="C1159" s="207"/>
      <c r="D1159" s="161"/>
    </row>
    <row r="1160" spans="2:4">
      <c r="B1160" s="159"/>
      <c r="C1160" s="207"/>
      <c r="D1160" s="161"/>
    </row>
    <row r="1161" spans="2:4">
      <c r="B1161" s="159"/>
      <c r="C1161" s="207"/>
      <c r="D1161" s="161"/>
    </row>
    <row r="1162" spans="2:4">
      <c r="B1162" s="159"/>
      <c r="C1162" s="207"/>
      <c r="D1162" s="161"/>
    </row>
    <row r="1163" spans="2:4">
      <c r="B1163" s="159"/>
      <c r="C1163" s="207"/>
      <c r="D1163" s="161"/>
    </row>
    <row r="1164" spans="2:4">
      <c r="B1164" s="159"/>
      <c r="C1164" s="207"/>
      <c r="D1164" s="161"/>
    </row>
    <row r="1165" spans="2:4">
      <c r="B1165" s="159"/>
      <c r="C1165" s="207"/>
      <c r="D1165" s="161"/>
    </row>
    <row r="1166" spans="2:4">
      <c r="B1166" s="159"/>
      <c r="C1166" s="207"/>
      <c r="D1166" s="161"/>
    </row>
    <row r="1167" spans="2:4">
      <c r="B1167" s="159"/>
      <c r="C1167" s="207"/>
      <c r="D1167" s="161"/>
    </row>
    <row r="1168" spans="2:4">
      <c r="B1168" s="159"/>
      <c r="C1168" s="207"/>
      <c r="D1168" s="161"/>
    </row>
    <row r="1169" spans="2:4">
      <c r="B1169" s="159"/>
      <c r="C1169" s="207"/>
      <c r="D1169" s="161"/>
    </row>
    <row r="1170" spans="2:4">
      <c r="B1170" s="159"/>
      <c r="C1170" s="207"/>
      <c r="D1170" s="161"/>
    </row>
    <row r="1171" spans="2:4">
      <c r="B1171" s="159"/>
      <c r="C1171" s="207"/>
      <c r="D1171" s="161"/>
    </row>
    <row r="1172" spans="2:4">
      <c r="B1172" s="159"/>
      <c r="C1172" s="207"/>
      <c r="D1172" s="161"/>
    </row>
    <row r="1173" spans="2:4">
      <c r="B1173" s="159"/>
      <c r="C1173" s="207"/>
      <c r="D1173" s="161"/>
    </row>
    <row r="1174" spans="2:4">
      <c r="B1174" s="159"/>
      <c r="C1174" s="207"/>
      <c r="D1174" s="161"/>
    </row>
    <row r="1175" spans="2:4">
      <c r="B1175" s="159"/>
      <c r="C1175" s="207"/>
      <c r="D1175" s="161"/>
    </row>
    <row r="1176" spans="2:4">
      <c r="B1176" s="159"/>
      <c r="C1176" s="207"/>
      <c r="D1176" s="161"/>
    </row>
    <row r="1177" spans="2:4">
      <c r="B1177" s="159"/>
      <c r="C1177" s="207"/>
      <c r="D1177" s="161"/>
    </row>
    <row r="1178" spans="2:4">
      <c r="B1178" s="159"/>
      <c r="C1178" s="207"/>
      <c r="D1178" s="161"/>
    </row>
    <row r="1179" spans="2:4">
      <c r="B1179" s="159"/>
      <c r="C1179" s="207"/>
      <c r="D1179" s="161"/>
    </row>
    <row r="1180" spans="2:4">
      <c r="B1180" s="159"/>
      <c r="C1180" s="207"/>
      <c r="D1180" s="161"/>
    </row>
    <row r="1181" spans="2:4">
      <c r="B1181" s="159"/>
      <c r="C1181" s="207"/>
      <c r="D1181" s="161"/>
    </row>
    <row r="1182" spans="2:4">
      <c r="B1182" s="159"/>
      <c r="C1182" s="207"/>
      <c r="D1182" s="161"/>
    </row>
    <row r="1183" spans="2:4">
      <c r="B1183" s="159"/>
      <c r="C1183" s="207"/>
      <c r="D1183" s="161"/>
    </row>
    <row r="1184" spans="2:4">
      <c r="B1184" s="159"/>
      <c r="C1184" s="207"/>
      <c r="D1184" s="161"/>
    </row>
    <row r="1185" spans="2:4">
      <c r="B1185" s="159"/>
      <c r="C1185" s="207"/>
      <c r="D1185" s="161"/>
    </row>
    <row r="1186" spans="2:4">
      <c r="B1186" s="159"/>
      <c r="C1186" s="207"/>
      <c r="D1186" s="161"/>
    </row>
    <row r="1187" spans="2:4">
      <c r="B1187" s="159"/>
      <c r="C1187" s="207"/>
      <c r="D1187" s="161"/>
    </row>
    <row r="1188" spans="2:4">
      <c r="B1188" s="159"/>
      <c r="C1188" s="207"/>
      <c r="D1188" s="161"/>
    </row>
    <row r="1189" spans="2:4">
      <c r="B1189" s="159"/>
      <c r="C1189" s="207"/>
      <c r="D1189" s="161"/>
    </row>
    <row r="1190" spans="2:4">
      <c r="B1190" s="159"/>
      <c r="C1190" s="207"/>
      <c r="D1190" s="161"/>
    </row>
    <row r="1191" spans="2:4">
      <c r="B1191" s="159"/>
      <c r="C1191" s="207"/>
      <c r="D1191" s="161"/>
    </row>
    <row r="1192" spans="2:4">
      <c r="B1192" s="159"/>
      <c r="C1192" s="207"/>
      <c r="D1192" s="161"/>
    </row>
    <row r="1193" spans="2:4">
      <c r="B1193" s="159"/>
      <c r="C1193" s="207"/>
      <c r="D1193" s="161"/>
    </row>
    <row r="1194" spans="2:4">
      <c r="B1194" s="159"/>
      <c r="C1194" s="207"/>
      <c r="D1194" s="161"/>
    </row>
    <row r="1195" spans="2:4">
      <c r="B1195" s="159"/>
      <c r="C1195" s="207"/>
      <c r="D1195" s="161"/>
    </row>
    <row r="1196" spans="2:4">
      <c r="B1196" s="159"/>
      <c r="C1196" s="207"/>
      <c r="D1196" s="161"/>
    </row>
    <row r="1197" spans="2:4">
      <c r="B1197" s="159"/>
      <c r="C1197" s="207"/>
      <c r="D1197" s="161"/>
    </row>
    <row r="1198" spans="2:4">
      <c r="B1198" s="159"/>
      <c r="C1198" s="207"/>
      <c r="D1198" s="161"/>
    </row>
    <row r="1199" spans="2:4">
      <c r="B1199" s="159"/>
      <c r="C1199" s="207"/>
      <c r="D1199" s="161"/>
    </row>
    <row r="1200" spans="2:4">
      <c r="B1200" s="159"/>
      <c r="C1200" s="207"/>
      <c r="D1200" s="161"/>
    </row>
    <row r="1201" spans="2:4">
      <c r="B1201" s="159"/>
      <c r="C1201" s="207"/>
      <c r="D1201" s="161"/>
    </row>
    <row r="1202" spans="2:4">
      <c r="B1202" s="159"/>
      <c r="C1202" s="207"/>
      <c r="D1202" s="161"/>
    </row>
    <row r="1203" spans="2:4">
      <c r="B1203" s="159"/>
      <c r="C1203" s="207"/>
      <c r="D1203" s="161"/>
    </row>
    <row r="1204" spans="2:4">
      <c r="B1204" s="159"/>
      <c r="C1204" s="207"/>
      <c r="D1204" s="161"/>
    </row>
    <row r="1205" spans="2:4">
      <c r="B1205" s="159"/>
      <c r="C1205" s="207"/>
      <c r="D1205" s="161"/>
    </row>
    <row r="1206" spans="2:4">
      <c r="B1206" s="159"/>
      <c r="C1206" s="207"/>
      <c r="D1206" s="161"/>
    </row>
    <row r="1207" spans="2:4">
      <c r="B1207" s="159"/>
      <c r="C1207" s="207"/>
      <c r="D1207" s="161"/>
    </row>
    <row r="1208" spans="2:4">
      <c r="B1208" s="159"/>
      <c r="C1208" s="207"/>
      <c r="D1208" s="161"/>
    </row>
    <row r="1209" spans="2:4">
      <c r="B1209" s="159"/>
      <c r="C1209" s="207"/>
      <c r="D1209" s="161"/>
    </row>
    <row r="1210" spans="2:4">
      <c r="B1210" s="159"/>
      <c r="C1210" s="207"/>
      <c r="D1210" s="161"/>
    </row>
    <row r="1211" spans="2:4">
      <c r="B1211" s="159"/>
      <c r="C1211" s="207"/>
      <c r="D1211" s="161"/>
    </row>
    <row r="1212" spans="2:4">
      <c r="B1212" s="159"/>
      <c r="C1212" s="207"/>
      <c r="D1212" s="161"/>
    </row>
    <row r="1213" spans="2:4">
      <c r="B1213" s="159"/>
      <c r="C1213" s="207"/>
      <c r="D1213" s="161"/>
    </row>
    <row r="1214" spans="2:4">
      <c r="B1214" s="159"/>
      <c r="C1214" s="207"/>
      <c r="D1214" s="161"/>
    </row>
    <row r="1215" spans="2:4">
      <c r="B1215" s="159"/>
      <c r="C1215" s="207"/>
      <c r="D1215" s="161"/>
    </row>
    <row r="1216" spans="2:4">
      <c r="B1216" s="159"/>
      <c r="C1216" s="207"/>
      <c r="D1216" s="161"/>
    </row>
    <row r="1217" spans="2:4">
      <c r="B1217" s="159"/>
      <c r="C1217" s="207"/>
      <c r="D1217" s="161"/>
    </row>
    <row r="1218" spans="2:4">
      <c r="B1218" s="159"/>
      <c r="C1218" s="207"/>
      <c r="D1218" s="161"/>
    </row>
    <row r="1219" spans="2:4">
      <c r="B1219" s="159"/>
      <c r="C1219" s="207"/>
      <c r="D1219" s="161"/>
    </row>
    <row r="1220" spans="2:4">
      <c r="B1220" s="159"/>
      <c r="C1220" s="207"/>
      <c r="D1220" s="161"/>
    </row>
    <row r="1221" spans="2:4">
      <c r="B1221" s="159"/>
      <c r="C1221" s="207"/>
      <c r="D1221" s="161"/>
    </row>
    <row r="1222" spans="2:4">
      <c r="B1222" s="159"/>
      <c r="C1222" s="207"/>
      <c r="D1222" s="161"/>
    </row>
    <row r="1223" spans="2:4">
      <c r="B1223" s="159"/>
      <c r="C1223" s="207"/>
      <c r="D1223" s="161"/>
    </row>
    <row r="1224" spans="2:4">
      <c r="B1224" s="159"/>
      <c r="C1224" s="207"/>
      <c r="D1224" s="161"/>
    </row>
    <row r="1225" spans="2:4">
      <c r="B1225" s="159"/>
      <c r="C1225" s="207"/>
      <c r="D1225" s="161"/>
    </row>
    <row r="1226" spans="2:4">
      <c r="B1226" s="159"/>
      <c r="C1226" s="207"/>
      <c r="D1226" s="161"/>
    </row>
    <row r="1227" spans="2:4">
      <c r="B1227" s="159"/>
      <c r="C1227" s="207"/>
      <c r="D1227" s="161"/>
    </row>
    <row r="1228" spans="2:4">
      <c r="B1228" s="159"/>
      <c r="C1228" s="207"/>
      <c r="D1228" s="161"/>
    </row>
    <row r="1229" spans="2:4">
      <c r="B1229" s="159"/>
      <c r="C1229" s="207"/>
      <c r="D1229" s="161"/>
    </row>
    <row r="1230" spans="2:4">
      <c r="B1230" s="159"/>
      <c r="C1230" s="207"/>
      <c r="D1230" s="161"/>
    </row>
    <row r="1231" spans="2:4">
      <c r="B1231" s="159"/>
      <c r="C1231" s="207"/>
      <c r="D1231" s="161"/>
    </row>
    <row r="1232" spans="2:4">
      <c r="B1232" s="159"/>
      <c r="C1232" s="207"/>
      <c r="D1232" s="161"/>
    </row>
    <row r="1233" spans="2:4">
      <c r="B1233" s="159"/>
      <c r="C1233" s="207"/>
      <c r="D1233" s="161"/>
    </row>
    <row r="1234" spans="2:4">
      <c r="B1234" s="159"/>
      <c r="C1234" s="207"/>
      <c r="D1234" s="161"/>
    </row>
    <row r="1235" spans="2:4">
      <c r="B1235" s="159"/>
      <c r="C1235" s="207"/>
      <c r="D1235" s="161"/>
    </row>
    <row r="1236" spans="2:4">
      <c r="B1236" s="159"/>
      <c r="C1236" s="207"/>
      <c r="D1236" s="161"/>
    </row>
    <row r="1237" spans="2:4">
      <c r="B1237" s="159"/>
      <c r="C1237" s="207"/>
      <c r="D1237" s="161"/>
    </row>
    <row r="1238" spans="2:4">
      <c r="B1238" s="159"/>
      <c r="C1238" s="207"/>
      <c r="D1238" s="161"/>
    </row>
    <row r="1239" spans="2:4">
      <c r="B1239" s="159"/>
      <c r="C1239" s="207"/>
      <c r="D1239" s="161"/>
    </row>
    <row r="1240" spans="2:4">
      <c r="B1240" s="159"/>
      <c r="C1240" s="207"/>
      <c r="D1240" s="161"/>
    </row>
    <row r="1241" spans="2:4">
      <c r="B1241" s="159"/>
      <c r="C1241" s="207"/>
      <c r="D1241" s="161"/>
    </row>
    <row r="1242" spans="2:4">
      <c r="B1242" s="159"/>
      <c r="C1242" s="207"/>
      <c r="D1242" s="161"/>
    </row>
    <row r="1243" spans="2:4">
      <c r="B1243" s="159"/>
      <c r="C1243" s="207"/>
      <c r="D1243" s="161"/>
    </row>
    <row r="1244" spans="2:4">
      <c r="B1244" s="159"/>
      <c r="C1244" s="207"/>
      <c r="D1244" s="161"/>
    </row>
    <row r="1245" spans="2:4">
      <c r="B1245" s="159"/>
      <c r="C1245" s="207"/>
      <c r="D1245" s="161"/>
    </row>
    <row r="1246" spans="2:4">
      <c r="B1246" s="159"/>
      <c r="C1246" s="207"/>
      <c r="D1246" s="161"/>
    </row>
    <row r="1247" spans="2:4">
      <c r="B1247" s="159"/>
      <c r="C1247" s="207"/>
      <c r="D1247" s="161"/>
    </row>
    <row r="1248" spans="2:4">
      <c r="B1248" s="159"/>
      <c r="C1248" s="207"/>
      <c r="D1248" s="161"/>
    </row>
    <row r="1249" spans="2:4">
      <c r="B1249" s="159"/>
      <c r="C1249" s="207"/>
      <c r="D1249" s="161"/>
    </row>
    <row r="1250" spans="2:4">
      <c r="B1250" s="159"/>
      <c r="C1250" s="207"/>
      <c r="D1250" s="161"/>
    </row>
    <row r="1251" spans="2:4">
      <c r="B1251" s="159"/>
      <c r="C1251" s="207"/>
      <c r="D1251" s="161"/>
    </row>
    <row r="1252" spans="2:4">
      <c r="B1252" s="159"/>
      <c r="C1252" s="207"/>
      <c r="D1252" s="161"/>
    </row>
    <row r="1253" spans="2:4">
      <c r="B1253" s="159"/>
      <c r="C1253" s="207"/>
      <c r="D1253" s="161"/>
    </row>
    <row r="1254" spans="2:4">
      <c r="B1254" s="159"/>
      <c r="C1254" s="207"/>
      <c r="D1254" s="161"/>
    </row>
    <row r="1255" spans="2:4">
      <c r="B1255" s="159"/>
      <c r="C1255" s="207"/>
      <c r="D1255" s="161"/>
    </row>
    <row r="1256" spans="2:4">
      <c r="B1256" s="159"/>
      <c r="C1256" s="207"/>
      <c r="D1256" s="161"/>
    </row>
    <row r="1257" spans="2:4">
      <c r="B1257" s="159"/>
      <c r="C1257" s="207"/>
      <c r="D1257" s="161"/>
    </row>
    <row r="1258" spans="2:4">
      <c r="B1258" s="159"/>
      <c r="C1258" s="207"/>
      <c r="D1258" s="161"/>
    </row>
    <row r="1259" spans="2:4">
      <c r="B1259" s="159"/>
      <c r="C1259" s="207"/>
      <c r="D1259" s="161"/>
    </row>
    <row r="1260" spans="2:4">
      <c r="B1260" s="159"/>
      <c r="C1260" s="207"/>
      <c r="D1260" s="161"/>
    </row>
    <row r="1261" spans="2:4">
      <c r="B1261" s="159"/>
      <c r="C1261" s="207"/>
      <c r="D1261" s="161"/>
    </row>
    <row r="1262" spans="2:4">
      <c r="B1262" s="159"/>
      <c r="C1262" s="207"/>
      <c r="D1262" s="161"/>
    </row>
    <row r="1263" spans="2:4">
      <c r="B1263" s="159"/>
      <c r="C1263" s="207"/>
      <c r="D1263" s="161"/>
    </row>
    <row r="1264" spans="2:4">
      <c r="B1264" s="159"/>
      <c r="C1264" s="207"/>
      <c r="D1264" s="161"/>
    </row>
    <row r="1265" spans="2:4">
      <c r="B1265" s="159"/>
      <c r="C1265" s="207"/>
      <c r="D1265" s="161"/>
    </row>
    <row r="1266" spans="2:4">
      <c r="B1266" s="159"/>
      <c r="C1266" s="207"/>
      <c r="D1266" s="161"/>
    </row>
    <row r="1267" spans="2:4">
      <c r="B1267" s="159"/>
      <c r="C1267" s="207"/>
      <c r="D1267" s="161"/>
    </row>
    <row r="1268" spans="2:4">
      <c r="B1268" s="159"/>
      <c r="C1268" s="207"/>
      <c r="D1268" s="161"/>
    </row>
    <row r="1269" spans="2:4">
      <c r="B1269" s="159"/>
      <c r="C1269" s="207"/>
      <c r="D1269" s="161"/>
    </row>
    <row r="1270" spans="2:4">
      <c r="B1270" s="159"/>
      <c r="C1270" s="207"/>
      <c r="D1270" s="161"/>
    </row>
    <row r="1271" spans="2:4">
      <c r="B1271" s="159"/>
      <c r="C1271" s="207"/>
      <c r="D1271" s="161"/>
    </row>
    <row r="1272" spans="2:4">
      <c r="B1272" s="159"/>
      <c r="C1272" s="207"/>
      <c r="D1272" s="161"/>
    </row>
    <row r="1273" spans="2:4">
      <c r="B1273" s="159"/>
      <c r="C1273" s="207"/>
      <c r="D1273" s="161"/>
    </row>
    <row r="1274" spans="2:4">
      <c r="B1274" s="159"/>
      <c r="C1274" s="207"/>
      <c r="D1274" s="161"/>
    </row>
    <row r="1275" spans="2:4">
      <c r="B1275" s="159"/>
      <c r="C1275" s="207"/>
      <c r="D1275" s="161"/>
    </row>
    <row r="1276" spans="2:4">
      <c r="B1276" s="159"/>
      <c r="C1276" s="207"/>
      <c r="D1276" s="161"/>
    </row>
    <row r="1277" spans="2:4">
      <c r="B1277" s="159"/>
      <c r="C1277" s="207"/>
      <c r="D1277" s="161"/>
    </row>
    <row r="1278" spans="2:4">
      <c r="B1278" s="159"/>
      <c r="C1278" s="207"/>
      <c r="D1278" s="161"/>
    </row>
    <row r="1279" spans="2:4">
      <c r="B1279" s="159"/>
      <c r="C1279" s="207"/>
      <c r="D1279" s="161"/>
    </row>
    <row r="1280" spans="2:4">
      <c r="B1280" s="159"/>
      <c r="C1280" s="207"/>
      <c r="D1280" s="161"/>
    </row>
    <row r="1281" spans="2:4">
      <c r="B1281" s="159"/>
      <c r="C1281" s="207"/>
      <c r="D1281" s="161"/>
    </row>
    <row r="1282" spans="2:4">
      <c r="B1282" s="159"/>
      <c r="C1282" s="207"/>
      <c r="D1282" s="161"/>
    </row>
    <row r="1283" spans="2:4">
      <c r="B1283" s="159"/>
      <c r="C1283" s="207"/>
      <c r="D1283" s="161"/>
    </row>
    <row r="1284" spans="2:4">
      <c r="B1284" s="159"/>
      <c r="C1284" s="207"/>
      <c r="D1284" s="161"/>
    </row>
    <row r="1285" spans="2:4">
      <c r="B1285" s="159"/>
      <c r="C1285" s="207"/>
      <c r="D1285" s="161"/>
    </row>
    <row r="1286" spans="2:4">
      <c r="B1286" s="159"/>
      <c r="C1286" s="207"/>
      <c r="D1286" s="161"/>
    </row>
    <row r="1287" spans="2:4">
      <c r="B1287" s="159"/>
      <c r="C1287" s="207"/>
      <c r="D1287" s="161"/>
    </row>
    <row r="1288" spans="2:4">
      <c r="B1288" s="159"/>
      <c r="C1288" s="207"/>
      <c r="D1288" s="161"/>
    </row>
    <row r="1289" spans="2:4">
      <c r="B1289" s="159"/>
      <c r="C1289" s="207"/>
      <c r="D1289" s="161"/>
    </row>
    <row r="1290" spans="2:4">
      <c r="B1290" s="159"/>
      <c r="C1290" s="207"/>
      <c r="D1290" s="161"/>
    </row>
    <row r="1291" spans="2:4">
      <c r="B1291" s="159"/>
      <c r="C1291" s="207"/>
      <c r="D1291" s="161"/>
    </row>
    <row r="1292" spans="2:4">
      <c r="B1292" s="159"/>
      <c r="C1292" s="207"/>
      <c r="D1292" s="161"/>
    </row>
    <row r="1293" spans="2:4">
      <c r="B1293" s="159"/>
      <c r="C1293" s="207"/>
      <c r="D1293" s="161"/>
    </row>
    <row r="1294" spans="2:4">
      <c r="B1294" s="159"/>
      <c r="C1294" s="207"/>
      <c r="D1294" s="161"/>
    </row>
    <row r="1295" spans="2:4">
      <c r="B1295" s="159"/>
      <c r="C1295" s="207"/>
      <c r="D1295" s="161"/>
    </row>
    <row r="1296" spans="2:4">
      <c r="B1296" s="159"/>
      <c r="C1296" s="207"/>
      <c r="D1296" s="161"/>
    </row>
    <row r="1297" spans="2:4">
      <c r="B1297" s="159"/>
      <c r="C1297" s="207"/>
      <c r="D1297" s="161"/>
    </row>
    <row r="1298" spans="2:4">
      <c r="B1298" s="159"/>
      <c r="C1298" s="207"/>
      <c r="D1298" s="161"/>
    </row>
    <row r="1299" spans="2:4">
      <c r="B1299" s="159"/>
      <c r="C1299" s="207"/>
      <c r="D1299" s="161"/>
    </row>
    <row r="1300" spans="2:4">
      <c r="B1300" s="159"/>
      <c r="C1300" s="207"/>
      <c r="D1300" s="161"/>
    </row>
    <row r="1301" spans="2:4">
      <c r="B1301" s="159"/>
      <c r="C1301" s="207"/>
      <c r="D1301" s="161"/>
    </row>
    <row r="1302" spans="2:4">
      <c r="B1302" s="159"/>
      <c r="C1302" s="207"/>
      <c r="D1302" s="161"/>
    </row>
    <row r="1303" spans="2:4">
      <c r="B1303" s="159"/>
      <c r="C1303" s="207"/>
      <c r="D1303" s="161"/>
    </row>
    <row r="1304" spans="2:4">
      <c r="B1304" s="159"/>
      <c r="C1304" s="207"/>
      <c r="D1304" s="161"/>
    </row>
    <row r="1305" spans="2:4">
      <c r="B1305" s="159"/>
      <c r="C1305" s="207"/>
      <c r="D1305" s="161"/>
    </row>
    <row r="1306" spans="2:4">
      <c r="B1306" s="159"/>
      <c r="C1306" s="207"/>
      <c r="D1306" s="161"/>
    </row>
    <row r="1307" spans="2:4">
      <c r="B1307" s="159"/>
      <c r="C1307" s="207"/>
      <c r="D1307" s="161"/>
    </row>
    <row r="1308" spans="2:4">
      <c r="B1308" s="159"/>
      <c r="C1308" s="207"/>
      <c r="D1308" s="161"/>
    </row>
    <row r="1309" spans="2:4">
      <c r="B1309" s="159"/>
      <c r="C1309" s="207"/>
      <c r="D1309" s="161"/>
    </row>
    <row r="1310" spans="2:4">
      <c r="B1310" s="159"/>
      <c r="C1310" s="207"/>
      <c r="D1310" s="161"/>
    </row>
    <row r="1311" spans="2:4">
      <c r="B1311" s="159"/>
      <c r="C1311" s="207"/>
      <c r="D1311" s="161"/>
    </row>
    <row r="1312" spans="2:4">
      <c r="B1312" s="159"/>
      <c r="C1312" s="207"/>
      <c r="D1312" s="161"/>
    </row>
    <row r="1313" spans="2:4">
      <c r="B1313" s="159"/>
      <c r="C1313" s="207"/>
      <c r="D1313" s="161"/>
    </row>
    <row r="1314" spans="2:4">
      <c r="B1314" s="159"/>
      <c r="C1314" s="207"/>
      <c r="D1314" s="161"/>
    </row>
    <row r="1315" spans="2:4">
      <c r="B1315" s="159"/>
      <c r="C1315" s="207"/>
      <c r="D1315" s="161"/>
    </row>
    <row r="1316" spans="2:4">
      <c r="B1316" s="159"/>
      <c r="C1316" s="207"/>
      <c r="D1316" s="161"/>
    </row>
    <row r="1317" spans="2:4">
      <c r="B1317" s="159"/>
      <c r="C1317" s="207"/>
      <c r="D1317" s="161"/>
    </row>
    <row r="1318" spans="2:4">
      <c r="B1318" s="159"/>
      <c r="C1318" s="207"/>
      <c r="D1318" s="161"/>
    </row>
    <row r="1319" spans="2:4">
      <c r="B1319" s="159"/>
      <c r="C1319" s="207"/>
      <c r="D1319" s="161"/>
    </row>
    <row r="1320" spans="2:4">
      <c r="B1320" s="159"/>
      <c r="C1320" s="207"/>
      <c r="D1320" s="161"/>
    </row>
    <row r="1321" spans="2:4">
      <c r="B1321" s="159"/>
      <c r="C1321" s="207"/>
      <c r="D1321" s="161"/>
    </row>
    <row r="1322" spans="2:4">
      <c r="B1322" s="159"/>
      <c r="C1322" s="207"/>
      <c r="D1322" s="161"/>
    </row>
    <row r="1323" spans="2:4">
      <c r="B1323" s="159"/>
      <c r="C1323" s="207"/>
      <c r="D1323" s="161"/>
    </row>
    <row r="1324" spans="2:4">
      <c r="B1324" s="159"/>
      <c r="C1324" s="207"/>
      <c r="D1324" s="161"/>
    </row>
    <row r="1325" spans="2:4">
      <c r="B1325" s="159"/>
      <c r="C1325" s="207"/>
      <c r="D1325" s="161"/>
    </row>
    <row r="1326" spans="2:4">
      <c r="B1326" s="159"/>
      <c r="C1326" s="207"/>
      <c r="D1326" s="161"/>
    </row>
    <row r="1327" spans="2:4">
      <c r="B1327" s="159"/>
      <c r="C1327" s="207"/>
      <c r="D1327" s="161"/>
    </row>
    <row r="1328" spans="2:4">
      <c r="B1328" s="159"/>
      <c r="C1328" s="207"/>
      <c r="D1328" s="161"/>
    </row>
    <row r="1329" spans="2:4">
      <c r="B1329" s="159"/>
      <c r="C1329" s="207"/>
      <c r="D1329" s="161"/>
    </row>
    <row r="1330" spans="2:4">
      <c r="B1330" s="159"/>
      <c r="C1330" s="207"/>
      <c r="D1330" s="161"/>
    </row>
    <row r="1331" spans="2:4">
      <c r="B1331" s="159"/>
      <c r="C1331" s="207"/>
      <c r="D1331" s="161"/>
    </row>
    <row r="1332" spans="2:4">
      <c r="B1332" s="159"/>
      <c r="C1332" s="207"/>
      <c r="D1332" s="161"/>
    </row>
    <row r="1333" spans="2:4">
      <c r="B1333" s="159"/>
      <c r="C1333" s="207"/>
      <c r="D1333" s="161"/>
    </row>
    <row r="1334" spans="2:4">
      <c r="B1334" s="159"/>
      <c r="C1334" s="207"/>
      <c r="D1334" s="161"/>
    </row>
    <row r="1335" spans="2:4">
      <c r="B1335" s="159"/>
      <c r="C1335" s="207"/>
      <c r="D1335" s="161"/>
    </row>
    <row r="1336" spans="2:4">
      <c r="B1336" s="159"/>
      <c r="C1336" s="207"/>
      <c r="D1336" s="161"/>
    </row>
    <row r="1337" spans="2:4">
      <c r="B1337" s="159"/>
      <c r="C1337" s="207"/>
      <c r="D1337" s="161"/>
    </row>
    <row r="1338" spans="2:4">
      <c r="B1338" s="159"/>
      <c r="C1338" s="207"/>
      <c r="D1338" s="161"/>
    </row>
    <row r="1339" spans="2:4">
      <c r="B1339" s="159"/>
      <c r="C1339" s="207"/>
      <c r="D1339" s="161"/>
    </row>
    <row r="1340" spans="2:4">
      <c r="B1340" s="159"/>
      <c r="C1340" s="207"/>
      <c r="D1340" s="161"/>
    </row>
    <row r="1341" spans="2:4">
      <c r="B1341" s="159"/>
      <c r="C1341" s="207"/>
      <c r="D1341" s="161"/>
    </row>
    <row r="1342" spans="2:4">
      <c r="B1342" s="159"/>
      <c r="C1342" s="207"/>
      <c r="D1342" s="161"/>
    </row>
    <row r="1343" spans="2:4">
      <c r="B1343" s="159"/>
      <c r="C1343" s="207"/>
      <c r="D1343" s="161"/>
    </row>
    <row r="1344" spans="2:4">
      <c r="B1344" s="159"/>
      <c r="C1344" s="207"/>
      <c r="D1344" s="161"/>
    </row>
    <row r="1345" spans="2:4">
      <c r="B1345" s="159"/>
      <c r="C1345" s="207"/>
      <c r="D1345" s="161"/>
    </row>
    <row r="1346" spans="2:4">
      <c r="B1346" s="159"/>
      <c r="C1346" s="207"/>
      <c r="D1346" s="161"/>
    </row>
    <row r="1347" spans="2:4">
      <c r="B1347" s="159"/>
      <c r="C1347" s="207"/>
      <c r="D1347" s="161"/>
    </row>
    <row r="1348" spans="2:4">
      <c r="B1348" s="159"/>
      <c r="C1348" s="207"/>
      <c r="D1348" s="161"/>
    </row>
    <row r="1349" spans="2:4">
      <c r="B1349" s="159"/>
      <c r="C1349" s="207"/>
      <c r="D1349" s="161"/>
    </row>
    <row r="1350" spans="2:4">
      <c r="B1350" s="159"/>
      <c r="C1350" s="207"/>
      <c r="D1350" s="161"/>
    </row>
    <row r="1351" spans="2:4">
      <c r="B1351" s="159"/>
      <c r="C1351" s="207"/>
      <c r="D1351" s="161"/>
    </row>
    <row r="1352" spans="2:4">
      <c r="B1352" s="159"/>
      <c r="C1352" s="207"/>
      <c r="D1352" s="161"/>
    </row>
    <row r="1353" spans="2:4">
      <c r="B1353" s="159"/>
      <c r="C1353" s="207"/>
      <c r="D1353" s="161"/>
    </row>
    <row r="1354" spans="2:4">
      <c r="B1354" s="159"/>
      <c r="C1354" s="207"/>
      <c r="D1354" s="161"/>
    </row>
    <row r="1355" spans="2:4">
      <c r="B1355" s="159"/>
      <c r="C1355" s="207"/>
      <c r="D1355" s="161"/>
    </row>
    <row r="1356" spans="2:4">
      <c r="B1356" s="159"/>
      <c r="C1356" s="207"/>
      <c r="D1356" s="161"/>
    </row>
    <row r="1357" spans="2:4">
      <c r="B1357" s="159"/>
      <c r="C1357" s="207"/>
      <c r="D1357" s="161"/>
    </row>
    <row r="1358" spans="2:4">
      <c r="B1358" s="159"/>
      <c r="C1358" s="207"/>
      <c r="D1358" s="161"/>
    </row>
    <row r="1359" spans="2:4">
      <c r="B1359" s="159"/>
      <c r="C1359" s="207"/>
      <c r="D1359" s="161"/>
    </row>
    <row r="1360" spans="2:4">
      <c r="B1360" s="159"/>
      <c r="C1360" s="207"/>
      <c r="D1360" s="161"/>
    </row>
    <row r="1361" spans="2:4">
      <c r="B1361" s="159"/>
      <c r="C1361" s="207"/>
      <c r="D1361" s="161"/>
    </row>
    <row r="1362" spans="2:4">
      <c r="B1362" s="159"/>
      <c r="C1362" s="207"/>
      <c r="D1362" s="161"/>
    </row>
    <row r="1363" spans="2:4">
      <c r="B1363" s="159"/>
      <c r="C1363" s="207"/>
      <c r="D1363" s="161"/>
    </row>
    <row r="1364" spans="2:4">
      <c r="B1364" s="159"/>
      <c r="C1364" s="207"/>
      <c r="D1364" s="161"/>
    </row>
    <row r="1365" spans="2:4">
      <c r="B1365" s="159"/>
      <c r="C1365" s="207"/>
      <c r="D1365" s="161"/>
    </row>
    <row r="1366" spans="2:4">
      <c r="B1366" s="159"/>
      <c r="C1366" s="207"/>
      <c r="D1366" s="161"/>
    </row>
    <row r="1367" spans="2:4">
      <c r="B1367" s="159"/>
      <c r="C1367" s="207"/>
      <c r="D1367" s="161"/>
    </row>
    <row r="1368" spans="2:4">
      <c r="B1368" s="159"/>
      <c r="C1368" s="207"/>
      <c r="D1368" s="161"/>
    </row>
    <row r="1369" spans="2:4">
      <c r="B1369" s="159"/>
      <c r="C1369" s="207"/>
      <c r="D1369" s="161"/>
    </row>
    <row r="1370" spans="2:4">
      <c r="B1370" s="159"/>
      <c r="C1370" s="207"/>
      <c r="D1370" s="161"/>
    </row>
    <row r="1371" spans="2:4">
      <c r="B1371" s="159"/>
      <c r="C1371" s="207"/>
      <c r="D1371" s="161"/>
    </row>
    <row r="1372" spans="2:4">
      <c r="B1372" s="159"/>
      <c r="C1372" s="207"/>
      <c r="D1372" s="161"/>
    </row>
    <row r="1373" spans="2:4">
      <c r="B1373" s="159"/>
      <c r="C1373" s="207"/>
      <c r="D1373" s="161"/>
    </row>
    <row r="1374" spans="2:4">
      <c r="B1374" s="159"/>
      <c r="C1374" s="207"/>
      <c r="D1374" s="161"/>
    </row>
    <row r="1375" spans="2:4">
      <c r="B1375" s="159"/>
      <c r="C1375" s="207"/>
      <c r="D1375" s="161"/>
    </row>
    <row r="1376" spans="2:4">
      <c r="B1376" s="159"/>
      <c r="C1376" s="207"/>
      <c r="D1376" s="161"/>
    </row>
    <row r="1377" spans="2:4">
      <c r="B1377" s="159"/>
      <c r="C1377" s="207"/>
      <c r="D1377" s="161"/>
    </row>
    <row r="1378" spans="2:4">
      <c r="B1378" s="159"/>
      <c r="C1378" s="207"/>
      <c r="D1378" s="161"/>
    </row>
    <row r="1379" spans="2:4">
      <c r="B1379" s="159"/>
      <c r="C1379" s="207"/>
      <c r="D1379" s="161"/>
    </row>
    <row r="1380" spans="2:4">
      <c r="B1380" s="159"/>
      <c r="C1380" s="207"/>
      <c r="D1380" s="161"/>
    </row>
    <row r="1381" spans="2:4">
      <c r="B1381" s="159"/>
      <c r="C1381" s="207"/>
      <c r="D1381" s="161"/>
    </row>
    <row r="1382" spans="2:4">
      <c r="B1382" s="159"/>
      <c r="C1382" s="207"/>
      <c r="D1382" s="161"/>
    </row>
    <row r="1383" spans="2:4">
      <c r="B1383" s="159"/>
      <c r="C1383" s="207"/>
      <c r="D1383" s="161"/>
    </row>
    <row r="1384" spans="2:4">
      <c r="B1384" s="159"/>
      <c r="C1384" s="207"/>
      <c r="D1384" s="161"/>
    </row>
    <row r="1385" spans="2:4">
      <c r="B1385" s="159"/>
      <c r="C1385" s="207"/>
      <c r="D1385" s="161"/>
    </row>
    <row r="1386" spans="2:4">
      <c r="B1386" s="159"/>
      <c r="C1386" s="207"/>
      <c r="D1386" s="161"/>
    </row>
    <row r="1387" spans="2:4">
      <c r="B1387" s="159"/>
      <c r="C1387" s="207"/>
      <c r="D1387" s="161"/>
    </row>
    <row r="1388" spans="2:4">
      <c r="B1388" s="159"/>
      <c r="C1388" s="207"/>
      <c r="D1388" s="161"/>
    </row>
    <row r="1389" spans="2:4">
      <c r="B1389" s="159"/>
      <c r="C1389" s="207"/>
      <c r="D1389" s="161"/>
    </row>
    <row r="1390" spans="2:4">
      <c r="B1390" s="159"/>
      <c r="C1390" s="207"/>
      <c r="D1390" s="161"/>
    </row>
    <row r="1391" spans="2:4">
      <c r="B1391" s="159"/>
      <c r="C1391" s="207"/>
      <c r="D1391" s="161"/>
    </row>
    <row r="1392" spans="2:4">
      <c r="B1392" s="159"/>
      <c r="C1392" s="207"/>
      <c r="D1392" s="161"/>
    </row>
    <row r="1393" spans="2:4">
      <c r="B1393" s="159"/>
      <c r="C1393" s="207"/>
      <c r="D1393" s="161"/>
    </row>
    <row r="1394" spans="2:4">
      <c r="B1394" s="159"/>
      <c r="C1394" s="207"/>
      <c r="D1394" s="161"/>
    </row>
    <row r="1395" spans="2:4">
      <c r="B1395" s="159"/>
      <c r="C1395" s="207"/>
      <c r="D1395" s="161"/>
    </row>
    <row r="1396" spans="2:4">
      <c r="B1396" s="159"/>
      <c r="C1396" s="207"/>
      <c r="D1396" s="161"/>
    </row>
    <row r="1397" spans="2:4">
      <c r="B1397" s="159"/>
      <c r="C1397" s="207"/>
      <c r="D1397" s="161"/>
    </row>
    <row r="1398" spans="2:4">
      <c r="B1398" s="159"/>
      <c r="C1398" s="207"/>
      <c r="D1398" s="161"/>
    </row>
    <row r="1399" spans="2:4">
      <c r="B1399" s="159"/>
      <c r="C1399" s="207"/>
      <c r="D1399" s="161"/>
    </row>
    <row r="1400" spans="2:4">
      <c r="B1400" s="159"/>
      <c r="C1400" s="207"/>
      <c r="D1400" s="161"/>
    </row>
    <row r="1401" spans="2:4">
      <c r="B1401" s="159"/>
      <c r="C1401" s="207"/>
      <c r="D1401" s="161"/>
    </row>
    <row r="1402" spans="2:4">
      <c r="B1402" s="159"/>
      <c r="C1402" s="207"/>
      <c r="D1402" s="161"/>
    </row>
    <row r="1403" spans="2:4">
      <c r="B1403" s="159"/>
      <c r="C1403" s="207"/>
      <c r="D1403" s="161"/>
    </row>
    <row r="1404" spans="2:4">
      <c r="B1404" s="159"/>
      <c r="C1404" s="207"/>
      <c r="D1404" s="161"/>
    </row>
    <row r="1405" spans="2:4">
      <c r="B1405" s="159"/>
      <c r="C1405" s="207"/>
      <c r="D1405" s="161"/>
    </row>
    <row r="1406" spans="2:4">
      <c r="B1406" s="159"/>
      <c r="C1406" s="207"/>
      <c r="D1406" s="161"/>
    </row>
    <row r="1407" spans="2:4">
      <c r="B1407" s="159"/>
      <c r="C1407" s="207"/>
      <c r="D1407" s="161"/>
    </row>
    <row r="1408" spans="2:4">
      <c r="B1408" s="159"/>
      <c r="C1408" s="207"/>
      <c r="D1408" s="161"/>
    </row>
    <row r="1409" spans="2:4">
      <c r="B1409" s="159"/>
      <c r="C1409" s="207"/>
      <c r="D1409" s="161"/>
    </row>
    <row r="1410" spans="2:4">
      <c r="B1410" s="159"/>
      <c r="C1410" s="207"/>
      <c r="D1410" s="161"/>
    </row>
    <row r="1411" spans="2:4">
      <c r="B1411" s="159"/>
      <c r="C1411" s="207"/>
      <c r="D1411" s="161"/>
    </row>
    <row r="1412" spans="2:4">
      <c r="B1412" s="159"/>
      <c r="C1412" s="207"/>
      <c r="D1412" s="161"/>
    </row>
    <row r="1413" spans="2:4">
      <c r="B1413" s="159"/>
      <c r="C1413" s="207"/>
      <c r="D1413" s="161"/>
    </row>
    <row r="1414" spans="2:4">
      <c r="B1414" s="159"/>
      <c r="C1414" s="207"/>
      <c r="D1414" s="161"/>
    </row>
    <row r="1415" spans="2:4">
      <c r="B1415" s="159"/>
      <c r="C1415" s="207"/>
      <c r="D1415" s="161"/>
    </row>
    <row r="1416" spans="2:4">
      <c r="B1416" s="159"/>
      <c r="C1416" s="207"/>
      <c r="D1416" s="161"/>
    </row>
    <row r="1417" spans="2:4">
      <c r="B1417" s="159"/>
      <c r="C1417" s="207"/>
      <c r="D1417" s="161"/>
    </row>
    <row r="1418" spans="2:4">
      <c r="B1418" s="159"/>
      <c r="C1418" s="207"/>
      <c r="D1418" s="161"/>
    </row>
    <row r="1419" spans="2:4">
      <c r="B1419" s="159"/>
      <c r="C1419" s="207"/>
      <c r="D1419" s="161"/>
    </row>
    <row r="1420" spans="2:4">
      <c r="B1420" s="159"/>
      <c r="C1420" s="207"/>
      <c r="D1420" s="161"/>
    </row>
    <row r="1421" spans="2:4">
      <c r="B1421" s="159"/>
      <c r="C1421" s="207"/>
      <c r="D1421" s="161"/>
    </row>
    <row r="1422" spans="2:4">
      <c r="B1422" s="159"/>
      <c r="C1422" s="207"/>
      <c r="D1422" s="161"/>
    </row>
    <row r="1423" spans="2:4">
      <c r="B1423" s="159"/>
      <c r="C1423" s="207"/>
      <c r="D1423" s="161"/>
    </row>
    <row r="1424" spans="2:4">
      <c r="B1424" s="159"/>
      <c r="C1424" s="207"/>
      <c r="D1424" s="161"/>
    </row>
    <row r="1425" spans="2:4">
      <c r="B1425" s="159"/>
      <c r="C1425" s="207"/>
      <c r="D1425" s="161"/>
    </row>
    <row r="1426" spans="2:4">
      <c r="B1426" s="159"/>
      <c r="C1426" s="207"/>
      <c r="D1426" s="161"/>
    </row>
    <row r="1427" spans="2:4">
      <c r="B1427" s="159"/>
      <c r="C1427" s="207"/>
      <c r="D1427" s="161"/>
    </row>
    <row r="1428" spans="2:4">
      <c r="B1428" s="159"/>
      <c r="C1428" s="207"/>
      <c r="D1428" s="161"/>
    </row>
    <row r="1429" spans="2:4">
      <c r="B1429" s="159"/>
      <c r="C1429" s="207"/>
      <c r="D1429" s="161"/>
    </row>
    <row r="1430" spans="2:4">
      <c r="B1430" s="159"/>
      <c r="C1430" s="207"/>
      <c r="D1430" s="161"/>
    </row>
    <row r="1431" spans="2:4">
      <c r="B1431" s="159"/>
      <c r="C1431" s="207"/>
      <c r="D1431" s="161"/>
    </row>
    <row r="1432" spans="2:4">
      <c r="B1432" s="159"/>
      <c r="C1432" s="207"/>
      <c r="D1432" s="161"/>
    </row>
    <row r="1433" spans="2:4">
      <c r="B1433" s="159"/>
      <c r="C1433" s="207"/>
      <c r="D1433" s="161"/>
    </row>
    <row r="1434" spans="2:4">
      <c r="B1434" s="159"/>
      <c r="C1434" s="207"/>
      <c r="D1434" s="161"/>
    </row>
    <row r="1435" spans="2:4">
      <c r="B1435" s="159"/>
      <c r="C1435" s="207"/>
      <c r="D1435" s="161"/>
    </row>
    <row r="1436" spans="2:4">
      <c r="B1436" s="159"/>
      <c r="C1436" s="207"/>
      <c r="D1436" s="161"/>
    </row>
    <row r="1437" spans="2:4">
      <c r="B1437" s="159"/>
      <c r="C1437" s="207"/>
      <c r="D1437" s="161"/>
    </row>
    <row r="1438" spans="2:4">
      <c r="B1438" s="159"/>
      <c r="C1438" s="207"/>
      <c r="D1438" s="161"/>
    </row>
    <row r="1439" spans="2:4">
      <c r="B1439" s="159"/>
      <c r="C1439" s="207"/>
      <c r="D1439" s="161"/>
    </row>
    <row r="1440" spans="2:4">
      <c r="B1440" s="159"/>
      <c r="C1440" s="207"/>
      <c r="D1440" s="161"/>
    </row>
    <row r="1441" spans="2:4">
      <c r="B1441" s="159"/>
      <c r="C1441" s="207"/>
      <c r="D1441" s="161"/>
    </row>
    <row r="1442" spans="2:4">
      <c r="B1442" s="159"/>
      <c r="C1442" s="207"/>
      <c r="D1442" s="161"/>
    </row>
    <row r="1443" spans="2:4">
      <c r="B1443" s="159"/>
      <c r="C1443" s="207"/>
      <c r="D1443" s="161"/>
    </row>
    <row r="1444" spans="2:4">
      <c r="B1444" s="159"/>
      <c r="C1444" s="207"/>
      <c r="D1444" s="161"/>
    </row>
    <row r="1445" spans="2:4">
      <c r="B1445" s="159"/>
      <c r="C1445" s="207"/>
      <c r="D1445" s="161"/>
    </row>
    <row r="1446" spans="2:4">
      <c r="B1446" s="159"/>
      <c r="C1446" s="207"/>
      <c r="D1446" s="161"/>
    </row>
    <row r="1447" spans="2:4">
      <c r="B1447" s="159"/>
      <c r="C1447" s="207"/>
      <c r="D1447" s="161"/>
    </row>
    <row r="1448" spans="2:4">
      <c r="B1448" s="159"/>
      <c r="C1448" s="207"/>
      <c r="D1448" s="161"/>
    </row>
    <row r="1449" spans="2:4">
      <c r="B1449" s="159"/>
      <c r="C1449" s="207"/>
      <c r="D1449" s="161"/>
    </row>
    <row r="1450" spans="2:4">
      <c r="B1450" s="159"/>
      <c r="C1450" s="207"/>
      <c r="D1450" s="161"/>
    </row>
    <row r="1451" spans="2:4">
      <c r="B1451" s="159"/>
      <c r="C1451" s="207"/>
      <c r="D1451" s="161"/>
    </row>
    <row r="1452" spans="2:4">
      <c r="B1452" s="159"/>
      <c r="C1452" s="207"/>
      <c r="D1452" s="161"/>
    </row>
    <row r="1453" spans="2:4">
      <c r="B1453" s="159"/>
      <c r="C1453" s="207"/>
      <c r="D1453" s="161"/>
    </row>
    <row r="1454" spans="2:4">
      <c r="B1454" s="159"/>
      <c r="C1454" s="207"/>
      <c r="D1454" s="161"/>
    </row>
    <row r="1455" spans="2:4">
      <c r="B1455" s="159"/>
      <c r="C1455" s="207"/>
      <c r="D1455" s="161"/>
    </row>
    <row r="1456" spans="2:4">
      <c r="B1456" s="159"/>
      <c r="C1456" s="207"/>
      <c r="D1456" s="161"/>
    </row>
    <row r="1457" spans="2:4">
      <c r="B1457" s="159"/>
      <c r="C1457" s="207"/>
      <c r="D1457" s="161"/>
    </row>
    <row r="1458" spans="2:4">
      <c r="B1458" s="159"/>
      <c r="C1458" s="207"/>
      <c r="D1458" s="161"/>
    </row>
    <row r="1459" spans="2:4">
      <c r="B1459" s="159"/>
      <c r="C1459" s="207"/>
      <c r="D1459" s="161"/>
    </row>
    <row r="1460" spans="2:4">
      <c r="B1460" s="159"/>
      <c r="C1460" s="207"/>
      <c r="D1460" s="161"/>
    </row>
    <row r="1461" spans="2:4">
      <c r="B1461" s="159"/>
      <c r="C1461" s="207"/>
      <c r="D1461" s="161"/>
    </row>
    <row r="1462" spans="2:4">
      <c r="B1462" s="159"/>
      <c r="C1462" s="207"/>
      <c r="D1462" s="161"/>
    </row>
    <row r="1463" spans="2:4">
      <c r="B1463" s="159"/>
      <c r="C1463" s="207"/>
      <c r="D1463" s="161"/>
    </row>
    <row r="1464" spans="2:4">
      <c r="B1464" s="159"/>
      <c r="C1464" s="207"/>
      <c r="D1464" s="161"/>
    </row>
  </sheetData>
  <conditionalFormatting sqref="E6:E72">
    <cfRule type="duplicateValues" dxfId="1" priority="2"/>
  </conditionalFormatting>
  <conditionalFormatting sqref="E79:E81">
    <cfRule type="duplicateValues" dxfId="0" priority="1"/>
  </conditionalFormatting>
  <dataValidations count="1">
    <dataValidation type="list" allowBlank="1" showInputMessage="1" showErrorMessage="1" sqref="L24" xr:uid="{62A6D499-B9A5-4D9A-883C-2ED5D0A135AC}">
      <formula1>$S$4:$S$31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4"/>
  <sheetViews>
    <sheetView showGridLines="0" tabSelected="1" topLeftCell="A75" zoomScale="85" workbookViewId="0">
      <selection activeCell="B88" sqref="B88"/>
    </sheetView>
  </sheetViews>
  <sheetFormatPr defaultRowHeight="15"/>
  <cols>
    <col min="1" max="1" width="11" customWidth="1"/>
    <col min="2" max="3" width="48.5703125" customWidth="1"/>
    <col min="4" max="4" width="16.28515625" customWidth="1"/>
    <col min="5" max="5" width="13.28515625" customWidth="1"/>
    <col min="6" max="6" width="13.85546875" customWidth="1"/>
    <col min="7" max="7" width="13.140625" customWidth="1"/>
    <col min="8" max="8" width="25" customWidth="1"/>
    <col min="9" max="9" width="18.140625" customWidth="1"/>
    <col min="10" max="10" width="20.28515625" customWidth="1"/>
    <col min="11" max="11" width="13.28515625" customWidth="1"/>
    <col min="12" max="12" width="24.140625" customWidth="1"/>
    <col min="13" max="13" width="18.140625" customWidth="1"/>
    <col min="14" max="14" width="20.42578125" customWidth="1"/>
    <col min="15" max="15" width="13.5703125" customWidth="1"/>
    <col min="16" max="16" width="18.140625" customWidth="1"/>
    <col min="17" max="17" width="7.85546875" customWidth="1"/>
    <col min="18" max="18" width="0" hidden="1" customWidth="1"/>
    <col min="19" max="19" width="6.140625" customWidth="1"/>
  </cols>
  <sheetData>
    <row r="1" spans="1:16" ht="15.75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102" t="s">
        <v>0</v>
      </c>
      <c r="H1" s="103" t="s">
        <v>920</v>
      </c>
      <c r="I1" s="104" t="s">
        <v>921</v>
      </c>
      <c r="J1" s="104" t="s">
        <v>922</v>
      </c>
      <c r="K1" s="104" t="s">
        <v>923</v>
      </c>
      <c r="L1" s="104" t="s">
        <v>924</v>
      </c>
      <c r="M1" s="104" t="s">
        <v>925</v>
      </c>
      <c r="N1" s="104" t="s">
        <v>926</v>
      </c>
      <c r="O1" s="105" t="s">
        <v>927</v>
      </c>
      <c r="P1" s="2" t="s">
        <v>0</v>
      </c>
    </row>
    <row r="2" spans="1:16" ht="14.45" customHeight="1">
      <c r="A2" s="249"/>
      <c r="B2" s="249"/>
      <c r="C2" s="7" t="s">
        <v>0</v>
      </c>
      <c r="D2" s="7" t="s">
        <v>0</v>
      </c>
      <c r="E2" s="7" t="s">
        <v>0</v>
      </c>
      <c r="F2" s="7" t="s">
        <v>0</v>
      </c>
      <c r="G2" s="106" t="s">
        <v>419</v>
      </c>
      <c r="H2" s="107">
        <v>400503868.67000002</v>
      </c>
      <c r="I2" s="107">
        <v>400503868.72000003</v>
      </c>
      <c r="J2" s="107">
        <v>-4.9999892711639397E-2</v>
      </c>
      <c r="K2" s="107">
        <v>742813.58</v>
      </c>
      <c r="L2" s="107">
        <v>413603868.67000002</v>
      </c>
      <c r="M2" s="107">
        <v>413603868.72000003</v>
      </c>
      <c r="N2" s="107">
        <v>-0.05</v>
      </c>
      <c r="O2" s="108">
        <v>742813.58</v>
      </c>
      <c r="P2" s="109" t="s">
        <v>0</v>
      </c>
    </row>
    <row r="3" spans="1:16" ht="14.45" customHeight="1">
      <c r="A3" s="249"/>
      <c r="B3" s="249"/>
      <c r="C3" s="7" t="s">
        <v>0</v>
      </c>
      <c r="D3" s="7" t="s">
        <v>0</v>
      </c>
      <c r="E3" s="7" t="s">
        <v>0</v>
      </c>
      <c r="F3" s="7" t="s">
        <v>0</v>
      </c>
      <c r="G3" s="110" t="s">
        <v>0</v>
      </c>
      <c r="H3" s="111" t="s">
        <v>0</v>
      </c>
      <c r="I3" s="111" t="s">
        <v>0</v>
      </c>
      <c r="J3" s="111" t="s">
        <v>0</v>
      </c>
      <c r="K3" s="111" t="s">
        <v>0</v>
      </c>
      <c r="L3" s="111" t="s">
        <v>0</v>
      </c>
      <c r="M3" s="111" t="s">
        <v>0</v>
      </c>
      <c r="N3" s="111" t="s">
        <v>0</v>
      </c>
      <c r="O3" s="111" t="s">
        <v>0</v>
      </c>
      <c r="P3" s="112" t="s">
        <v>0</v>
      </c>
    </row>
    <row r="4" spans="1:16" ht="14.45" customHeight="1">
      <c r="A4" s="249"/>
      <c r="B4" s="249"/>
      <c r="C4" s="7" t="s">
        <v>0</v>
      </c>
      <c r="D4" s="7" t="s">
        <v>0</v>
      </c>
      <c r="E4" s="7" t="s">
        <v>0</v>
      </c>
      <c r="F4" s="7" t="s">
        <v>0</v>
      </c>
      <c r="G4" s="113" t="s">
        <v>0</v>
      </c>
      <c r="H4" s="112" t="s">
        <v>0</v>
      </c>
      <c r="I4" s="112" t="s">
        <v>0</v>
      </c>
      <c r="J4" s="112" t="s">
        <v>0</v>
      </c>
      <c r="K4" s="112" t="s">
        <v>0</v>
      </c>
      <c r="L4" s="112" t="s">
        <v>0</v>
      </c>
      <c r="M4" s="112" t="s">
        <v>0</v>
      </c>
      <c r="N4" s="112" t="s">
        <v>0</v>
      </c>
      <c r="O4" s="112" t="s">
        <v>0</v>
      </c>
      <c r="P4" s="112" t="s">
        <v>0</v>
      </c>
    </row>
    <row r="5" spans="1:16" ht="14.45" customHeight="1">
      <c r="A5" s="249"/>
      <c r="B5" s="249"/>
      <c r="C5" s="7" t="s">
        <v>0</v>
      </c>
      <c r="D5" s="7" t="s">
        <v>0</v>
      </c>
      <c r="E5" s="7" t="s">
        <v>0</v>
      </c>
      <c r="F5" s="7" t="s">
        <v>0</v>
      </c>
      <c r="G5" s="113" t="s">
        <v>0</v>
      </c>
      <c r="H5" s="112" t="s">
        <v>0</v>
      </c>
      <c r="I5" s="112" t="s">
        <v>0</v>
      </c>
      <c r="J5" s="112" t="s">
        <v>0</v>
      </c>
      <c r="K5" s="112" t="s">
        <v>0</v>
      </c>
      <c r="L5" s="112" t="s">
        <v>0</v>
      </c>
      <c r="M5" s="112" t="s">
        <v>0</v>
      </c>
      <c r="N5" s="112" t="s">
        <v>0</v>
      </c>
      <c r="O5" s="112" t="s">
        <v>0</v>
      </c>
      <c r="P5" s="112" t="s">
        <v>0</v>
      </c>
    </row>
    <row r="6" spans="1:16" ht="18.75">
      <c r="A6" s="245" t="s">
        <v>928</v>
      </c>
      <c r="B6" s="249"/>
      <c r="C6" s="114" t="s">
        <v>0</v>
      </c>
      <c r="D6" s="114" t="s">
        <v>0</v>
      </c>
      <c r="E6" s="114" t="s">
        <v>0</v>
      </c>
      <c r="F6" s="114" t="s">
        <v>0</v>
      </c>
      <c r="G6" s="114" t="s">
        <v>0</v>
      </c>
      <c r="H6" s="114" t="s">
        <v>0</v>
      </c>
      <c r="I6" s="114" t="s">
        <v>0</v>
      </c>
      <c r="J6" s="114" t="s">
        <v>0</v>
      </c>
      <c r="K6" s="114" t="s">
        <v>0</v>
      </c>
      <c r="L6" s="114" t="s">
        <v>0</v>
      </c>
      <c r="M6" s="114" t="s">
        <v>0</v>
      </c>
      <c r="N6" s="114" t="s">
        <v>0</v>
      </c>
      <c r="O6" s="114" t="s">
        <v>0</v>
      </c>
      <c r="P6" s="114" t="s">
        <v>0</v>
      </c>
    </row>
    <row r="7" spans="1:16" ht="31.5">
      <c r="A7" s="93" t="s">
        <v>929</v>
      </c>
      <c r="B7" s="94" t="s">
        <v>33</v>
      </c>
      <c r="C7" s="94" t="s">
        <v>34</v>
      </c>
      <c r="D7" s="94" t="s">
        <v>35</v>
      </c>
      <c r="E7" s="94" t="s">
        <v>424</v>
      </c>
      <c r="F7" s="94" t="s">
        <v>682</v>
      </c>
      <c r="G7" s="94" t="s">
        <v>5</v>
      </c>
      <c r="H7" s="94" t="s">
        <v>920</v>
      </c>
      <c r="I7" s="94" t="s">
        <v>921</v>
      </c>
      <c r="J7" s="94" t="s">
        <v>922</v>
      </c>
      <c r="K7" s="94" t="s">
        <v>923</v>
      </c>
      <c r="L7" s="94" t="s">
        <v>924</v>
      </c>
      <c r="M7" s="94" t="s">
        <v>925</v>
      </c>
      <c r="N7" s="94" t="s">
        <v>926</v>
      </c>
      <c r="O7" s="95" t="s">
        <v>927</v>
      </c>
      <c r="P7" s="115" t="s">
        <v>0</v>
      </c>
    </row>
    <row r="8" spans="1:16">
      <c r="A8" s="116">
        <v>12867</v>
      </c>
      <c r="B8" s="14" t="s">
        <v>58</v>
      </c>
      <c r="C8" s="14" t="s">
        <v>59</v>
      </c>
      <c r="D8" s="14"/>
      <c r="E8" s="14" t="s">
        <v>930</v>
      </c>
      <c r="F8" s="14"/>
      <c r="G8" s="16" t="s">
        <v>419</v>
      </c>
      <c r="H8" s="19">
        <v>522.15</v>
      </c>
      <c r="I8" s="19">
        <v>522.15</v>
      </c>
      <c r="J8" s="19">
        <v>0</v>
      </c>
      <c r="K8" s="19">
        <v>0</v>
      </c>
      <c r="L8" s="19">
        <v>522.15</v>
      </c>
      <c r="M8" s="19">
        <v>522.15</v>
      </c>
      <c r="N8" s="19">
        <v>0</v>
      </c>
      <c r="O8" s="117">
        <v>0</v>
      </c>
      <c r="P8" s="14" t="s">
        <v>0</v>
      </c>
    </row>
    <row r="9" spans="1:16">
      <c r="A9" s="116">
        <v>2495</v>
      </c>
      <c r="B9" s="14" t="s">
        <v>85</v>
      </c>
      <c r="C9" s="14" t="s">
        <v>86</v>
      </c>
      <c r="D9" s="14"/>
      <c r="E9" s="14" t="s">
        <v>425</v>
      </c>
      <c r="F9" s="118">
        <v>46486</v>
      </c>
      <c r="G9" s="16" t="s">
        <v>419</v>
      </c>
      <c r="H9" s="19">
        <v>269595.43</v>
      </c>
      <c r="I9" s="19">
        <v>269595.43</v>
      </c>
      <c r="J9" s="19">
        <v>0</v>
      </c>
      <c r="K9" s="19">
        <v>0</v>
      </c>
      <c r="L9" s="19">
        <v>269595.43</v>
      </c>
      <c r="M9" s="19">
        <v>269595.43</v>
      </c>
      <c r="N9" s="19">
        <v>0</v>
      </c>
      <c r="O9" s="117">
        <v>0</v>
      </c>
      <c r="P9" s="14" t="s">
        <v>0</v>
      </c>
    </row>
    <row r="10" spans="1:16">
      <c r="A10" s="116">
        <v>11795</v>
      </c>
      <c r="B10" s="14" t="s">
        <v>61</v>
      </c>
      <c r="C10" s="14" t="s">
        <v>62</v>
      </c>
      <c r="D10" s="14" t="s">
        <v>63</v>
      </c>
      <c r="E10" s="14" t="s">
        <v>425</v>
      </c>
      <c r="F10" s="118">
        <v>47452</v>
      </c>
      <c r="G10" s="16" t="s">
        <v>419</v>
      </c>
      <c r="H10" s="19">
        <v>3958430.48</v>
      </c>
      <c r="I10" s="19">
        <v>3958430.52</v>
      </c>
      <c r="J10" s="19">
        <v>-4.0000000037252903E-2</v>
      </c>
      <c r="K10" s="19">
        <v>108328.24</v>
      </c>
      <c r="L10" s="19">
        <v>3958430.48</v>
      </c>
      <c r="M10" s="19">
        <v>3958430.52</v>
      </c>
      <c r="N10" s="19">
        <v>-0.04</v>
      </c>
      <c r="O10" s="117">
        <v>108328.24</v>
      </c>
      <c r="P10" s="14" t="s">
        <v>0</v>
      </c>
    </row>
    <row r="11" spans="1:16">
      <c r="A11" s="116">
        <v>12194</v>
      </c>
      <c r="B11" s="14" t="s">
        <v>374</v>
      </c>
      <c r="C11" s="14" t="s">
        <v>375</v>
      </c>
      <c r="D11" s="14"/>
      <c r="E11" s="14" t="s">
        <v>425</v>
      </c>
      <c r="F11" s="118">
        <v>45818</v>
      </c>
      <c r="G11" s="16" t="s">
        <v>419</v>
      </c>
      <c r="H11" s="19">
        <v>15083.03</v>
      </c>
      <c r="I11" s="19">
        <v>15083.03</v>
      </c>
      <c r="J11" s="19">
        <v>0</v>
      </c>
      <c r="K11" s="19">
        <v>0</v>
      </c>
      <c r="L11" s="19">
        <v>15083.03</v>
      </c>
      <c r="M11" s="19">
        <v>15083.03</v>
      </c>
      <c r="N11" s="19">
        <v>0</v>
      </c>
      <c r="O11" s="117">
        <v>0</v>
      </c>
      <c r="P11" s="14" t="s">
        <v>0</v>
      </c>
    </row>
    <row r="12" spans="1:16">
      <c r="A12" s="116">
        <v>11648</v>
      </c>
      <c r="B12" s="14" t="s">
        <v>73</v>
      </c>
      <c r="C12" s="14" t="s">
        <v>74</v>
      </c>
      <c r="D12" s="14" t="s">
        <v>75</v>
      </c>
      <c r="E12" s="14" t="s">
        <v>425</v>
      </c>
      <c r="F12" s="118">
        <v>48149</v>
      </c>
      <c r="G12" s="16" t="s">
        <v>419</v>
      </c>
      <c r="H12" s="19">
        <v>2320875</v>
      </c>
      <c r="I12" s="19">
        <v>2320875</v>
      </c>
      <c r="J12" s="19">
        <v>0</v>
      </c>
      <c r="K12" s="19">
        <v>0</v>
      </c>
      <c r="L12" s="19">
        <v>11620875</v>
      </c>
      <c r="M12" s="19">
        <v>11620875</v>
      </c>
      <c r="N12" s="19">
        <v>0</v>
      </c>
      <c r="O12" s="117">
        <v>0</v>
      </c>
      <c r="P12" s="14" t="s">
        <v>0</v>
      </c>
    </row>
    <row r="13" spans="1:16">
      <c r="A13" s="116">
        <v>11797</v>
      </c>
      <c r="B13" s="14" t="s">
        <v>148</v>
      </c>
      <c r="C13" s="14" t="s">
        <v>176</v>
      </c>
      <c r="D13" s="14" t="s">
        <v>216</v>
      </c>
      <c r="E13" s="14" t="s">
        <v>425</v>
      </c>
      <c r="F13" s="118">
        <v>47358</v>
      </c>
      <c r="G13" s="16" t="s">
        <v>419</v>
      </c>
      <c r="H13" s="19">
        <v>5302138.09</v>
      </c>
      <c r="I13" s="19">
        <v>5302138.09</v>
      </c>
      <c r="J13" s="19">
        <v>0</v>
      </c>
      <c r="K13" s="19">
        <v>0</v>
      </c>
      <c r="L13" s="19">
        <v>5302138.09</v>
      </c>
      <c r="M13" s="19">
        <v>5302138.09</v>
      </c>
      <c r="N13" s="19">
        <v>0</v>
      </c>
      <c r="O13" s="117">
        <v>0</v>
      </c>
      <c r="P13" s="14" t="s">
        <v>0</v>
      </c>
    </row>
    <row r="14" spans="1:16">
      <c r="A14" s="116">
        <v>13726</v>
      </c>
      <c r="B14" s="14" t="s">
        <v>148</v>
      </c>
      <c r="C14" s="14" t="s">
        <v>115</v>
      </c>
      <c r="D14" s="14"/>
      <c r="E14" s="14" t="s">
        <v>425</v>
      </c>
      <c r="F14" s="118">
        <v>47358</v>
      </c>
      <c r="G14" s="16" t="s">
        <v>419</v>
      </c>
      <c r="H14" s="19">
        <v>1701036.75</v>
      </c>
      <c r="I14" s="19">
        <v>1701036.75</v>
      </c>
      <c r="J14" s="19">
        <v>0</v>
      </c>
      <c r="K14" s="19">
        <v>0</v>
      </c>
      <c r="L14" s="19">
        <v>1701036.75</v>
      </c>
      <c r="M14" s="19">
        <v>1701036.75</v>
      </c>
      <c r="N14" s="19">
        <v>0</v>
      </c>
      <c r="O14" s="117">
        <v>0</v>
      </c>
      <c r="P14" s="14" t="s">
        <v>0</v>
      </c>
    </row>
    <row r="15" spans="1:16">
      <c r="A15" s="116">
        <v>9061</v>
      </c>
      <c r="B15" s="14" t="s">
        <v>148</v>
      </c>
      <c r="C15" s="14" t="s">
        <v>86</v>
      </c>
      <c r="D15" s="14" t="s">
        <v>149</v>
      </c>
      <c r="E15" s="14" t="s">
        <v>425</v>
      </c>
      <c r="F15" s="118">
        <v>47358</v>
      </c>
      <c r="G15" s="16" t="s">
        <v>419</v>
      </c>
      <c r="H15" s="19">
        <v>1813692.98</v>
      </c>
      <c r="I15" s="19">
        <v>1813692.98</v>
      </c>
      <c r="J15" s="19">
        <v>0</v>
      </c>
      <c r="K15" s="19">
        <v>0</v>
      </c>
      <c r="L15" s="19">
        <v>1813692.98</v>
      </c>
      <c r="M15" s="19">
        <v>1813692.98</v>
      </c>
      <c r="N15" s="19">
        <v>0</v>
      </c>
      <c r="O15" s="117">
        <v>0</v>
      </c>
      <c r="P15" s="14" t="s">
        <v>0</v>
      </c>
    </row>
    <row r="16" spans="1:16">
      <c r="A16" s="116">
        <v>9063</v>
      </c>
      <c r="B16" s="14" t="s">
        <v>150</v>
      </c>
      <c r="C16" s="14" t="s">
        <v>86</v>
      </c>
      <c r="D16" s="14" t="s">
        <v>151</v>
      </c>
      <c r="E16" s="14" t="s">
        <v>425</v>
      </c>
      <c r="F16" s="118">
        <v>47374</v>
      </c>
      <c r="G16" s="16" t="s">
        <v>419</v>
      </c>
      <c r="H16" s="19">
        <v>5472521.8700000001</v>
      </c>
      <c r="I16" s="19">
        <v>5472521.8700000001</v>
      </c>
      <c r="J16" s="19">
        <v>0</v>
      </c>
      <c r="K16" s="19">
        <v>0</v>
      </c>
      <c r="L16" s="19">
        <v>5472521.8700000001</v>
      </c>
      <c r="M16" s="19">
        <v>5472521.8700000001</v>
      </c>
      <c r="N16" s="19">
        <v>0</v>
      </c>
      <c r="O16" s="117">
        <v>0</v>
      </c>
      <c r="P16" s="14" t="s">
        <v>0</v>
      </c>
    </row>
    <row r="17" spans="1:16">
      <c r="A17" s="116">
        <v>11819</v>
      </c>
      <c r="B17" s="14" t="s">
        <v>154</v>
      </c>
      <c r="C17" s="14" t="s">
        <v>192</v>
      </c>
      <c r="D17" s="14" t="s">
        <v>225</v>
      </c>
      <c r="E17" s="14" t="s">
        <v>425</v>
      </c>
      <c r="F17" s="118">
        <v>47290</v>
      </c>
      <c r="G17" s="16" t="s">
        <v>419</v>
      </c>
      <c r="H17" s="19">
        <v>6112471.6399999997</v>
      </c>
      <c r="I17" s="19">
        <v>6112471.6399999997</v>
      </c>
      <c r="J17" s="19">
        <v>0</v>
      </c>
      <c r="K17" s="19">
        <v>0</v>
      </c>
      <c r="L17" s="19">
        <v>6112471.6399999997</v>
      </c>
      <c r="M17" s="19">
        <v>6112471.6399999997</v>
      </c>
      <c r="N17" s="19">
        <v>0</v>
      </c>
      <c r="O17" s="117">
        <v>0</v>
      </c>
      <c r="P17" s="14" t="s">
        <v>0</v>
      </c>
    </row>
    <row r="18" spans="1:16">
      <c r="A18" s="116">
        <v>12103</v>
      </c>
      <c r="B18" s="14" t="s">
        <v>154</v>
      </c>
      <c r="C18" s="14" t="s">
        <v>234</v>
      </c>
      <c r="D18" s="14" t="s">
        <v>297</v>
      </c>
      <c r="E18" s="14" t="s">
        <v>425</v>
      </c>
      <c r="F18" s="118">
        <v>47290</v>
      </c>
      <c r="G18" s="16" t="s">
        <v>419</v>
      </c>
      <c r="H18" s="19">
        <v>3731847.77</v>
      </c>
      <c r="I18" s="19">
        <v>3731847.78</v>
      </c>
      <c r="J18" s="19">
        <v>-9.9999997764825804E-3</v>
      </c>
      <c r="K18" s="19">
        <v>0</v>
      </c>
      <c r="L18" s="19">
        <v>3731847.77</v>
      </c>
      <c r="M18" s="19">
        <v>3731847.78</v>
      </c>
      <c r="N18" s="19">
        <v>-0.01</v>
      </c>
      <c r="O18" s="117">
        <v>0</v>
      </c>
      <c r="P18" s="14" t="s">
        <v>0</v>
      </c>
    </row>
    <row r="19" spans="1:16">
      <c r="A19" s="116">
        <v>9069</v>
      </c>
      <c r="B19" s="14" t="s">
        <v>154</v>
      </c>
      <c r="C19" s="14" t="s">
        <v>86</v>
      </c>
      <c r="D19" s="14" t="s">
        <v>155</v>
      </c>
      <c r="E19" s="14" t="s">
        <v>425</v>
      </c>
      <c r="F19" s="118">
        <v>47290</v>
      </c>
      <c r="G19" s="16" t="s">
        <v>419</v>
      </c>
      <c r="H19" s="19">
        <v>2325783.2000000002</v>
      </c>
      <c r="I19" s="19">
        <v>2325783.2000000002</v>
      </c>
      <c r="J19" s="19">
        <v>0</v>
      </c>
      <c r="K19" s="19">
        <v>0</v>
      </c>
      <c r="L19" s="19">
        <v>2325783.2000000002</v>
      </c>
      <c r="M19" s="19">
        <v>2325783.2000000002</v>
      </c>
      <c r="N19" s="19">
        <v>0</v>
      </c>
      <c r="O19" s="117">
        <v>0</v>
      </c>
      <c r="P19" s="14" t="s">
        <v>0</v>
      </c>
    </row>
    <row r="20" spans="1:16">
      <c r="A20" s="116">
        <v>9758</v>
      </c>
      <c r="B20" s="14" t="s">
        <v>262</v>
      </c>
      <c r="C20" s="14" t="s">
        <v>86</v>
      </c>
      <c r="D20" s="14" t="s">
        <v>340</v>
      </c>
      <c r="E20" s="14" t="s">
        <v>425</v>
      </c>
      <c r="F20" s="118">
        <v>47430</v>
      </c>
      <c r="G20" s="16" t="s">
        <v>419</v>
      </c>
      <c r="H20" s="19">
        <v>6981437.5</v>
      </c>
      <c r="I20" s="19">
        <v>6981437.5</v>
      </c>
      <c r="J20" s="19">
        <v>0</v>
      </c>
      <c r="K20" s="19">
        <v>0</v>
      </c>
      <c r="L20" s="19">
        <v>10781437.5</v>
      </c>
      <c r="M20" s="19">
        <v>10781437.5</v>
      </c>
      <c r="N20" s="19">
        <v>0</v>
      </c>
      <c r="O20" s="117">
        <v>0</v>
      </c>
      <c r="P20" s="14" t="s">
        <v>0</v>
      </c>
    </row>
    <row r="21" spans="1:16">
      <c r="A21" s="116">
        <v>11551</v>
      </c>
      <c r="B21" s="14" t="s">
        <v>91</v>
      </c>
      <c r="C21" s="14" t="s">
        <v>214</v>
      </c>
      <c r="D21" s="14" t="s">
        <v>215</v>
      </c>
      <c r="E21" s="14" t="s">
        <v>425</v>
      </c>
      <c r="F21" s="118">
        <v>46282</v>
      </c>
      <c r="G21" s="16" t="s">
        <v>419</v>
      </c>
      <c r="H21" s="19">
        <v>731099.33</v>
      </c>
      <c r="I21" s="19">
        <v>731099.33</v>
      </c>
      <c r="J21" s="19">
        <v>0</v>
      </c>
      <c r="K21" s="19">
        <v>0</v>
      </c>
      <c r="L21" s="19">
        <v>731099.33</v>
      </c>
      <c r="M21" s="19">
        <v>731099.33</v>
      </c>
      <c r="N21" s="19">
        <v>0</v>
      </c>
      <c r="O21" s="117">
        <v>0</v>
      </c>
      <c r="P21" s="14" t="s">
        <v>0</v>
      </c>
    </row>
    <row r="22" spans="1:16">
      <c r="A22" s="116">
        <v>10487</v>
      </c>
      <c r="B22" s="14" t="s">
        <v>91</v>
      </c>
      <c r="C22" s="14" t="s">
        <v>381</v>
      </c>
      <c r="D22" s="14" t="s">
        <v>168</v>
      </c>
      <c r="E22" s="14" t="s">
        <v>425</v>
      </c>
      <c r="F22" s="118">
        <v>46282</v>
      </c>
      <c r="G22" s="16" t="s">
        <v>419</v>
      </c>
      <c r="H22" s="19">
        <v>1966383.51</v>
      </c>
      <c r="I22" s="19">
        <v>1966383.51</v>
      </c>
      <c r="J22" s="19">
        <v>0</v>
      </c>
      <c r="K22" s="19">
        <v>0</v>
      </c>
      <c r="L22" s="19">
        <v>1966383.51</v>
      </c>
      <c r="M22" s="19">
        <v>1966383.51</v>
      </c>
      <c r="N22" s="19">
        <v>0</v>
      </c>
      <c r="O22" s="117">
        <v>0</v>
      </c>
      <c r="P22" s="14" t="s">
        <v>0</v>
      </c>
    </row>
    <row r="23" spans="1:16">
      <c r="A23" s="116">
        <v>11799</v>
      </c>
      <c r="B23" s="14" t="s">
        <v>91</v>
      </c>
      <c r="C23" s="14" t="s">
        <v>382</v>
      </c>
      <c r="D23" s="14" t="s">
        <v>218</v>
      </c>
      <c r="E23" s="14" t="s">
        <v>425</v>
      </c>
      <c r="F23" s="118">
        <v>46282</v>
      </c>
      <c r="G23" s="16" t="s">
        <v>419</v>
      </c>
      <c r="H23" s="19">
        <v>905407.13</v>
      </c>
      <c r="I23" s="19">
        <v>905407.13</v>
      </c>
      <c r="J23" s="19">
        <v>0</v>
      </c>
      <c r="K23" s="19">
        <v>0</v>
      </c>
      <c r="L23" s="19">
        <v>905407.13</v>
      </c>
      <c r="M23" s="19">
        <v>905407.13</v>
      </c>
      <c r="N23" s="19">
        <v>0</v>
      </c>
      <c r="O23" s="117">
        <v>0</v>
      </c>
      <c r="P23" s="14" t="s">
        <v>0</v>
      </c>
    </row>
    <row r="24" spans="1:16">
      <c r="A24" s="116">
        <v>3149</v>
      </c>
      <c r="B24" s="14" t="s">
        <v>91</v>
      </c>
      <c r="C24" s="14" t="s">
        <v>65</v>
      </c>
      <c r="D24" s="14" t="s">
        <v>92</v>
      </c>
      <c r="E24" s="14" t="s">
        <v>425</v>
      </c>
      <c r="F24" s="118">
        <v>46282</v>
      </c>
      <c r="G24" s="16" t="s">
        <v>419</v>
      </c>
      <c r="H24" s="19">
        <v>5046830.32</v>
      </c>
      <c r="I24" s="19">
        <v>5046830.32</v>
      </c>
      <c r="J24" s="19">
        <v>0</v>
      </c>
      <c r="K24" s="19">
        <v>0</v>
      </c>
      <c r="L24" s="19">
        <v>5046830.32</v>
      </c>
      <c r="M24" s="19">
        <v>5046830.32</v>
      </c>
      <c r="N24" s="19">
        <v>0</v>
      </c>
      <c r="O24" s="117">
        <v>0</v>
      </c>
      <c r="P24" s="14" t="s">
        <v>0</v>
      </c>
    </row>
    <row r="25" spans="1:16">
      <c r="A25" s="116">
        <v>13732</v>
      </c>
      <c r="B25" s="14" t="s">
        <v>268</v>
      </c>
      <c r="C25" s="14" t="s">
        <v>83</v>
      </c>
      <c r="D25" s="14"/>
      <c r="E25" s="14" t="s">
        <v>425</v>
      </c>
      <c r="F25" s="118">
        <v>47807</v>
      </c>
      <c r="G25" s="16" t="s">
        <v>419</v>
      </c>
      <c r="H25" s="19">
        <v>2098550.6</v>
      </c>
      <c r="I25" s="19">
        <v>2098550.6</v>
      </c>
      <c r="J25" s="19">
        <v>0</v>
      </c>
      <c r="K25" s="19">
        <v>0</v>
      </c>
      <c r="L25" s="19">
        <v>2098550.6</v>
      </c>
      <c r="M25" s="19">
        <v>2098550.6</v>
      </c>
      <c r="N25" s="19">
        <v>0</v>
      </c>
      <c r="O25" s="117">
        <v>0</v>
      </c>
      <c r="P25" s="14" t="s">
        <v>0</v>
      </c>
    </row>
    <row r="26" spans="1:16">
      <c r="A26" s="116">
        <v>3153</v>
      </c>
      <c r="B26" s="14" t="s">
        <v>93</v>
      </c>
      <c r="C26" s="14" t="s">
        <v>86</v>
      </c>
      <c r="D26" s="14" t="s">
        <v>94</v>
      </c>
      <c r="E26" s="14" t="s">
        <v>425</v>
      </c>
      <c r="F26" s="118">
        <v>46231</v>
      </c>
      <c r="G26" s="16" t="s">
        <v>419</v>
      </c>
      <c r="H26" s="19">
        <v>3635030.3</v>
      </c>
      <c r="I26" s="19">
        <v>3635030.3</v>
      </c>
      <c r="J26" s="19">
        <v>0</v>
      </c>
      <c r="K26" s="19">
        <v>0</v>
      </c>
      <c r="L26" s="19">
        <v>3635030.3</v>
      </c>
      <c r="M26" s="19">
        <v>3635030.3</v>
      </c>
      <c r="N26" s="19">
        <v>0</v>
      </c>
      <c r="O26" s="117">
        <v>0</v>
      </c>
      <c r="P26" s="14" t="s">
        <v>0</v>
      </c>
    </row>
    <row r="27" spans="1:16">
      <c r="A27" s="116">
        <v>3155</v>
      </c>
      <c r="B27" s="14" t="s">
        <v>95</v>
      </c>
      <c r="C27" s="14" t="s">
        <v>65</v>
      </c>
      <c r="D27" s="14" t="s">
        <v>96</v>
      </c>
      <c r="E27" s="14" t="s">
        <v>425</v>
      </c>
      <c r="F27" s="118">
        <v>45961</v>
      </c>
      <c r="G27" s="16" t="s">
        <v>419</v>
      </c>
      <c r="H27" s="19">
        <v>2628762.4700000002</v>
      </c>
      <c r="I27" s="19">
        <v>2628762.4700000002</v>
      </c>
      <c r="J27" s="19">
        <v>0</v>
      </c>
      <c r="K27" s="19">
        <v>0</v>
      </c>
      <c r="L27" s="19">
        <v>2628762.4700000002</v>
      </c>
      <c r="M27" s="19">
        <v>2628762.4700000002</v>
      </c>
      <c r="N27" s="19">
        <v>0</v>
      </c>
      <c r="O27" s="117">
        <v>0</v>
      </c>
      <c r="P27" s="14" t="s">
        <v>0</v>
      </c>
    </row>
    <row r="28" spans="1:16">
      <c r="A28" s="116">
        <v>11126</v>
      </c>
      <c r="B28" s="14" t="s">
        <v>383</v>
      </c>
      <c r="C28" s="14" t="s">
        <v>86</v>
      </c>
      <c r="D28" s="14"/>
      <c r="E28" s="14" t="s">
        <v>425</v>
      </c>
      <c r="F28" s="118">
        <v>47844</v>
      </c>
      <c r="G28" s="16" t="s">
        <v>419</v>
      </c>
      <c r="H28" s="19">
        <v>5985000</v>
      </c>
      <c r="I28" s="19">
        <v>5985000</v>
      </c>
      <c r="J28" s="19">
        <v>0</v>
      </c>
      <c r="K28" s="19">
        <v>0</v>
      </c>
      <c r="L28" s="19">
        <v>5985000</v>
      </c>
      <c r="M28" s="19">
        <v>5985000</v>
      </c>
      <c r="N28" s="19">
        <v>0</v>
      </c>
      <c r="O28" s="117">
        <v>0</v>
      </c>
      <c r="P28" s="14" t="s">
        <v>0</v>
      </c>
    </row>
    <row r="29" spans="1:16">
      <c r="A29" s="116">
        <v>5628</v>
      </c>
      <c r="B29" s="14" t="s">
        <v>136</v>
      </c>
      <c r="C29" s="14" t="s">
        <v>65</v>
      </c>
      <c r="D29" s="14" t="s">
        <v>137</v>
      </c>
      <c r="E29" s="14" t="s">
        <v>425</v>
      </c>
      <c r="F29" s="118">
        <v>47324</v>
      </c>
      <c r="G29" s="16" t="s">
        <v>419</v>
      </c>
      <c r="H29" s="19">
        <v>248327.5</v>
      </c>
      <c r="I29" s="19">
        <v>248327.5</v>
      </c>
      <c r="J29" s="19">
        <v>0</v>
      </c>
      <c r="K29" s="19">
        <v>0</v>
      </c>
      <c r="L29" s="19">
        <v>248327.5</v>
      </c>
      <c r="M29" s="19">
        <v>248327.5</v>
      </c>
      <c r="N29" s="19">
        <v>0</v>
      </c>
      <c r="O29" s="117">
        <v>0</v>
      </c>
      <c r="P29" s="14" t="s">
        <v>0</v>
      </c>
    </row>
    <row r="30" spans="1:16">
      <c r="A30" s="116">
        <v>9073</v>
      </c>
      <c r="B30" s="14" t="s">
        <v>156</v>
      </c>
      <c r="C30" s="14" t="s">
        <v>86</v>
      </c>
      <c r="D30" s="14" t="s">
        <v>157</v>
      </c>
      <c r="E30" s="14" t="s">
        <v>425</v>
      </c>
      <c r="F30" s="118">
        <v>47330</v>
      </c>
      <c r="G30" s="16" t="s">
        <v>419</v>
      </c>
      <c r="H30" s="19">
        <v>1492500</v>
      </c>
      <c r="I30" s="19">
        <v>1492500</v>
      </c>
      <c r="J30" s="19">
        <v>0</v>
      </c>
      <c r="K30" s="19">
        <v>0</v>
      </c>
      <c r="L30" s="19">
        <v>1492500</v>
      </c>
      <c r="M30" s="19">
        <v>1492500</v>
      </c>
      <c r="N30" s="19">
        <v>0</v>
      </c>
      <c r="O30" s="117">
        <v>0</v>
      </c>
      <c r="P30" s="14" t="s">
        <v>0</v>
      </c>
    </row>
    <row r="31" spans="1:16">
      <c r="A31" s="116">
        <v>10490</v>
      </c>
      <c r="B31" s="14" t="s">
        <v>99</v>
      </c>
      <c r="C31" s="14" t="s">
        <v>343</v>
      </c>
      <c r="D31" s="14" t="s">
        <v>344</v>
      </c>
      <c r="E31" s="14" t="s">
        <v>425</v>
      </c>
      <c r="F31" s="118">
        <v>47453</v>
      </c>
      <c r="G31" s="16" t="s">
        <v>419</v>
      </c>
      <c r="H31" s="19">
        <v>1116738.2</v>
      </c>
      <c r="I31" s="19">
        <v>1116738.2</v>
      </c>
      <c r="J31" s="19">
        <v>0</v>
      </c>
      <c r="K31" s="19">
        <v>0</v>
      </c>
      <c r="L31" s="19">
        <v>1116738.2</v>
      </c>
      <c r="M31" s="19">
        <v>1116738.2</v>
      </c>
      <c r="N31" s="19">
        <v>0</v>
      </c>
      <c r="O31" s="117">
        <v>0</v>
      </c>
      <c r="P31" s="14" t="s">
        <v>0</v>
      </c>
    </row>
    <row r="32" spans="1:16">
      <c r="A32" s="116">
        <v>3168</v>
      </c>
      <c r="B32" s="14" t="s">
        <v>64</v>
      </c>
      <c r="C32" s="14" t="s">
        <v>65</v>
      </c>
      <c r="D32" s="14"/>
      <c r="E32" s="14" t="s">
        <v>425</v>
      </c>
      <c r="F32" s="118">
        <v>47521</v>
      </c>
      <c r="G32" s="16" t="s">
        <v>419</v>
      </c>
      <c r="H32" s="19">
        <v>6900150.7599999998</v>
      </c>
      <c r="I32" s="19">
        <v>6900150.7599999998</v>
      </c>
      <c r="J32" s="19">
        <v>0</v>
      </c>
      <c r="K32" s="19">
        <v>0</v>
      </c>
      <c r="L32" s="19">
        <v>6900150.7599999998</v>
      </c>
      <c r="M32" s="19">
        <v>6900150.7599999998</v>
      </c>
      <c r="N32" s="19">
        <v>0</v>
      </c>
      <c r="O32" s="117">
        <v>0</v>
      </c>
      <c r="P32" s="14" t="s">
        <v>0</v>
      </c>
    </row>
    <row r="33" spans="1:16">
      <c r="A33" s="116">
        <v>9075</v>
      </c>
      <c r="B33" s="14" t="s">
        <v>158</v>
      </c>
      <c r="C33" s="14" t="s">
        <v>86</v>
      </c>
      <c r="D33" s="14" t="s">
        <v>159</v>
      </c>
      <c r="E33" s="14" t="s">
        <v>425</v>
      </c>
      <c r="F33" s="118">
        <v>46918</v>
      </c>
      <c r="G33" s="16" t="s">
        <v>419</v>
      </c>
      <c r="H33" s="19">
        <v>5205875.07</v>
      </c>
      <c r="I33" s="19">
        <v>5205875.07</v>
      </c>
      <c r="J33" s="19">
        <v>0</v>
      </c>
      <c r="K33" s="19">
        <v>0</v>
      </c>
      <c r="L33" s="19">
        <v>5205875.07</v>
      </c>
      <c r="M33" s="19">
        <v>5205875.07</v>
      </c>
      <c r="N33" s="19">
        <v>0</v>
      </c>
      <c r="O33" s="117">
        <v>0</v>
      </c>
      <c r="P33" s="14" t="s">
        <v>0</v>
      </c>
    </row>
    <row r="34" spans="1:16">
      <c r="A34" s="116">
        <v>11803</v>
      </c>
      <c r="B34" s="14" t="s">
        <v>144</v>
      </c>
      <c r="C34" s="14" t="s">
        <v>83</v>
      </c>
      <c r="D34" s="14" t="s">
        <v>219</v>
      </c>
      <c r="E34" s="14" t="s">
        <v>425</v>
      </c>
      <c r="F34" s="118">
        <v>47392</v>
      </c>
      <c r="G34" s="16" t="s">
        <v>419</v>
      </c>
      <c r="H34" s="19">
        <v>1510779.15</v>
      </c>
      <c r="I34" s="19">
        <v>1510779.15</v>
      </c>
      <c r="J34" s="19">
        <v>0</v>
      </c>
      <c r="K34" s="19">
        <v>0</v>
      </c>
      <c r="L34" s="19">
        <v>1510779.15</v>
      </c>
      <c r="M34" s="19">
        <v>1510779.15</v>
      </c>
      <c r="N34" s="19">
        <v>0</v>
      </c>
      <c r="O34" s="117">
        <v>0</v>
      </c>
      <c r="P34" s="14" t="s">
        <v>0</v>
      </c>
    </row>
    <row r="35" spans="1:16">
      <c r="A35" s="116">
        <v>8678</v>
      </c>
      <c r="B35" s="14" t="s">
        <v>144</v>
      </c>
      <c r="C35" s="14" t="s">
        <v>86</v>
      </c>
      <c r="D35" s="14" t="s">
        <v>145</v>
      </c>
      <c r="E35" s="14" t="s">
        <v>425</v>
      </c>
      <c r="F35" s="118">
        <v>47392</v>
      </c>
      <c r="G35" s="16" t="s">
        <v>419</v>
      </c>
      <c r="H35" s="19">
        <v>2992500</v>
      </c>
      <c r="I35" s="19">
        <v>2992500</v>
      </c>
      <c r="J35" s="19">
        <v>0</v>
      </c>
      <c r="K35" s="19">
        <v>0</v>
      </c>
      <c r="L35" s="19">
        <v>2992500</v>
      </c>
      <c r="M35" s="19">
        <v>2992500</v>
      </c>
      <c r="N35" s="19">
        <v>0</v>
      </c>
      <c r="O35" s="117">
        <v>0</v>
      </c>
      <c r="P35" s="14" t="s">
        <v>0</v>
      </c>
    </row>
    <row r="36" spans="1:16">
      <c r="A36" s="116">
        <v>3172</v>
      </c>
      <c r="B36" s="14" t="s">
        <v>78</v>
      </c>
      <c r="C36" s="14" t="s">
        <v>173</v>
      </c>
      <c r="D36" s="14" t="s">
        <v>228</v>
      </c>
      <c r="E36" s="14" t="s">
        <v>425</v>
      </c>
      <c r="F36" s="118">
        <v>46266</v>
      </c>
      <c r="G36" s="16" t="s">
        <v>419</v>
      </c>
      <c r="H36" s="19">
        <v>2368140.4700000002</v>
      </c>
      <c r="I36" s="19">
        <v>2368140.4700000002</v>
      </c>
      <c r="J36" s="19">
        <v>0</v>
      </c>
      <c r="K36" s="19">
        <v>0</v>
      </c>
      <c r="L36" s="19">
        <v>2368140.4700000002</v>
      </c>
      <c r="M36" s="19">
        <v>2368140.4700000002</v>
      </c>
      <c r="N36" s="19">
        <v>0</v>
      </c>
      <c r="O36" s="117">
        <v>0</v>
      </c>
      <c r="P36" s="14" t="s">
        <v>0</v>
      </c>
    </row>
    <row r="37" spans="1:16">
      <c r="A37" s="116">
        <v>3170</v>
      </c>
      <c r="B37" s="14" t="s">
        <v>78</v>
      </c>
      <c r="C37" s="14" t="s">
        <v>65</v>
      </c>
      <c r="D37" s="14" t="s">
        <v>79</v>
      </c>
      <c r="E37" s="14" t="s">
        <v>425</v>
      </c>
      <c r="F37" s="118">
        <v>46266</v>
      </c>
      <c r="G37" s="16" t="s">
        <v>419</v>
      </c>
      <c r="H37" s="19">
        <v>3930358.35</v>
      </c>
      <c r="I37" s="19">
        <v>3930358.35</v>
      </c>
      <c r="J37" s="19">
        <v>0</v>
      </c>
      <c r="K37" s="19">
        <v>0</v>
      </c>
      <c r="L37" s="19">
        <v>3930358.35</v>
      </c>
      <c r="M37" s="19">
        <v>3930358.35</v>
      </c>
      <c r="N37" s="19">
        <v>0</v>
      </c>
      <c r="O37" s="117">
        <v>0</v>
      </c>
      <c r="P37" s="14" t="s">
        <v>0</v>
      </c>
    </row>
    <row r="38" spans="1:16">
      <c r="A38" s="116">
        <v>12815</v>
      </c>
      <c r="B38" s="14" t="s">
        <v>287</v>
      </c>
      <c r="C38" s="14" t="s">
        <v>288</v>
      </c>
      <c r="D38" s="14" t="s">
        <v>289</v>
      </c>
      <c r="E38" s="14" t="s">
        <v>425</v>
      </c>
      <c r="F38" s="118">
        <v>46615</v>
      </c>
      <c r="G38" s="16" t="s">
        <v>419</v>
      </c>
      <c r="H38" s="19">
        <v>995000</v>
      </c>
      <c r="I38" s="19">
        <v>995000</v>
      </c>
      <c r="J38" s="19">
        <v>0</v>
      </c>
      <c r="K38" s="19">
        <v>0</v>
      </c>
      <c r="L38" s="19">
        <v>995000</v>
      </c>
      <c r="M38" s="19">
        <v>995000</v>
      </c>
      <c r="N38" s="19">
        <v>0</v>
      </c>
      <c r="O38" s="117">
        <v>0</v>
      </c>
      <c r="P38" s="14" t="s">
        <v>0</v>
      </c>
    </row>
    <row r="39" spans="1:16">
      <c r="A39" s="116">
        <v>12784</v>
      </c>
      <c r="B39" s="14" t="s">
        <v>80</v>
      </c>
      <c r="C39" s="14" t="s">
        <v>81</v>
      </c>
      <c r="D39" s="14" t="s">
        <v>82</v>
      </c>
      <c r="E39" s="14" t="s">
        <v>425</v>
      </c>
      <c r="F39" s="118">
        <v>46623</v>
      </c>
      <c r="G39" s="16" t="s">
        <v>419</v>
      </c>
      <c r="H39" s="19">
        <v>1710037.61</v>
      </c>
      <c r="I39" s="19">
        <v>1710037.61</v>
      </c>
      <c r="J39" s="19">
        <v>0</v>
      </c>
      <c r="K39" s="19">
        <v>0</v>
      </c>
      <c r="L39" s="19">
        <v>1710037.61</v>
      </c>
      <c r="M39" s="19">
        <v>1710037.61</v>
      </c>
      <c r="N39" s="19">
        <v>0</v>
      </c>
      <c r="O39" s="117">
        <v>0</v>
      </c>
      <c r="P39" s="14" t="s">
        <v>0</v>
      </c>
    </row>
    <row r="40" spans="1:16">
      <c r="A40" s="116">
        <v>10508</v>
      </c>
      <c r="B40" s="14" t="s">
        <v>80</v>
      </c>
      <c r="C40" s="14" t="s">
        <v>226</v>
      </c>
      <c r="D40" s="14" t="s">
        <v>227</v>
      </c>
      <c r="E40" s="14" t="s">
        <v>425</v>
      </c>
      <c r="F40" s="118">
        <v>46623</v>
      </c>
      <c r="G40" s="16" t="s">
        <v>419</v>
      </c>
      <c r="H40" s="19">
        <v>6373595.9400000004</v>
      </c>
      <c r="I40" s="19">
        <v>6373595.9400000004</v>
      </c>
      <c r="J40" s="19">
        <v>0</v>
      </c>
      <c r="K40" s="19">
        <v>0</v>
      </c>
      <c r="L40" s="19">
        <v>6373595.9400000004</v>
      </c>
      <c r="M40" s="19">
        <v>6373595.9400000004</v>
      </c>
      <c r="N40" s="19">
        <v>0</v>
      </c>
      <c r="O40" s="117">
        <v>0</v>
      </c>
      <c r="P40" s="14" t="s">
        <v>0</v>
      </c>
    </row>
    <row r="41" spans="1:16">
      <c r="A41" s="116">
        <v>12770</v>
      </c>
      <c r="B41" s="14" t="s">
        <v>80</v>
      </c>
      <c r="C41" s="14" t="s">
        <v>83</v>
      </c>
      <c r="D41" s="14" t="s">
        <v>84</v>
      </c>
      <c r="E41" s="14" t="s">
        <v>425</v>
      </c>
      <c r="F41" s="118">
        <v>46623</v>
      </c>
      <c r="G41" s="16" t="s">
        <v>419</v>
      </c>
      <c r="H41" s="19">
        <v>6348750</v>
      </c>
      <c r="I41" s="19">
        <v>6348750</v>
      </c>
      <c r="J41" s="19">
        <v>0</v>
      </c>
      <c r="K41" s="19">
        <v>0</v>
      </c>
      <c r="L41" s="19">
        <v>6348750</v>
      </c>
      <c r="M41" s="19">
        <v>6348750</v>
      </c>
      <c r="N41" s="19">
        <v>0</v>
      </c>
      <c r="O41" s="117">
        <v>0</v>
      </c>
      <c r="P41" s="14" t="s">
        <v>0</v>
      </c>
    </row>
    <row r="42" spans="1:16">
      <c r="A42" s="116">
        <v>3190</v>
      </c>
      <c r="B42" s="217" t="s">
        <v>80</v>
      </c>
      <c r="C42" s="217" t="s">
        <v>65</v>
      </c>
      <c r="D42" s="14" t="s">
        <v>103</v>
      </c>
      <c r="E42" s="14" t="s">
        <v>425</v>
      </c>
      <c r="F42" s="118">
        <v>46623</v>
      </c>
      <c r="G42" s="16" t="s">
        <v>419</v>
      </c>
      <c r="H42" s="19">
        <v>1156.44</v>
      </c>
      <c r="I42" s="19">
        <v>1156.44</v>
      </c>
      <c r="J42" s="19">
        <v>0</v>
      </c>
      <c r="K42" s="19">
        <v>0</v>
      </c>
      <c r="L42" s="19">
        <v>1156.44</v>
      </c>
      <c r="M42" s="19">
        <v>1156.44</v>
      </c>
      <c r="N42" s="19">
        <v>0</v>
      </c>
      <c r="O42" s="117">
        <v>0</v>
      </c>
      <c r="P42" s="14" t="s">
        <v>0</v>
      </c>
    </row>
    <row r="43" spans="1:16">
      <c r="A43" s="116">
        <v>10514</v>
      </c>
      <c r="B43" s="14" t="s">
        <v>169</v>
      </c>
      <c r="C43" s="14" t="s">
        <v>83</v>
      </c>
      <c r="D43" s="14" t="s">
        <v>171</v>
      </c>
      <c r="E43" s="14" t="s">
        <v>425</v>
      </c>
      <c r="F43" s="118">
        <v>47128</v>
      </c>
      <c r="G43" s="16" t="s">
        <v>419</v>
      </c>
      <c r="H43" s="19">
        <v>5452662.1699999999</v>
      </c>
      <c r="I43" s="19">
        <v>5452662.1699999999</v>
      </c>
      <c r="J43" s="19">
        <v>0</v>
      </c>
      <c r="K43" s="19">
        <v>0</v>
      </c>
      <c r="L43" s="19">
        <v>5452662.1699999999</v>
      </c>
      <c r="M43" s="19">
        <v>5452662.1699999999</v>
      </c>
      <c r="N43" s="19">
        <v>0</v>
      </c>
      <c r="O43" s="117">
        <v>0</v>
      </c>
      <c r="P43" s="14" t="s">
        <v>0</v>
      </c>
    </row>
    <row r="44" spans="1:16">
      <c r="A44" s="116">
        <v>9067</v>
      </c>
      <c r="B44" s="14" t="s">
        <v>293</v>
      </c>
      <c r="C44" s="14" t="s">
        <v>294</v>
      </c>
      <c r="D44" s="14" t="s">
        <v>295</v>
      </c>
      <c r="E44" s="14" t="s">
        <v>425</v>
      </c>
      <c r="F44" s="118">
        <v>46678</v>
      </c>
      <c r="G44" s="16" t="s">
        <v>419</v>
      </c>
      <c r="H44" s="19">
        <v>995000</v>
      </c>
      <c r="I44" s="19">
        <v>995000</v>
      </c>
      <c r="J44" s="19">
        <v>0</v>
      </c>
      <c r="K44" s="19">
        <v>0</v>
      </c>
      <c r="L44" s="19">
        <v>995000</v>
      </c>
      <c r="M44" s="19">
        <v>995000</v>
      </c>
      <c r="N44" s="19">
        <v>0</v>
      </c>
      <c r="O44" s="117">
        <v>0</v>
      </c>
      <c r="P44" s="14" t="s">
        <v>0</v>
      </c>
    </row>
    <row r="45" spans="1:16">
      <c r="A45" s="116">
        <v>4058</v>
      </c>
      <c r="B45" s="14" t="s">
        <v>67</v>
      </c>
      <c r="C45" s="14" t="s">
        <v>65</v>
      </c>
      <c r="D45" s="14" t="s">
        <v>68</v>
      </c>
      <c r="E45" s="14" t="s">
        <v>425</v>
      </c>
      <c r="F45" s="118">
        <v>47613</v>
      </c>
      <c r="G45" s="16" t="s">
        <v>419</v>
      </c>
      <c r="H45" s="19">
        <v>1362351.39</v>
      </c>
      <c r="I45" s="19">
        <v>1362351.39</v>
      </c>
      <c r="J45" s="19">
        <v>0</v>
      </c>
      <c r="K45" s="19">
        <v>0</v>
      </c>
      <c r="L45" s="19">
        <v>1362351.39</v>
      </c>
      <c r="M45" s="19">
        <v>1362351.39</v>
      </c>
      <c r="N45" s="19">
        <v>0</v>
      </c>
      <c r="O45" s="117">
        <v>0</v>
      </c>
      <c r="P45" s="14" t="s">
        <v>0</v>
      </c>
    </row>
    <row r="46" spans="1:16">
      <c r="A46" s="116">
        <v>9789</v>
      </c>
      <c r="B46" s="217" t="s">
        <v>160</v>
      </c>
      <c r="C46" s="14" t="s">
        <v>298</v>
      </c>
      <c r="D46" s="14" t="s">
        <v>931</v>
      </c>
      <c r="E46" s="14" t="s">
        <v>425</v>
      </c>
      <c r="F46" s="118">
        <v>47753</v>
      </c>
      <c r="G46" s="16" t="s">
        <v>419</v>
      </c>
      <c r="H46" s="19">
        <v>3593437.77</v>
      </c>
      <c r="I46" s="19">
        <v>3593437.77</v>
      </c>
      <c r="J46" s="19">
        <v>0</v>
      </c>
      <c r="K46" s="19">
        <v>0</v>
      </c>
      <c r="L46" s="19">
        <v>3593437.77</v>
      </c>
      <c r="M46" s="19">
        <v>3593437.77</v>
      </c>
      <c r="N46" s="19">
        <v>0</v>
      </c>
      <c r="O46" s="117">
        <v>0</v>
      </c>
      <c r="P46" s="14" t="s">
        <v>0</v>
      </c>
    </row>
    <row r="47" spans="1:16">
      <c r="A47" s="116">
        <v>9077</v>
      </c>
      <c r="B47" s="14" t="s">
        <v>160</v>
      </c>
      <c r="C47" s="14" t="s">
        <v>65</v>
      </c>
      <c r="D47" s="14" t="s">
        <v>161</v>
      </c>
      <c r="E47" s="14" t="s">
        <v>425</v>
      </c>
      <c r="F47" s="118">
        <v>47753</v>
      </c>
      <c r="G47" s="16" t="s">
        <v>419</v>
      </c>
      <c r="H47" s="19">
        <v>2985000</v>
      </c>
      <c r="I47" s="19">
        <v>2985000</v>
      </c>
      <c r="J47" s="19">
        <v>0</v>
      </c>
      <c r="K47" s="19">
        <v>0</v>
      </c>
      <c r="L47" s="19">
        <v>2985000</v>
      </c>
      <c r="M47" s="19">
        <v>2985000</v>
      </c>
      <c r="N47" s="19">
        <v>0</v>
      </c>
      <c r="O47" s="117">
        <v>0</v>
      </c>
      <c r="P47" s="14" t="s">
        <v>0</v>
      </c>
    </row>
    <row r="48" spans="1:16">
      <c r="A48" s="116">
        <v>10525</v>
      </c>
      <c r="B48" s="14" t="s">
        <v>175</v>
      </c>
      <c r="C48" s="14" t="s">
        <v>176</v>
      </c>
      <c r="D48" s="14" t="s">
        <v>177</v>
      </c>
      <c r="E48" s="14" t="s">
        <v>425</v>
      </c>
      <c r="F48" s="118">
        <v>47704</v>
      </c>
      <c r="G48" s="16" t="s">
        <v>419</v>
      </c>
      <c r="H48" s="19">
        <v>8017524.6100000003</v>
      </c>
      <c r="I48" s="19">
        <v>8017524.6100000003</v>
      </c>
      <c r="J48" s="19">
        <v>0</v>
      </c>
      <c r="K48" s="19">
        <v>0</v>
      </c>
      <c r="L48" s="19">
        <v>8017524.6100000003</v>
      </c>
      <c r="M48" s="19">
        <v>8017524.6100000003</v>
      </c>
      <c r="N48" s="19">
        <v>0</v>
      </c>
      <c r="O48" s="117">
        <v>0</v>
      </c>
      <c r="P48" s="14" t="s">
        <v>0</v>
      </c>
    </row>
    <row r="49" spans="1:16">
      <c r="A49" s="116">
        <v>13730</v>
      </c>
      <c r="B49" s="14" t="s">
        <v>175</v>
      </c>
      <c r="C49" s="14" t="s">
        <v>115</v>
      </c>
      <c r="D49" s="14"/>
      <c r="E49" s="14" t="s">
        <v>425</v>
      </c>
      <c r="F49" s="118">
        <v>47704</v>
      </c>
      <c r="G49" s="16" t="s">
        <v>419</v>
      </c>
      <c r="H49" s="19">
        <v>708802.88</v>
      </c>
      <c r="I49" s="19">
        <v>708802.88</v>
      </c>
      <c r="J49" s="19">
        <v>0</v>
      </c>
      <c r="K49" s="19">
        <v>0</v>
      </c>
      <c r="L49" s="19">
        <v>708802.88</v>
      </c>
      <c r="M49" s="19">
        <v>708802.88</v>
      </c>
      <c r="N49" s="19">
        <v>0</v>
      </c>
      <c r="O49" s="117">
        <v>0</v>
      </c>
      <c r="P49" s="14" t="s">
        <v>0</v>
      </c>
    </row>
    <row r="50" spans="1:16">
      <c r="A50" s="116">
        <v>5764</v>
      </c>
      <c r="B50" s="14" t="s">
        <v>138</v>
      </c>
      <c r="C50" s="14" t="s">
        <v>122</v>
      </c>
      <c r="D50" s="14" t="s">
        <v>139</v>
      </c>
      <c r="E50" s="14" t="s">
        <v>425</v>
      </c>
      <c r="F50" s="118">
        <v>47286</v>
      </c>
      <c r="G50" s="16" t="s">
        <v>419</v>
      </c>
      <c r="H50" s="19">
        <v>1970075.18</v>
      </c>
      <c r="I50" s="19">
        <v>1970075.18</v>
      </c>
      <c r="J50" s="19">
        <v>0</v>
      </c>
      <c r="K50" s="19">
        <v>0</v>
      </c>
      <c r="L50" s="19">
        <v>1970075.18</v>
      </c>
      <c r="M50" s="19">
        <v>1970075.18</v>
      </c>
      <c r="N50" s="19">
        <v>0</v>
      </c>
      <c r="O50" s="117">
        <v>0</v>
      </c>
      <c r="P50" s="14" t="s">
        <v>0</v>
      </c>
    </row>
    <row r="51" spans="1:16">
      <c r="A51" s="116">
        <v>10532</v>
      </c>
      <c r="B51" s="14" t="s">
        <v>181</v>
      </c>
      <c r="C51" s="14" t="s">
        <v>86</v>
      </c>
      <c r="D51" s="14" t="s">
        <v>182</v>
      </c>
      <c r="E51" s="14" t="s">
        <v>425</v>
      </c>
      <c r="F51" s="118">
        <v>46373</v>
      </c>
      <c r="G51" s="16" t="s">
        <v>419</v>
      </c>
      <c r="H51" s="19">
        <v>9328396.7400000002</v>
      </c>
      <c r="I51" s="19">
        <v>9328396.7400000002</v>
      </c>
      <c r="J51" s="19">
        <v>0</v>
      </c>
      <c r="K51" s="19">
        <v>92360.36</v>
      </c>
      <c r="L51" s="19">
        <v>9328396.7400000002</v>
      </c>
      <c r="M51" s="19">
        <v>9328396.7400000002</v>
      </c>
      <c r="N51" s="19">
        <v>0</v>
      </c>
      <c r="O51" s="117">
        <v>92360.36</v>
      </c>
      <c r="P51" s="14" t="s">
        <v>0</v>
      </c>
    </row>
    <row r="52" spans="1:16">
      <c r="A52" s="116">
        <v>13711</v>
      </c>
      <c r="B52" s="14" t="s">
        <v>106</v>
      </c>
      <c r="C52" s="14" t="s">
        <v>83</v>
      </c>
      <c r="D52" s="14" t="s">
        <v>296</v>
      </c>
      <c r="E52" s="14" t="s">
        <v>425</v>
      </c>
      <c r="F52" s="118">
        <v>46153</v>
      </c>
      <c r="G52" s="16" t="s">
        <v>419</v>
      </c>
      <c r="H52" s="19">
        <v>722295.84</v>
      </c>
      <c r="I52" s="19">
        <v>722295.84</v>
      </c>
      <c r="J52" s="19">
        <v>0</v>
      </c>
      <c r="K52" s="19">
        <v>0</v>
      </c>
      <c r="L52" s="19">
        <v>722295.84</v>
      </c>
      <c r="M52" s="19">
        <v>722295.84</v>
      </c>
      <c r="N52" s="19">
        <v>0</v>
      </c>
      <c r="O52" s="117">
        <v>0</v>
      </c>
      <c r="P52" s="14" t="s">
        <v>0</v>
      </c>
    </row>
    <row r="53" spans="1:16">
      <c r="A53" s="116">
        <v>10538</v>
      </c>
      <c r="B53" s="14" t="s">
        <v>106</v>
      </c>
      <c r="C53" s="14" t="s">
        <v>188</v>
      </c>
      <c r="D53" s="14" t="s">
        <v>189</v>
      </c>
      <c r="E53" s="14" t="s">
        <v>425</v>
      </c>
      <c r="F53" s="118">
        <v>46153</v>
      </c>
      <c r="G53" s="16" t="s">
        <v>419</v>
      </c>
      <c r="H53" s="19">
        <v>1572852.77</v>
      </c>
      <c r="I53" s="19">
        <v>1572852.77</v>
      </c>
      <c r="J53" s="19">
        <v>0</v>
      </c>
      <c r="K53" s="19">
        <v>0</v>
      </c>
      <c r="L53" s="19">
        <v>1572852.77</v>
      </c>
      <c r="M53" s="19">
        <v>1572852.77</v>
      </c>
      <c r="N53" s="19">
        <v>0</v>
      </c>
      <c r="O53" s="117">
        <v>0</v>
      </c>
      <c r="P53" s="14" t="s">
        <v>0</v>
      </c>
    </row>
    <row r="54" spans="1:16">
      <c r="A54" s="116">
        <v>3216</v>
      </c>
      <c r="B54" s="14" t="s">
        <v>106</v>
      </c>
      <c r="C54" s="14" t="s">
        <v>107</v>
      </c>
      <c r="D54" s="14" t="s">
        <v>108</v>
      </c>
      <c r="E54" s="14" t="s">
        <v>425</v>
      </c>
      <c r="F54" s="118">
        <v>46153</v>
      </c>
      <c r="G54" s="16" t="s">
        <v>419</v>
      </c>
      <c r="H54" s="19">
        <v>5323094.74</v>
      </c>
      <c r="I54" s="19">
        <v>5323094.74</v>
      </c>
      <c r="J54" s="19">
        <v>0</v>
      </c>
      <c r="K54" s="19">
        <v>0</v>
      </c>
      <c r="L54" s="19">
        <v>5323094.74</v>
      </c>
      <c r="M54" s="19">
        <v>5323094.74</v>
      </c>
      <c r="N54" s="19">
        <v>0</v>
      </c>
      <c r="O54" s="117">
        <v>0</v>
      </c>
      <c r="P54" s="14" t="s">
        <v>0</v>
      </c>
    </row>
    <row r="55" spans="1:16">
      <c r="A55" s="116">
        <v>10550</v>
      </c>
      <c r="B55" s="14" t="s">
        <v>191</v>
      </c>
      <c r="C55" s="14" t="s">
        <v>192</v>
      </c>
      <c r="D55" s="14" t="s">
        <v>193</v>
      </c>
      <c r="E55" s="14" t="s">
        <v>425</v>
      </c>
      <c r="F55" s="118">
        <v>47115</v>
      </c>
      <c r="G55" s="16" t="s">
        <v>419</v>
      </c>
      <c r="H55" s="19">
        <v>2934003.08</v>
      </c>
      <c r="I55" s="19">
        <v>2934003.08</v>
      </c>
      <c r="J55" s="19">
        <v>0</v>
      </c>
      <c r="K55" s="19">
        <v>0</v>
      </c>
      <c r="L55" s="19">
        <v>2934003.08</v>
      </c>
      <c r="M55" s="19">
        <v>2934003.08</v>
      </c>
      <c r="N55" s="19">
        <v>0</v>
      </c>
      <c r="O55" s="117">
        <v>0</v>
      </c>
      <c r="P55" s="14" t="s">
        <v>0</v>
      </c>
    </row>
    <row r="56" spans="1:16">
      <c r="A56" s="116">
        <v>10555</v>
      </c>
      <c r="B56" s="14" t="s">
        <v>191</v>
      </c>
      <c r="C56" s="14" t="s">
        <v>194</v>
      </c>
      <c r="D56" s="14" t="s">
        <v>195</v>
      </c>
      <c r="E56" s="14" t="s">
        <v>425</v>
      </c>
      <c r="F56" s="118">
        <v>47115</v>
      </c>
      <c r="G56" s="16" t="s">
        <v>419</v>
      </c>
      <c r="H56" s="19">
        <v>2184396.15</v>
      </c>
      <c r="I56" s="19">
        <v>2184396.15</v>
      </c>
      <c r="J56" s="19">
        <v>0</v>
      </c>
      <c r="K56" s="19">
        <v>0</v>
      </c>
      <c r="L56" s="19">
        <v>2184396.15</v>
      </c>
      <c r="M56" s="19">
        <v>2184396.15</v>
      </c>
      <c r="N56" s="19">
        <v>0</v>
      </c>
      <c r="O56" s="117">
        <v>0</v>
      </c>
      <c r="P56" s="14" t="s">
        <v>0</v>
      </c>
    </row>
    <row r="57" spans="1:16">
      <c r="A57" s="116">
        <v>3228</v>
      </c>
      <c r="B57" s="14" t="s">
        <v>109</v>
      </c>
      <c r="C57" s="14" t="s">
        <v>83</v>
      </c>
      <c r="D57" s="14" t="s">
        <v>110</v>
      </c>
      <c r="E57" s="14" t="s">
        <v>425</v>
      </c>
      <c r="F57" s="118">
        <v>46327</v>
      </c>
      <c r="G57" s="16" t="s">
        <v>419</v>
      </c>
      <c r="H57" s="19">
        <v>1398533.72</v>
      </c>
      <c r="I57" s="19">
        <v>1398533.72</v>
      </c>
      <c r="J57" s="19">
        <v>0</v>
      </c>
      <c r="K57" s="19">
        <v>0</v>
      </c>
      <c r="L57" s="19">
        <v>1398533.72</v>
      </c>
      <c r="M57" s="19">
        <v>1398533.72</v>
      </c>
      <c r="N57" s="19">
        <v>0</v>
      </c>
      <c r="O57" s="117">
        <v>0</v>
      </c>
      <c r="P57" s="14" t="s">
        <v>0</v>
      </c>
    </row>
    <row r="58" spans="1:16">
      <c r="A58" s="116">
        <v>3230</v>
      </c>
      <c r="B58" s="14" t="s">
        <v>109</v>
      </c>
      <c r="C58" s="14" t="s">
        <v>86</v>
      </c>
      <c r="D58" s="14" t="s">
        <v>111</v>
      </c>
      <c r="E58" s="14" t="s">
        <v>425</v>
      </c>
      <c r="F58" s="118">
        <v>46327</v>
      </c>
      <c r="G58" s="16" t="s">
        <v>419</v>
      </c>
      <c r="H58" s="19">
        <v>653448.36</v>
      </c>
      <c r="I58" s="19">
        <v>653448.36</v>
      </c>
      <c r="J58" s="19">
        <v>0</v>
      </c>
      <c r="K58" s="19">
        <v>0</v>
      </c>
      <c r="L58" s="19">
        <v>653448.36</v>
      </c>
      <c r="M58" s="19">
        <v>653448.36</v>
      </c>
      <c r="N58" s="19">
        <v>0</v>
      </c>
      <c r="O58" s="117">
        <v>0</v>
      </c>
      <c r="P58" s="14" t="s">
        <v>0</v>
      </c>
    </row>
    <row r="59" spans="1:16">
      <c r="A59" s="116">
        <v>10835</v>
      </c>
      <c r="B59" s="14" t="s">
        <v>312</v>
      </c>
      <c r="C59" s="14" t="s">
        <v>86</v>
      </c>
      <c r="D59" s="14" t="s">
        <v>313</v>
      </c>
      <c r="E59" s="14" t="s">
        <v>425</v>
      </c>
      <c r="F59" s="118">
        <v>47834</v>
      </c>
      <c r="G59" s="16" t="s">
        <v>419</v>
      </c>
      <c r="H59" s="19">
        <v>5985000</v>
      </c>
      <c r="I59" s="19">
        <v>5985000</v>
      </c>
      <c r="J59" s="19">
        <v>0</v>
      </c>
      <c r="K59" s="19">
        <v>0</v>
      </c>
      <c r="L59" s="19">
        <v>5985000</v>
      </c>
      <c r="M59" s="19">
        <v>5985000</v>
      </c>
      <c r="N59" s="19">
        <v>0</v>
      </c>
      <c r="O59" s="117">
        <v>0</v>
      </c>
      <c r="P59" s="14" t="s">
        <v>0</v>
      </c>
    </row>
    <row r="60" spans="1:16">
      <c r="A60" s="116">
        <v>3236</v>
      </c>
      <c r="B60" s="14" t="s">
        <v>112</v>
      </c>
      <c r="C60" s="14" t="s">
        <v>86</v>
      </c>
      <c r="D60" s="14" t="s">
        <v>113</v>
      </c>
      <c r="E60" s="14" t="s">
        <v>425</v>
      </c>
      <c r="F60" s="118">
        <v>45838</v>
      </c>
      <c r="G60" s="16" t="s">
        <v>419</v>
      </c>
      <c r="H60" s="19">
        <v>1975484.48</v>
      </c>
      <c r="I60" s="19">
        <v>1975484.48</v>
      </c>
      <c r="J60" s="19">
        <v>0</v>
      </c>
      <c r="K60" s="19">
        <v>0</v>
      </c>
      <c r="L60" s="19">
        <v>1975484.48</v>
      </c>
      <c r="M60" s="19">
        <v>1975484.48</v>
      </c>
      <c r="N60" s="19">
        <v>0</v>
      </c>
      <c r="O60" s="117">
        <v>0</v>
      </c>
      <c r="P60" s="14" t="s">
        <v>0</v>
      </c>
    </row>
    <row r="61" spans="1:16">
      <c r="A61" s="116">
        <v>10568</v>
      </c>
      <c r="B61" s="14" t="s">
        <v>203</v>
      </c>
      <c r="C61" s="14" t="s">
        <v>204</v>
      </c>
      <c r="D61" s="14" t="s">
        <v>205</v>
      </c>
      <c r="E61" s="14" t="s">
        <v>425</v>
      </c>
      <c r="F61" s="118">
        <v>46099</v>
      </c>
      <c r="G61" s="16" t="s">
        <v>419</v>
      </c>
      <c r="H61" s="19">
        <v>3328030.83</v>
      </c>
      <c r="I61" s="19">
        <v>3328030.83</v>
      </c>
      <c r="J61" s="19">
        <v>0</v>
      </c>
      <c r="K61" s="19">
        <v>42817.279999999999</v>
      </c>
      <c r="L61" s="19">
        <v>3328030.83</v>
      </c>
      <c r="M61" s="19">
        <v>3328030.83</v>
      </c>
      <c r="N61" s="19">
        <v>0</v>
      </c>
      <c r="O61" s="117">
        <v>42817.279999999999</v>
      </c>
      <c r="P61" s="14" t="s">
        <v>0</v>
      </c>
    </row>
    <row r="62" spans="1:16">
      <c r="A62" s="116">
        <v>15010</v>
      </c>
      <c r="B62" s="14" t="s">
        <v>335</v>
      </c>
      <c r="C62" s="14" t="s">
        <v>348</v>
      </c>
      <c r="D62" s="14"/>
      <c r="E62" s="14" t="s">
        <v>425</v>
      </c>
      <c r="F62" s="118">
        <v>45961</v>
      </c>
      <c r="G62" s="16" t="s">
        <v>419</v>
      </c>
      <c r="H62" s="19">
        <v>172320.74</v>
      </c>
      <c r="I62" s="19">
        <v>172320.74</v>
      </c>
      <c r="J62" s="19">
        <v>0</v>
      </c>
      <c r="K62" s="19">
        <v>0</v>
      </c>
      <c r="L62" s="19">
        <v>172320.74</v>
      </c>
      <c r="M62" s="19">
        <v>172320.74</v>
      </c>
      <c r="N62" s="19">
        <v>0</v>
      </c>
      <c r="O62" s="117">
        <v>0</v>
      </c>
      <c r="P62" s="14" t="s">
        <v>0</v>
      </c>
    </row>
    <row r="63" spans="1:16">
      <c r="A63" s="116">
        <v>14717</v>
      </c>
      <c r="B63" s="14" t="s">
        <v>335</v>
      </c>
      <c r="C63" s="14" t="s">
        <v>336</v>
      </c>
      <c r="D63" s="14" t="s">
        <v>337</v>
      </c>
      <c r="E63" s="14" t="s">
        <v>425</v>
      </c>
      <c r="F63" s="118">
        <v>45961</v>
      </c>
      <c r="G63" s="16" t="s">
        <v>419</v>
      </c>
      <c r="H63" s="19">
        <v>128446.17</v>
      </c>
      <c r="I63" s="19">
        <v>128446.17</v>
      </c>
      <c r="J63" s="19">
        <v>0</v>
      </c>
      <c r="K63" s="19">
        <v>2043.23</v>
      </c>
      <c r="L63" s="19">
        <v>128446.17</v>
      </c>
      <c r="M63" s="19">
        <v>128446.17</v>
      </c>
      <c r="N63" s="19">
        <v>0</v>
      </c>
      <c r="O63" s="117">
        <v>2043.23</v>
      </c>
      <c r="P63" s="14" t="s">
        <v>0</v>
      </c>
    </row>
    <row r="64" spans="1:16">
      <c r="A64" s="116">
        <v>11180</v>
      </c>
      <c r="B64" s="14" t="s">
        <v>210</v>
      </c>
      <c r="C64" s="14" t="s">
        <v>211</v>
      </c>
      <c r="D64" s="14" t="s">
        <v>212</v>
      </c>
      <c r="E64" s="14" t="s">
        <v>425</v>
      </c>
      <c r="F64" s="118">
        <v>46421</v>
      </c>
      <c r="G64" s="16" t="s">
        <v>419</v>
      </c>
      <c r="H64" s="19">
        <v>2506425.7000000002</v>
      </c>
      <c r="I64" s="19">
        <v>2506425.7000000002</v>
      </c>
      <c r="J64" s="19">
        <v>0</v>
      </c>
      <c r="K64" s="19">
        <v>0</v>
      </c>
      <c r="L64" s="19">
        <v>2506425.7000000002</v>
      </c>
      <c r="M64" s="19">
        <v>2506425.7000000002</v>
      </c>
      <c r="N64" s="19">
        <v>0</v>
      </c>
      <c r="O64" s="117">
        <v>0</v>
      </c>
      <c r="P64" s="14" t="s">
        <v>0</v>
      </c>
    </row>
    <row r="65" spans="1:16">
      <c r="A65" s="116">
        <v>10969</v>
      </c>
      <c r="B65" s="14" t="s">
        <v>316</v>
      </c>
      <c r="C65" s="14" t="s">
        <v>86</v>
      </c>
      <c r="D65" s="14"/>
      <c r="E65" s="14" t="s">
        <v>425</v>
      </c>
      <c r="F65" s="118">
        <v>47836</v>
      </c>
      <c r="G65" s="16" t="s">
        <v>419</v>
      </c>
      <c r="H65" s="19">
        <v>20000000</v>
      </c>
      <c r="I65" s="19">
        <v>20000000</v>
      </c>
      <c r="J65" s="19">
        <v>0</v>
      </c>
      <c r="K65" s="19">
        <v>0</v>
      </c>
      <c r="L65" s="19">
        <v>20000000</v>
      </c>
      <c r="M65" s="19">
        <v>20000000</v>
      </c>
      <c r="N65" s="19">
        <v>0</v>
      </c>
      <c r="O65" s="117">
        <v>0</v>
      </c>
      <c r="P65" s="14" t="s">
        <v>0</v>
      </c>
    </row>
    <row r="66" spans="1:16">
      <c r="A66" s="116">
        <v>12755</v>
      </c>
      <c r="B66" s="14" t="s">
        <v>233</v>
      </c>
      <c r="C66" s="14" t="s">
        <v>234</v>
      </c>
      <c r="D66" s="14" t="s">
        <v>235</v>
      </c>
      <c r="E66" s="14" t="s">
        <v>425</v>
      </c>
      <c r="F66" s="118">
        <v>46959</v>
      </c>
      <c r="G66" s="16" t="s">
        <v>419</v>
      </c>
      <c r="H66" s="19">
        <v>723711.34</v>
      </c>
      <c r="I66" s="19">
        <v>723711.34</v>
      </c>
      <c r="J66" s="19">
        <v>0</v>
      </c>
      <c r="K66" s="19">
        <v>0</v>
      </c>
      <c r="L66" s="19">
        <v>723711.34</v>
      </c>
      <c r="M66" s="19">
        <v>723711.34</v>
      </c>
      <c r="N66" s="19">
        <v>0</v>
      </c>
      <c r="O66" s="117">
        <v>0</v>
      </c>
      <c r="P66" s="14" t="s">
        <v>0</v>
      </c>
    </row>
    <row r="67" spans="1:16">
      <c r="A67" s="116">
        <v>12753</v>
      </c>
      <c r="B67" s="14" t="s">
        <v>233</v>
      </c>
      <c r="C67" s="14" t="s">
        <v>223</v>
      </c>
      <c r="D67" s="14" t="s">
        <v>236</v>
      </c>
      <c r="E67" s="14" t="s">
        <v>425</v>
      </c>
      <c r="F67" s="118">
        <v>46939</v>
      </c>
      <c r="G67" s="16" t="s">
        <v>419</v>
      </c>
      <c r="H67" s="19">
        <v>4068536.92</v>
      </c>
      <c r="I67" s="19">
        <v>4068536.92</v>
      </c>
      <c r="J67" s="19">
        <v>0</v>
      </c>
      <c r="K67" s="19">
        <v>0</v>
      </c>
      <c r="L67" s="19">
        <v>4068536.92</v>
      </c>
      <c r="M67" s="19">
        <v>4068536.92</v>
      </c>
      <c r="N67" s="19">
        <v>0</v>
      </c>
      <c r="O67" s="117">
        <v>0</v>
      </c>
      <c r="P67" s="14" t="s">
        <v>0</v>
      </c>
    </row>
    <row r="68" spans="1:16">
      <c r="A68" s="116">
        <v>3314</v>
      </c>
      <c r="B68" s="14" t="s">
        <v>128</v>
      </c>
      <c r="C68" s="14" t="s">
        <v>65</v>
      </c>
      <c r="D68" s="14" t="s">
        <v>129</v>
      </c>
      <c r="E68" s="14" t="s">
        <v>425</v>
      </c>
      <c r="F68" s="118">
        <v>47046</v>
      </c>
      <c r="G68" s="16" t="s">
        <v>419</v>
      </c>
      <c r="H68" s="19">
        <v>3780604.54</v>
      </c>
      <c r="I68" s="19">
        <v>3780604.54</v>
      </c>
      <c r="J68" s="19">
        <v>0</v>
      </c>
      <c r="K68" s="19">
        <v>0</v>
      </c>
      <c r="L68" s="19">
        <v>3780604.54</v>
      </c>
      <c r="M68" s="19">
        <v>3780604.54</v>
      </c>
      <c r="N68" s="19">
        <v>0</v>
      </c>
      <c r="O68" s="117">
        <v>0</v>
      </c>
      <c r="P68" s="14" t="s">
        <v>0</v>
      </c>
    </row>
    <row r="69" spans="1:16">
      <c r="A69" s="116">
        <v>3312</v>
      </c>
      <c r="B69" s="14" t="s">
        <v>126</v>
      </c>
      <c r="C69" s="14" t="s">
        <v>65</v>
      </c>
      <c r="D69" s="14" t="s">
        <v>127</v>
      </c>
      <c r="E69" s="14" t="s">
        <v>425</v>
      </c>
      <c r="F69" s="118">
        <v>47543</v>
      </c>
      <c r="G69" s="16" t="s">
        <v>419</v>
      </c>
      <c r="H69" s="19">
        <v>4942556.4000000004</v>
      </c>
      <c r="I69" s="19">
        <v>4942556.4000000004</v>
      </c>
      <c r="J69" s="19">
        <v>0</v>
      </c>
      <c r="K69" s="19">
        <v>0</v>
      </c>
      <c r="L69" s="19">
        <v>4942556.4000000004</v>
      </c>
      <c r="M69" s="19">
        <v>4942556.4000000004</v>
      </c>
      <c r="N69" s="19">
        <v>0</v>
      </c>
      <c r="O69" s="117">
        <v>0</v>
      </c>
      <c r="P69" s="14" t="s">
        <v>0</v>
      </c>
    </row>
    <row r="70" spans="1:16">
      <c r="A70" s="116">
        <v>12399</v>
      </c>
      <c r="B70" s="14" t="s">
        <v>50</v>
      </c>
      <c r="C70" s="14" t="s">
        <v>246</v>
      </c>
      <c r="D70" s="14" t="s">
        <v>247</v>
      </c>
      <c r="E70" s="14" t="s">
        <v>425</v>
      </c>
      <c r="F70" s="118">
        <v>47088</v>
      </c>
      <c r="G70" s="16" t="s">
        <v>419</v>
      </c>
      <c r="H70" s="19">
        <v>497493.74</v>
      </c>
      <c r="I70" s="19">
        <v>497493.74</v>
      </c>
      <c r="J70" s="19">
        <v>0</v>
      </c>
      <c r="K70" s="19">
        <v>0</v>
      </c>
      <c r="L70" s="19">
        <v>497493.74</v>
      </c>
      <c r="M70" s="19">
        <v>497493.74</v>
      </c>
      <c r="N70" s="19">
        <v>0</v>
      </c>
      <c r="O70" s="117">
        <v>0</v>
      </c>
      <c r="P70" s="14" t="s">
        <v>0</v>
      </c>
    </row>
    <row r="71" spans="1:16">
      <c r="A71" s="116">
        <v>3308</v>
      </c>
      <c r="B71" s="14" t="s">
        <v>124</v>
      </c>
      <c r="C71" s="14" t="s">
        <v>65</v>
      </c>
      <c r="D71" s="14" t="s">
        <v>125</v>
      </c>
      <c r="E71" s="14" t="s">
        <v>425</v>
      </c>
      <c r="F71" s="118">
        <v>47499</v>
      </c>
      <c r="G71" s="16" t="s">
        <v>419</v>
      </c>
      <c r="H71" s="19">
        <v>4252707.1500000004</v>
      </c>
      <c r="I71" s="19">
        <v>4252707.1500000004</v>
      </c>
      <c r="J71" s="19">
        <v>0</v>
      </c>
      <c r="K71" s="19">
        <v>0</v>
      </c>
      <c r="L71" s="19">
        <v>4252707.1500000004</v>
      </c>
      <c r="M71" s="19">
        <v>4252707.1500000004</v>
      </c>
      <c r="N71" s="19">
        <v>0</v>
      </c>
      <c r="O71" s="117">
        <v>0</v>
      </c>
      <c r="P71" s="14" t="s">
        <v>0</v>
      </c>
    </row>
    <row r="72" spans="1:16">
      <c r="A72" s="116">
        <v>12822</v>
      </c>
      <c r="B72" s="14" t="s">
        <v>252</v>
      </c>
      <c r="C72" s="14" t="s">
        <v>253</v>
      </c>
      <c r="D72" s="14" t="s">
        <v>254</v>
      </c>
      <c r="E72" s="14" t="s">
        <v>425</v>
      </c>
      <c r="F72" s="118">
        <v>46661</v>
      </c>
      <c r="G72" s="16" t="s">
        <v>419</v>
      </c>
      <c r="H72" s="19">
        <v>2499911.11</v>
      </c>
      <c r="I72" s="19">
        <v>2499911.11</v>
      </c>
      <c r="J72" s="19">
        <v>0</v>
      </c>
      <c r="K72" s="19">
        <v>0</v>
      </c>
      <c r="L72" s="19">
        <v>2499911.11</v>
      </c>
      <c r="M72" s="19">
        <v>2499911.11</v>
      </c>
      <c r="N72" s="19">
        <v>0</v>
      </c>
      <c r="O72" s="117">
        <v>0</v>
      </c>
      <c r="P72" s="14" t="s">
        <v>0</v>
      </c>
    </row>
    <row r="73" spans="1:16">
      <c r="A73" s="116">
        <v>12868</v>
      </c>
      <c r="B73" s="14" t="s">
        <v>241</v>
      </c>
      <c r="C73" s="14" t="s">
        <v>242</v>
      </c>
      <c r="D73" s="14"/>
      <c r="E73" s="14" t="s">
        <v>930</v>
      </c>
      <c r="F73" s="14"/>
      <c r="G73" s="16" t="s">
        <v>419</v>
      </c>
      <c r="H73" s="19">
        <v>79339</v>
      </c>
      <c r="I73" s="19">
        <v>79339</v>
      </c>
      <c r="J73" s="19">
        <v>0</v>
      </c>
      <c r="K73" s="19">
        <v>0</v>
      </c>
      <c r="L73" s="19">
        <v>79339</v>
      </c>
      <c r="M73" s="19">
        <v>79339</v>
      </c>
      <c r="N73" s="19">
        <v>0</v>
      </c>
      <c r="O73" s="117">
        <v>0</v>
      </c>
      <c r="P73" s="14" t="s">
        <v>0</v>
      </c>
    </row>
    <row r="74" spans="1:16">
      <c r="A74" s="116">
        <v>13757</v>
      </c>
      <c r="B74" s="14" t="s">
        <v>213</v>
      </c>
      <c r="C74" s="14" t="s">
        <v>307</v>
      </c>
      <c r="D74" s="14"/>
      <c r="E74" s="14" t="s">
        <v>425</v>
      </c>
      <c r="F74" s="118">
        <v>47749</v>
      </c>
      <c r="G74" s="16" t="s">
        <v>419</v>
      </c>
      <c r="H74" s="19">
        <v>2000869.08</v>
      </c>
      <c r="I74" s="19">
        <v>2000869.08</v>
      </c>
      <c r="J74" s="19">
        <v>0</v>
      </c>
      <c r="K74" s="19">
        <v>0</v>
      </c>
      <c r="L74" s="19">
        <v>2000869.08</v>
      </c>
      <c r="M74" s="19">
        <v>2000869.08</v>
      </c>
      <c r="N74" s="19">
        <v>0</v>
      </c>
      <c r="O74" s="117">
        <v>0</v>
      </c>
      <c r="P74" s="14" t="s">
        <v>0</v>
      </c>
    </row>
    <row r="75" spans="1:16">
      <c r="A75" s="116">
        <v>11533</v>
      </c>
      <c r="B75" s="14" t="s">
        <v>213</v>
      </c>
      <c r="C75" s="14" t="s">
        <v>305</v>
      </c>
      <c r="D75" s="14"/>
      <c r="E75" s="14" t="s">
        <v>425</v>
      </c>
      <c r="F75" s="118">
        <v>47749</v>
      </c>
      <c r="G75" s="16" t="s">
        <v>419</v>
      </c>
      <c r="H75" s="19">
        <v>1990000</v>
      </c>
      <c r="I75" s="19">
        <v>1990000</v>
      </c>
      <c r="J75" s="19">
        <v>0</v>
      </c>
      <c r="K75" s="19">
        <v>0</v>
      </c>
      <c r="L75" s="19">
        <v>1990000</v>
      </c>
      <c r="M75" s="19">
        <v>1990000</v>
      </c>
      <c r="N75" s="19">
        <v>0</v>
      </c>
      <c r="O75" s="117">
        <v>0</v>
      </c>
      <c r="P75" s="14" t="s">
        <v>0</v>
      </c>
    </row>
    <row r="76" spans="1:16">
      <c r="A76" s="116">
        <v>3299</v>
      </c>
      <c r="B76" s="14" t="s">
        <v>121</v>
      </c>
      <c r="C76" s="14" t="s">
        <v>122</v>
      </c>
      <c r="D76" s="14" t="s">
        <v>123</v>
      </c>
      <c r="E76" s="14" t="s">
        <v>425</v>
      </c>
      <c r="F76" s="118">
        <v>47361</v>
      </c>
      <c r="G76" s="16" t="s">
        <v>419</v>
      </c>
      <c r="H76" s="19">
        <v>3777823.24</v>
      </c>
      <c r="I76" s="19">
        <v>3777823.24</v>
      </c>
      <c r="J76" s="19">
        <v>0</v>
      </c>
      <c r="K76" s="19">
        <v>0</v>
      </c>
      <c r="L76" s="19">
        <v>3777823.24</v>
      </c>
      <c r="M76" s="19">
        <v>3777823.24</v>
      </c>
      <c r="N76" s="19">
        <v>0</v>
      </c>
      <c r="O76" s="117">
        <v>0</v>
      </c>
      <c r="P76" s="14" t="s">
        <v>0</v>
      </c>
    </row>
    <row r="77" spans="1:16">
      <c r="A77" s="116">
        <v>3292</v>
      </c>
      <c r="B77" s="14" t="s">
        <v>118</v>
      </c>
      <c r="C77" s="14" t="s">
        <v>119</v>
      </c>
      <c r="D77" s="14" t="s">
        <v>120</v>
      </c>
      <c r="E77" s="14" t="s">
        <v>425</v>
      </c>
      <c r="F77" s="118">
        <v>47483</v>
      </c>
      <c r="G77" s="16" t="s">
        <v>419</v>
      </c>
      <c r="H77" s="19">
        <v>2772875</v>
      </c>
      <c r="I77" s="19">
        <v>2772875</v>
      </c>
      <c r="J77" s="19">
        <v>0</v>
      </c>
      <c r="K77" s="19">
        <v>0</v>
      </c>
      <c r="L77" s="19">
        <v>2772875</v>
      </c>
      <c r="M77" s="19">
        <v>2772875</v>
      </c>
      <c r="N77" s="19">
        <v>0</v>
      </c>
      <c r="O77" s="117">
        <v>0</v>
      </c>
      <c r="P77" s="14" t="s">
        <v>0</v>
      </c>
    </row>
    <row r="78" spans="1:16">
      <c r="A78" s="116">
        <v>7509</v>
      </c>
      <c r="B78" s="14" t="s">
        <v>118</v>
      </c>
      <c r="C78" s="14" t="s">
        <v>140</v>
      </c>
      <c r="D78" s="14" t="s">
        <v>141</v>
      </c>
      <c r="E78" s="14" t="s">
        <v>425</v>
      </c>
      <c r="F78" s="118">
        <v>47483</v>
      </c>
      <c r="G78" s="16" t="s">
        <v>419</v>
      </c>
      <c r="H78" s="19">
        <v>882308.77</v>
      </c>
      <c r="I78" s="19">
        <v>882308.77</v>
      </c>
      <c r="J78" s="19">
        <v>0</v>
      </c>
      <c r="K78" s="19">
        <v>0</v>
      </c>
      <c r="L78" s="19">
        <v>882308.77</v>
      </c>
      <c r="M78" s="19">
        <v>882308.77</v>
      </c>
      <c r="N78" s="19">
        <v>0</v>
      </c>
      <c r="O78" s="117">
        <v>0</v>
      </c>
      <c r="P78" s="14" t="s">
        <v>0</v>
      </c>
    </row>
    <row r="79" spans="1:16">
      <c r="A79" s="116">
        <v>12826</v>
      </c>
      <c r="B79" s="14" t="s">
        <v>118</v>
      </c>
      <c r="C79" s="14" t="s">
        <v>255</v>
      </c>
      <c r="D79" s="14" t="s">
        <v>256</v>
      </c>
      <c r="E79" s="14" t="s">
        <v>425</v>
      </c>
      <c r="F79" s="118">
        <v>47481</v>
      </c>
      <c r="G79" s="16" t="s">
        <v>419</v>
      </c>
      <c r="H79" s="19">
        <v>3481508.63</v>
      </c>
      <c r="I79" s="19">
        <v>3481508.63</v>
      </c>
      <c r="J79" s="19">
        <v>0</v>
      </c>
      <c r="K79" s="19">
        <v>0</v>
      </c>
      <c r="L79" s="19">
        <v>3481508.63</v>
      </c>
      <c r="M79" s="19">
        <v>3481508.63</v>
      </c>
      <c r="N79" s="19">
        <v>0</v>
      </c>
      <c r="O79" s="117">
        <v>0</v>
      </c>
      <c r="P79" s="14" t="s">
        <v>0</v>
      </c>
    </row>
    <row r="80" spans="1:16">
      <c r="A80" s="116">
        <v>9760</v>
      </c>
      <c r="B80" s="14" t="s">
        <v>259</v>
      </c>
      <c r="C80" s="14" t="s">
        <v>260</v>
      </c>
      <c r="D80" s="14" t="s">
        <v>261</v>
      </c>
      <c r="E80" s="14" t="s">
        <v>425</v>
      </c>
      <c r="F80" s="118">
        <v>47467</v>
      </c>
      <c r="G80" s="16" t="s">
        <v>419</v>
      </c>
      <c r="H80" s="19">
        <v>19022012</v>
      </c>
      <c r="I80" s="19">
        <v>19022012</v>
      </c>
      <c r="J80" s="19">
        <v>0</v>
      </c>
      <c r="K80" s="19">
        <v>0</v>
      </c>
      <c r="L80" s="19">
        <v>19022012</v>
      </c>
      <c r="M80" s="19">
        <v>19022012</v>
      </c>
      <c r="N80" s="19">
        <v>0</v>
      </c>
      <c r="O80" s="117">
        <v>0</v>
      </c>
      <c r="P80" s="14" t="s">
        <v>0</v>
      </c>
    </row>
    <row r="81" spans="1:16">
      <c r="A81" s="116">
        <v>9065</v>
      </c>
      <c r="B81" s="14" t="s">
        <v>152</v>
      </c>
      <c r="C81" s="14" t="s">
        <v>65</v>
      </c>
      <c r="D81" s="14" t="s">
        <v>153</v>
      </c>
      <c r="E81" s="14" t="s">
        <v>425</v>
      </c>
      <c r="F81" s="118">
        <v>47729</v>
      </c>
      <c r="G81" s="16" t="s">
        <v>419</v>
      </c>
      <c r="H81" s="19">
        <v>997500</v>
      </c>
      <c r="I81" s="19">
        <v>997500</v>
      </c>
      <c r="J81" s="19">
        <v>0</v>
      </c>
      <c r="K81" s="19">
        <v>0</v>
      </c>
      <c r="L81" s="19">
        <v>997500</v>
      </c>
      <c r="M81" s="19">
        <v>997500</v>
      </c>
      <c r="N81" s="19">
        <v>0</v>
      </c>
      <c r="O81" s="117">
        <v>0</v>
      </c>
      <c r="P81" s="14" t="s">
        <v>0</v>
      </c>
    </row>
    <row r="82" spans="1:16">
      <c r="A82" s="116">
        <v>12568</v>
      </c>
      <c r="B82" s="14" t="s">
        <v>238</v>
      </c>
      <c r="C82" s="14" t="s">
        <v>239</v>
      </c>
      <c r="D82" s="14" t="s">
        <v>240</v>
      </c>
      <c r="E82" s="14" t="s">
        <v>425</v>
      </c>
      <c r="F82" s="118">
        <v>46707</v>
      </c>
      <c r="G82" s="16" t="s">
        <v>419</v>
      </c>
      <c r="H82" s="19">
        <v>8459233.0199999996</v>
      </c>
      <c r="I82" s="19">
        <v>8459233.0199999996</v>
      </c>
      <c r="J82" s="19">
        <v>0</v>
      </c>
      <c r="K82" s="19">
        <v>266544.7</v>
      </c>
      <c r="L82" s="19">
        <v>8459233.0199999996</v>
      </c>
      <c r="M82" s="19">
        <v>8459233.0199999996</v>
      </c>
      <c r="N82" s="19">
        <v>0</v>
      </c>
      <c r="O82" s="117">
        <v>266544.7</v>
      </c>
      <c r="P82" s="14" t="s">
        <v>0</v>
      </c>
    </row>
    <row r="83" spans="1:16">
      <c r="A83" s="116">
        <v>11668</v>
      </c>
      <c r="B83" s="14" t="s">
        <v>393</v>
      </c>
      <c r="C83" s="14" t="s">
        <v>86</v>
      </c>
      <c r="D83" s="14" t="s">
        <v>394</v>
      </c>
      <c r="E83" s="14" t="s">
        <v>425</v>
      </c>
      <c r="F83" s="118">
        <v>48213</v>
      </c>
      <c r="G83" s="16" t="s">
        <v>419</v>
      </c>
      <c r="H83" s="19">
        <v>5985000</v>
      </c>
      <c r="I83" s="19">
        <v>5985000</v>
      </c>
      <c r="J83" s="19">
        <v>0</v>
      </c>
      <c r="K83" s="19">
        <v>0</v>
      </c>
      <c r="L83" s="19">
        <v>5985000</v>
      </c>
      <c r="M83" s="19">
        <v>5985000</v>
      </c>
      <c r="N83" s="19">
        <v>0</v>
      </c>
      <c r="O83" s="117">
        <v>0</v>
      </c>
      <c r="P83" s="14" t="s">
        <v>0</v>
      </c>
    </row>
    <row r="84" spans="1:16">
      <c r="A84" s="116">
        <v>10564</v>
      </c>
      <c r="B84" s="14" t="s">
        <v>201</v>
      </c>
      <c r="C84" s="14" t="s">
        <v>65</v>
      </c>
      <c r="D84" s="14" t="s">
        <v>202</v>
      </c>
      <c r="E84" s="14" t="s">
        <v>425</v>
      </c>
      <c r="F84" s="118">
        <v>46475</v>
      </c>
      <c r="G84" s="16" t="s">
        <v>419</v>
      </c>
      <c r="H84" s="19">
        <v>6737869.1799999997</v>
      </c>
      <c r="I84" s="19">
        <v>6737869.1799999997</v>
      </c>
      <c r="J84" s="19">
        <v>0</v>
      </c>
      <c r="K84" s="19">
        <v>0</v>
      </c>
      <c r="L84" s="19">
        <v>6737869.1799999997</v>
      </c>
      <c r="M84" s="19">
        <v>6737869.1799999997</v>
      </c>
      <c r="N84" s="19">
        <v>0</v>
      </c>
      <c r="O84" s="117">
        <v>0</v>
      </c>
      <c r="P84" s="14" t="s">
        <v>0</v>
      </c>
    </row>
    <row r="85" spans="1:16">
      <c r="A85" s="116">
        <v>15006</v>
      </c>
      <c r="B85" s="14" t="s">
        <v>201</v>
      </c>
      <c r="C85" s="217" t="s">
        <v>345</v>
      </c>
      <c r="D85" s="14"/>
      <c r="E85" s="14" t="s">
        <v>425</v>
      </c>
      <c r="F85" s="118">
        <v>46475</v>
      </c>
      <c r="G85" s="16" t="s">
        <v>419</v>
      </c>
      <c r="H85" s="19">
        <v>9052.2099999999991</v>
      </c>
      <c r="I85" s="19">
        <v>9052.2099999999991</v>
      </c>
      <c r="J85" s="19">
        <v>0</v>
      </c>
      <c r="K85" s="19">
        <v>9052.2099999999991</v>
      </c>
      <c r="L85" s="19">
        <v>9052.2099999999991</v>
      </c>
      <c r="M85" s="19">
        <v>9052.2099999999991</v>
      </c>
      <c r="N85" s="19">
        <v>0</v>
      </c>
      <c r="O85" s="117">
        <v>9052.2099999999991</v>
      </c>
      <c r="P85" s="14" t="s">
        <v>0</v>
      </c>
    </row>
    <row r="86" spans="1:16">
      <c r="A86" s="116">
        <v>10566</v>
      </c>
      <c r="B86" s="14" t="s">
        <v>201</v>
      </c>
      <c r="C86" s="217" t="s">
        <v>333</v>
      </c>
      <c r="D86" s="14" t="s">
        <v>334</v>
      </c>
      <c r="E86" s="14" t="s">
        <v>425</v>
      </c>
      <c r="F86" s="118">
        <v>46475</v>
      </c>
      <c r="G86" s="16" t="s">
        <v>419</v>
      </c>
      <c r="H86" s="19">
        <v>5093999.96</v>
      </c>
      <c r="I86" s="19">
        <v>5093999.96</v>
      </c>
      <c r="J86" s="19">
        <v>0</v>
      </c>
      <c r="K86" s="19">
        <v>0</v>
      </c>
      <c r="L86" s="19">
        <v>5093999.96</v>
      </c>
      <c r="M86" s="19">
        <v>5093999.96</v>
      </c>
      <c r="N86" s="19">
        <v>0</v>
      </c>
      <c r="O86" s="117">
        <v>0</v>
      </c>
      <c r="P86" s="14" t="s">
        <v>0</v>
      </c>
    </row>
    <row r="87" spans="1:16">
      <c r="A87" s="116">
        <v>3273</v>
      </c>
      <c r="B87" s="14" t="s">
        <v>116</v>
      </c>
      <c r="C87" s="14" t="s">
        <v>65</v>
      </c>
      <c r="D87" s="14" t="s">
        <v>117</v>
      </c>
      <c r="E87" s="14" t="s">
        <v>425</v>
      </c>
      <c r="F87" s="118">
        <v>47289</v>
      </c>
      <c r="G87" s="16" t="s">
        <v>419</v>
      </c>
      <c r="H87" s="19">
        <v>9578419.5800000001</v>
      </c>
      <c r="I87" s="19">
        <v>9578419.5800000001</v>
      </c>
      <c r="J87" s="19">
        <v>0</v>
      </c>
      <c r="K87" s="19">
        <v>0</v>
      </c>
      <c r="L87" s="19">
        <v>9578419.5800000001</v>
      </c>
      <c r="M87" s="19">
        <v>9578419.5800000001</v>
      </c>
      <c r="N87" s="19">
        <v>0</v>
      </c>
      <c r="O87" s="117">
        <v>0</v>
      </c>
      <c r="P87" s="14" t="s">
        <v>0</v>
      </c>
    </row>
    <row r="88" spans="1:16" ht="30">
      <c r="A88" s="116">
        <v>3377</v>
      </c>
      <c r="B88" s="14" t="s">
        <v>116</v>
      </c>
      <c r="C88" s="14" t="s">
        <v>130</v>
      </c>
      <c r="D88" s="14"/>
      <c r="E88" s="14" t="s">
        <v>425</v>
      </c>
      <c r="F88" s="118">
        <v>47289</v>
      </c>
      <c r="G88" s="16" t="s">
        <v>419</v>
      </c>
      <c r="H88" s="19">
        <v>5439747.1399999997</v>
      </c>
      <c r="I88" s="19">
        <v>5439747.1399999997</v>
      </c>
      <c r="J88" s="19">
        <v>0</v>
      </c>
      <c r="K88" s="19">
        <v>0</v>
      </c>
      <c r="L88" s="19">
        <v>5439747.1399999997</v>
      </c>
      <c r="M88" s="19">
        <v>5439747.1399999997</v>
      </c>
      <c r="N88" s="19">
        <v>0</v>
      </c>
      <c r="O88" s="117">
        <v>0</v>
      </c>
      <c r="P88" s="14" t="s">
        <v>0</v>
      </c>
    </row>
    <row r="89" spans="1:16">
      <c r="A89" s="116">
        <v>11022</v>
      </c>
      <c r="B89" s="14" t="s">
        <v>116</v>
      </c>
      <c r="C89" s="14" t="s">
        <v>209</v>
      </c>
      <c r="D89" s="14"/>
      <c r="E89" s="14" t="s">
        <v>425</v>
      </c>
      <c r="F89" s="118">
        <v>47289</v>
      </c>
      <c r="G89" s="16" t="s">
        <v>419</v>
      </c>
      <c r="H89" s="19">
        <v>2263912.66</v>
      </c>
      <c r="I89" s="19">
        <v>2263912.66</v>
      </c>
      <c r="J89" s="19">
        <v>0</v>
      </c>
      <c r="K89" s="19">
        <v>0</v>
      </c>
      <c r="L89" s="19">
        <v>2263912.66</v>
      </c>
      <c r="M89" s="19">
        <v>2263912.66</v>
      </c>
      <c r="N89" s="19">
        <v>0</v>
      </c>
      <c r="O89" s="117">
        <v>0</v>
      </c>
      <c r="P89" s="14" t="s">
        <v>0</v>
      </c>
    </row>
    <row r="90" spans="1:16">
      <c r="A90" s="116">
        <v>10559</v>
      </c>
      <c r="B90" s="14" t="s">
        <v>196</v>
      </c>
      <c r="C90" s="14" t="s">
        <v>292</v>
      </c>
      <c r="D90" s="14" t="s">
        <v>200</v>
      </c>
      <c r="E90" s="14" t="s">
        <v>425</v>
      </c>
      <c r="F90" s="118">
        <v>46949</v>
      </c>
      <c r="G90" s="16" t="s">
        <v>419</v>
      </c>
      <c r="H90" s="19">
        <v>1580211.17</v>
      </c>
      <c r="I90" s="19">
        <v>1580211.17</v>
      </c>
      <c r="J90" s="19">
        <v>0</v>
      </c>
      <c r="K90" s="19">
        <v>0</v>
      </c>
      <c r="L90" s="19">
        <v>1580211.17</v>
      </c>
      <c r="M90" s="19">
        <v>1580211.17</v>
      </c>
      <c r="N90" s="19">
        <v>0</v>
      </c>
      <c r="O90" s="117">
        <v>0</v>
      </c>
      <c r="P90" s="14" t="s">
        <v>0</v>
      </c>
    </row>
    <row r="91" spans="1:16">
      <c r="A91" s="116">
        <v>10557</v>
      </c>
      <c r="B91" s="14" t="s">
        <v>196</v>
      </c>
      <c r="C91" s="14" t="s">
        <v>291</v>
      </c>
      <c r="D91" s="14" t="s">
        <v>198</v>
      </c>
      <c r="E91" s="14" t="s">
        <v>425</v>
      </c>
      <c r="F91" s="118">
        <v>47041</v>
      </c>
      <c r="G91" s="16" t="s">
        <v>419</v>
      </c>
      <c r="H91" s="19">
        <v>5740273.5800000001</v>
      </c>
      <c r="I91" s="19">
        <v>5740273.5800000001</v>
      </c>
      <c r="J91" s="19">
        <v>0</v>
      </c>
      <c r="K91" s="19">
        <v>0</v>
      </c>
      <c r="L91" s="19">
        <v>5740273.5800000001</v>
      </c>
      <c r="M91" s="19">
        <v>5740273.5800000001</v>
      </c>
      <c r="N91" s="19">
        <v>0</v>
      </c>
      <c r="O91" s="117">
        <v>0</v>
      </c>
      <c r="P91" s="14" t="s">
        <v>0</v>
      </c>
    </row>
    <row r="92" spans="1:16">
      <c r="A92" s="116">
        <v>12049</v>
      </c>
      <c r="B92" s="14" t="s">
        <v>369</v>
      </c>
      <c r="C92" s="14" t="s">
        <v>86</v>
      </c>
      <c r="D92" s="14"/>
      <c r="E92" s="14" t="s">
        <v>425</v>
      </c>
      <c r="F92" s="118">
        <v>47865</v>
      </c>
      <c r="G92" s="16" t="s">
        <v>419</v>
      </c>
      <c r="H92" s="19">
        <v>10000000</v>
      </c>
      <c r="I92" s="19">
        <v>10000000</v>
      </c>
      <c r="J92" s="19">
        <v>0</v>
      </c>
      <c r="K92" s="19">
        <v>0</v>
      </c>
      <c r="L92" s="19">
        <v>10000000</v>
      </c>
      <c r="M92" s="19">
        <v>10000000</v>
      </c>
      <c r="N92" s="19">
        <v>0</v>
      </c>
      <c r="O92" s="117">
        <v>0</v>
      </c>
      <c r="P92" s="14" t="s">
        <v>0</v>
      </c>
    </row>
    <row r="93" spans="1:16">
      <c r="A93" s="116">
        <v>3955</v>
      </c>
      <c r="B93" s="14" t="s">
        <v>134</v>
      </c>
      <c r="C93" s="14" t="s">
        <v>65</v>
      </c>
      <c r="D93" s="14" t="s">
        <v>135</v>
      </c>
      <c r="E93" s="14" t="s">
        <v>425</v>
      </c>
      <c r="F93" s="118">
        <v>47241</v>
      </c>
      <c r="G93" s="16" t="s">
        <v>419</v>
      </c>
      <c r="H93" s="19">
        <v>12885087.720000001</v>
      </c>
      <c r="I93" s="19">
        <v>12885087.720000001</v>
      </c>
      <c r="J93" s="19">
        <v>0</v>
      </c>
      <c r="K93" s="19">
        <v>0</v>
      </c>
      <c r="L93" s="19">
        <v>12885087.720000001</v>
      </c>
      <c r="M93" s="19">
        <v>12885087.720000001</v>
      </c>
      <c r="N93" s="19">
        <v>0</v>
      </c>
      <c r="O93" s="117">
        <v>0</v>
      </c>
      <c r="P93" s="14" t="s">
        <v>0</v>
      </c>
    </row>
    <row r="94" spans="1:16">
      <c r="A94" s="116">
        <v>9497</v>
      </c>
      <c r="B94" s="14" t="s">
        <v>257</v>
      </c>
      <c r="C94" s="14" t="s">
        <v>86</v>
      </c>
      <c r="D94" s="14" t="s">
        <v>258</v>
      </c>
      <c r="E94" s="14" t="s">
        <v>425</v>
      </c>
      <c r="F94" s="118">
        <v>47787</v>
      </c>
      <c r="G94" s="16" t="s">
        <v>419</v>
      </c>
      <c r="H94" s="19">
        <v>5985000</v>
      </c>
      <c r="I94" s="19">
        <v>5985000</v>
      </c>
      <c r="J94" s="19">
        <v>0</v>
      </c>
      <c r="K94" s="19">
        <v>0</v>
      </c>
      <c r="L94" s="19">
        <v>5985000</v>
      </c>
      <c r="M94" s="19">
        <v>5985000</v>
      </c>
      <c r="N94" s="19">
        <v>0</v>
      </c>
      <c r="O94" s="117">
        <v>0</v>
      </c>
      <c r="P94" s="14" t="s">
        <v>0</v>
      </c>
    </row>
    <row r="95" spans="1:16">
      <c r="A95" s="116">
        <v>10988</v>
      </c>
      <c r="B95" s="14" t="s">
        <v>308</v>
      </c>
      <c r="C95" s="14" t="s">
        <v>86</v>
      </c>
      <c r="D95" s="14"/>
      <c r="E95" s="14" t="s">
        <v>425</v>
      </c>
      <c r="F95" s="118">
        <v>47837</v>
      </c>
      <c r="G95" s="16" t="s">
        <v>419</v>
      </c>
      <c r="H95" s="19">
        <v>4987500</v>
      </c>
      <c r="I95" s="19">
        <v>4987500</v>
      </c>
      <c r="J95" s="19">
        <v>0</v>
      </c>
      <c r="K95" s="19">
        <v>0</v>
      </c>
      <c r="L95" s="19">
        <v>4987500</v>
      </c>
      <c r="M95" s="19">
        <v>4987500</v>
      </c>
      <c r="N95" s="19">
        <v>0</v>
      </c>
      <c r="O95" s="117">
        <v>0</v>
      </c>
      <c r="P95" s="14" t="s">
        <v>0</v>
      </c>
    </row>
    <row r="96" spans="1:16">
      <c r="A96" s="116">
        <v>3192</v>
      </c>
      <c r="B96" s="14" t="s">
        <v>104</v>
      </c>
      <c r="C96" s="14" t="s">
        <v>65</v>
      </c>
      <c r="D96" s="14" t="s">
        <v>105</v>
      </c>
      <c r="E96" s="14" t="s">
        <v>425</v>
      </c>
      <c r="F96" s="118">
        <v>47282</v>
      </c>
      <c r="G96" s="16" t="s">
        <v>419</v>
      </c>
      <c r="H96" s="19">
        <v>608095.06000000006</v>
      </c>
      <c r="I96" s="19">
        <v>608095.06000000006</v>
      </c>
      <c r="J96" s="19">
        <v>0</v>
      </c>
      <c r="K96" s="19">
        <v>0</v>
      </c>
      <c r="L96" s="19">
        <v>608095.06000000006</v>
      </c>
      <c r="M96" s="19">
        <v>608095.06000000006</v>
      </c>
      <c r="N96" s="19">
        <v>0</v>
      </c>
      <c r="O96" s="117">
        <v>0</v>
      </c>
      <c r="P96" s="14" t="s">
        <v>0</v>
      </c>
    </row>
    <row r="97" spans="1:16">
      <c r="A97" s="116">
        <v>3184</v>
      </c>
      <c r="B97" s="14" t="s">
        <v>101</v>
      </c>
      <c r="C97" s="14" t="s">
        <v>65</v>
      </c>
      <c r="D97" s="14" t="s">
        <v>102</v>
      </c>
      <c r="E97" s="14" t="s">
        <v>425</v>
      </c>
      <c r="F97" s="118">
        <v>46741</v>
      </c>
      <c r="G97" s="16" t="s">
        <v>419</v>
      </c>
      <c r="H97" s="19">
        <v>18453743.010000002</v>
      </c>
      <c r="I97" s="19">
        <v>18453743.010000002</v>
      </c>
      <c r="J97" s="19">
        <v>0</v>
      </c>
      <c r="K97" s="19">
        <v>0</v>
      </c>
      <c r="L97" s="19">
        <v>18453743.010000002</v>
      </c>
      <c r="M97" s="19">
        <v>18453743.010000002</v>
      </c>
      <c r="N97" s="19">
        <v>0</v>
      </c>
      <c r="O97" s="117">
        <v>0</v>
      </c>
      <c r="P97" s="14" t="s">
        <v>0</v>
      </c>
    </row>
    <row r="98" spans="1:16">
      <c r="A98" s="116">
        <v>11807</v>
      </c>
      <c r="B98" s="14" t="s">
        <v>54</v>
      </c>
      <c r="C98" s="14" t="s">
        <v>55</v>
      </c>
      <c r="D98" s="14" t="s">
        <v>56</v>
      </c>
      <c r="E98" s="14" t="s">
        <v>425</v>
      </c>
      <c r="F98" s="118">
        <v>47394</v>
      </c>
      <c r="G98" s="16" t="s">
        <v>419</v>
      </c>
      <c r="H98" s="19">
        <v>1412004.18</v>
      </c>
      <c r="I98" s="19">
        <v>1412004.18</v>
      </c>
      <c r="J98" s="19">
        <v>0</v>
      </c>
      <c r="K98" s="19">
        <v>33614.03</v>
      </c>
      <c r="L98" s="19">
        <v>1412004.18</v>
      </c>
      <c r="M98" s="19">
        <v>1412004.18</v>
      </c>
      <c r="N98" s="19">
        <v>0</v>
      </c>
      <c r="O98" s="117">
        <v>33614.03</v>
      </c>
      <c r="P98" s="14" t="s">
        <v>0</v>
      </c>
    </row>
    <row r="99" spans="1:16">
      <c r="A99" s="116">
        <v>9770</v>
      </c>
      <c r="B99" s="14" t="s">
        <v>162</v>
      </c>
      <c r="C99" s="14" t="s">
        <v>86</v>
      </c>
      <c r="D99" s="14" t="s">
        <v>163</v>
      </c>
      <c r="E99" s="14" t="s">
        <v>425</v>
      </c>
      <c r="F99" s="118">
        <v>47788</v>
      </c>
      <c r="G99" s="16" t="s">
        <v>419</v>
      </c>
      <c r="H99" s="19">
        <v>795000</v>
      </c>
      <c r="I99" s="19">
        <v>795000</v>
      </c>
      <c r="J99" s="19">
        <v>0</v>
      </c>
      <c r="K99" s="19">
        <v>0</v>
      </c>
      <c r="L99" s="19">
        <v>795000</v>
      </c>
      <c r="M99" s="19">
        <v>795000</v>
      </c>
      <c r="N99" s="19">
        <v>0</v>
      </c>
      <c r="O99" s="117">
        <v>0</v>
      </c>
      <c r="P99" s="14" t="s">
        <v>0</v>
      </c>
    </row>
    <row r="100" spans="1:16">
      <c r="A100" s="116">
        <v>12829</v>
      </c>
      <c r="B100" s="14" t="s">
        <v>263</v>
      </c>
      <c r="C100" s="14" t="s">
        <v>176</v>
      </c>
      <c r="D100" s="14"/>
      <c r="E100" s="14" t="s">
        <v>425</v>
      </c>
      <c r="F100" s="118">
        <v>46615</v>
      </c>
      <c r="G100" s="16" t="s">
        <v>419</v>
      </c>
      <c r="H100" s="19">
        <v>1279276.33</v>
      </c>
      <c r="I100" s="19">
        <v>1279276.33</v>
      </c>
      <c r="J100" s="19">
        <v>0</v>
      </c>
      <c r="K100" s="19">
        <v>0</v>
      </c>
      <c r="L100" s="19">
        <v>1279276.33</v>
      </c>
      <c r="M100" s="19">
        <v>1279276.33</v>
      </c>
      <c r="N100" s="19">
        <v>0</v>
      </c>
      <c r="O100" s="117">
        <v>0</v>
      </c>
      <c r="P100" s="14" t="s">
        <v>0</v>
      </c>
    </row>
    <row r="101" spans="1:16">
      <c r="A101" s="116">
        <v>3160</v>
      </c>
      <c r="B101" s="14" t="s">
        <v>97</v>
      </c>
      <c r="C101" s="14" t="s">
        <v>65</v>
      </c>
      <c r="D101" s="14" t="s">
        <v>98</v>
      </c>
      <c r="E101" s="14" t="s">
        <v>425</v>
      </c>
      <c r="F101" s="118">
        <v>47141</v>
      </c>
      <c r="G101" s="16" t="s">
        <v>419</v>
      </c>
      <c r="H101" s="19">
        <v>3930150.76</v>
      </c>
      <c r="I101" s="19">
        <v>3930150.76</v>
      </c>
      <c r="J101" s="19">
        <v>0</v>
      </c>
      <c r="K101" s="19">
        <v>0</v>
      </c>
      <c r="L101" s="19">
        <v>3930150.76</v>
      </c>
      <c r="M101" s="19">
        <v>3930150.76</v>
      </c>
      <c r="N101" s="19">
        <v>0</v>
      </c>
      <c r="O101" s="117">
        <v>0</v>
      </c>
      <c r="P101" s="14" t="s">
        <v>0</v>
      </c>
    </row>
    <row r="102" spans="1:16">
      <c r="A102" s="116">
        <v>10527</v>
      </c>
      <c r="B102" s="14" t="s">
        <v>178</v>
      </c>
      <c r="C102" s="14" t="s">
        <v>179</v>
      </c>
      <c r="D102" s="14" t="s">
        <v>180</v>
      </c>
      <c r="E102" s="14" t="s">
        <v>425</v>
      </c>
      <c r="F102" s="118">
        <v>46741</v>
      </c>
      <c r="G102" s="16" t="s">
        <v>419</v>
      </c>
      <c r="H102" s="19">
        <v>997500</v>
      </c>
      <c r="I102" s="19">
        <v>997500</v>
      </c>
      <c r="J102" s="19">
        <v>0</v>
      </c>
      <c r="K102" s="19">
        <v>0</v>
      </c>
      <c r="L102" s="19">
        <v>997500</v>
      </c>
      <c r="M102" s="19">
        <v>997500</v>
      </c>
      <c r="N102" s="19">
        <v>0</v>
      </c>
      <c r="O102" s="117">
        <v>0</v>
      </c>
      <c r="P102" s="14" t="s">
        <v>0</v>
      </c>
    </row>
    <row r="103" spans="1:16">
      <c r="A103" s="116">
        <v>10523</v>
      </c>
      <c r="B103" s="14" t="s">
        <v>172</v>
      </c>
      <c r="C103" s="14" t="s">
        <v>173</v>
      </c>
      <c r="D103" s="14" t="s">
        <v>174</v>
      </c>
      <c r="E103" s="14" t="s">
        <v>425</v>
      </c>
      <c r="F103" s="118">
        <v>47109</v>
      </c>
      <c r="G103" s="16" t="s">
        <v>419</v>
      </c>
      <c r="H103" s="19">
        <v>3192037.24</v>
      </c>
      <c r="I103" s="19">
        <v>3192037.24</v>
      </c>
      <c r="J103" s="19">
        <v>0</v>
      </c>
      <c r="K103" s="19">
        <v>0</v>
      </c>
      <c r="L103" s="19">
        <v>3192037.24</v>
      </c>
      <c r="M103" s="19">
        <v>3192037.24</v>
      </c>
      <c r="N103" s="19">
        <v>0</v>
      </c>
      <c r="O103" s="117">
        <v>0</v>
      </c>
      <c r="P103" s="14" t="s">
        <v>0</v>
      </c>
    </row>
    <row r="104" spans="1:16">
      <c r="A104" s="116">
        <v>3110</v>
      </c>
      <c r="B104" s="14" t="s">
        <v>69</v>
      </c>
      <c r="C104" s="14" t="s">
        <v>65</v>
      </c>
      <c r="D104" s="14" t="s">
        <v>70</v>
      </c>
      <c r="E104" s="14" t="s">
        <v>425</v>
      </c>
      <c r="F104" s="118">
        <v>47116</v>
      </c>
      <c r="G104" s="16" t="s">
        <v>419</v>
      </c>
      <c r="H104" s="19">
        <v>3163695.72</v>
      </c>
      <c r="I104" s="19">
        <v>3163695.72</v>
      </c>
      <c r="J104" s="19">
        <v>0</v>
      </c>
      <c r="K104" s="19">
        <v>0</v>
      </c>
      <c r="L104" s="19">
        <v>3163695.72</v>
      </c>
      <c r="M104" s="19">
        <v>3163695.72</v>
      </c>
      <c r="N104" s="19">
        <v>0</v>
      </c>
      <c r="O104" s="117">
        <v>0</v>
      </c>
      <c r="P104" s="14" t="s">
        <v>0</v>
      </c>
    </row>
    <row r="105" spans="1:16">
      <c r="A105" s="116">
        <v>10461</v>
      </c>
      <c r="B105" s="14" t="s">
        <v>164</v>
      </c>
      <c r="C105" s="14" t="s">
        <v>165</v>
      </c>
      <c r="D105" s="14" t="s">
        <v>166</v>
      </c>
      <c r="E105" s="14" t="s">
        <v>425</v>
      </c>
      <c r="F105" s="118">
        <v>46553</v>
      </c>
      <c r="G105" s="16" t="s">
        <v>419</v>
      </c>
      <c r="H105" s="19">
        <v>1177274.05</v>
      </c>
      <c r="I105" s="19">
        <v>1177274.05</v>
      </c>
      <c r="J105" s="19">
        <v>0</v>
      </c>
      <c r="K105" s="19">
        <v>0</v>
      </c>
      <c r="L105" s="19">
        <v>1177274.05</v>
      </c>
      <c r="M105" s="19">
        <v>1177274.05</v>
      </c>
      <c r="N105" s="19">
        <v>0</v>
      </c>
      <c r="O105" s="117">
        <v>0</v>
      </c>
      <c r="P105" s="14" t="s">
        <v>0</v>
      </c>
    </row>
    <row r="106" spans="1:16">
      <c r="A106" s="116">
        <v>13649</v>
      </c>
      <c r="B106" s="14" t="s">
        <v>164</v>
      </c>
      <c r="C106" s="14" t="s">
        <v>339</v>
      </c>
      <c r="D106" s="14"/>
      <c r="E106" s="14" t="s">
        <v>425</v>
      </c>
      <c r="F106" s="118">
        <v>46553</v>
      </c>
      <c r="G106" s="16" t="s">
        <v>419</v>
      </c>
      <c r="H106" s="19">
        <v>1495000</v>
      </c>
      <c r="I106" s="19">
        <v>1495000</v>
      </c>
      <c r="J106" s="19">
        <v>0</v>
      </c>
      <c r="K106" s="19">
        <v>0</v>
      </c>
      <c r="L106" s="19">
        <v>1495000</v>
      </c>
      <c r="M106" s="19">
        <v>1495000</v>
      </c>
      <c r="N106" s="19">
        <v>0</v>
      </c>
      <c r="O106" s="117">
        <v>0</v>
      </c>
      <c r="P106" s="14" t="s">
        <v>0</v>
      </c>
    </row>
    <row r="107" spans="1:16">
      <c r="A107" s="116">
        <v>8533</v>
      </c>
      <c r="B107" s="14" t="s">
        <v>142</v>
      </c>
      <c r="C107" s="14" t="s">
        <v>65</v>
      </c>
      <c r="D107" s="14" t="s">
        <v>143</v>
      </c>
      <c r="E107" s="14" t="s">
        <v>425</v>
      </c>
      <c r="F107" s="118">
        <v>48128</v>
      </c>
      <c r="G107" s="16" t="s">
        <v>419</v>
      </c>
      <c r="H107" s="19">
        <v>4987500</v>
      </c>
      <c r="I107" s="19">
        <v>4987500</v>
      </c>
      <c r="J107" s="19">
        <v>0</v>
      </c>
      <c r="K107" s="19">
        <v>0</v>
      </c>
      <c r="L107" s="19">
        <v>4987500</v>
      </c>
      <c r="M107" s="19">
        <v>4987500</v>
      </c>
      <c r="N107" s="19">
        <v>0</v>
      </c>
      <c r="O107" s="117">
        <v>0</v>
      </c>
      <c r="P107" s="14" t="s">
        <v>0</v>
      </c>
    </row>
    <row r="108" spans="1:16">
      <c r="A108" s="116">
        <v>11809</v>
      </c>
      <c r="B108" s="14" t="s">
        <v>220</v>
      </c>
      <c r="C108" s="14" t="s">
        <v>221</v>
      </c>
      <c r="D108" s="14" t="s">
        <v>222</v>
      </c>
      <c r="E108" s="14" t="s">
        <v>425</v>
      </c>
      <c r="F108" s="118">
        <v>46996</v>
      </c>
      <c r="G108" s="16" t="s">
        <v>419</v>
      </c>
      <c r="H108" s="19">
        <v>6982500</v>
      </c>
      <c r="I108" s="19">
        <v>6982500</v>
      </c>
      <c r="J108" s="19">
        <v>0</v>
      </c>
      <c r="K108" s="19">
        <v>0</v>
      </c>
      <c r="L108" s="19">
        <v>6982500</v>
      </c>
      <c r="M108" s="19">
        <v>6982500</v>
      </c>
      <c r="N108" s="19">
        <v>0</v>
      </c>
      <c r="O108" s="117">
        <v>0</v>
      </c>
      <c r="P108" s="14" t="s">
        <v>0</v>
      </c>
    </row>
    <row r="109" spans="1:16">
      <c r="A109" s="116">
        <v>9990</v>
      </c>
      <c r="B109" s="14" t="s">
        <v>304</v>
      </c>
      <c r="C109" s="14" t="s">
        <v>86</v>
      </c>
      <c r="D109" s="14"/>
      <c r="E109" s="14" t="s">
        <v>425</v>
      </c>
      <c r="F109" s="118">
        <v>47808</v>
      </c>
      <c r="G109" s="16" t="s">
        <v>419</v>
      </c>
      <c r="H109" s="19">
        <v>9000000</v>
      </c>
      <c r="I109" s="19">
        <v>9000000</v>
      </c>
      <c r="J109" s="19">
        <v>0</v>
      </c>
      <c r="K109" s="19">
        <v>0</v>
      </c>
      <c r="L109" s="19">
        <v>9000000</v>
      </c>
      <c r="M109" s="19">
        <v>9000000</v>
      </c>
      <c r="N109" s="19">
        <v>0</v>
      </c>
      <c r="O109" s="117">
        <v>0</v>
      </c>
      <c r="P109" s="14" t="s">
        <v>0</v>
      </c>
    </row>
    <row r="110" spans="1:16">
      <c r="A110" s="116">
        <v>11811</v>
      </c>
      <c r="B110" s="14" t="s">
        <v>87</v>
      </c>
      <c r="C110" s="14" t="s">
        <v>223</v>
      </c>
      <c r="D110" s="14" t="s">
        <v>224</v>
      </c>
      <c r="E110" s="14" t="s">
        <v>425</v>
      </c>
      <c r="F110" s="118">
        <v>47455</v>
      </c>
      <c r="G110" s="16" t="s">
        <v>419</v>
      </c>
      <c r="H110" s="19">
        <v>4173750</v>
      </c>
      <c r="I110" s="19">
        <v>4173750</v>
      </c>
      <c r="J110" s="19">
        <v>0</v>
      </c>
      <c r="K110" s="19">
        <v>0</v>
      </c>
      <c r="L110" s="19">
        <v>4173750</v>
      </c>
      <c r="M110" s="19">
        <v>4173750</v>
      </c>
      <c r="N110" s="19">
        <v>0</v>
      </c>
      <c r="O110" s="117">
        <v>0</v>
      </c>
      <c r="P110" s="14" t="s">
        <v>0</v>
      </c>
    </row>
    <row r="111" spans="1:16">
      <c r="A111" s="116">
        <v>3096</v>
      </c>
      <c r="B111" s="14" t="s">
        <v>87</v>
      </c>
      <c r="C111" s="14" t="s">
        <v>65</v>
      </c>
      <c r="D111" s="14" t="s">
        <v>88</v>
      </c>
      <c r="E111" s="14" t="s">
        <v>425</v>
      </c>
      <c r="F111" s="118">
        <v>47455</v>
      </c>
      <c r="G111" s="16" t="s">
        <v>419</v>
      </c>
      <c r="H111" s="19">
        <v>2269605.64</v>
      </c>
      <c r="I111" s="19">
        <v>2269605.64</v>
      </c>
      <c r="J111" s="19">
        <v>0</v>
      </c>
      <c r="K111" s="19">
        <v>0</v>
      </c>
      <c r="L111" s="19">
        <v>2269605.64</v>
      </c>
      <c r="M111" s="19">
        <v>2269605.64</v>
      </c>
      <c r="N111" s="19">
        <v>0</v>
      </c>
      <c r="O111" s="117">
        <v>0</v>
      </c>
      <c r="P111" s="14" t="s">
        <v>0</v>
      </c>
    </row>
    <row r="112" spans="1:16">
      <c r="A112" s="116">
        <v>3390</v>
      </c>
      <c r="B112" s="14" t="s">
        <v>131</v>
      </c>
      <c r="C112" s="14" t="s">
        <v>132</v>
      </c>
      <c r="D112" s="14" t="s">
        <v>133</v>
      </c>
      <c r="E112" s="14" t="s">
        <v>425</v>
      </c>
      <c r="F112" s="118">
        <v>45777</v>
      </c>
      <c r="G112" s="16" t="s">
        <v>419</v>
      </c>
      <c r="H112" s="19">
        <v>7889014.0199999996</v>
      </c>
      <c r="I112" s="19">
        <v>7889014.0199999996</v>
      </c>
      <c r="J112" s="19">
        <v>0</v>
      </c>
      <c r="K112" s="19">
        <v>188053.53</v>
      </c>
      <c r="L112" s="19">
        <v>7889014.0199999996</v>
      </c>
      <c r="M112" s="19">
        <v>7889014.0199999996</v>
      </c>
      <c r="N112" s="19">
        <v>0</v>
      </c>
      <c r="O112" s="117">
        <v>188053.53</v>
      </c>
      <c r="P112" s="14" t="s">
        <v>0</v>
      </c>
    </row>
    <row r="113" spans="1:16">
      <c r="A113" s="116">
        <v>14568</v>
      </c>
      <c r="B113" s="14" t="s">
        <v>131</v>
      </c>
      <c r="C113" s="14" t="s">
        <v>366</v>
      </c>
      <c r="D113" s="14" t="s">
        <v>367</v>
      </c>
      <c r="E113" s="14" t="s">
        <v>425</v>
      </c>
      <c r="F113" s="118">
        <v>45940</v>
      </c>
      <c r="G113" s="16" t="s">
        <v>419</v>
      </c>
      <c r="H113" s="19">
        <v>688667.16</v>
      </c>
      <c r="I113" s="19">
        <v>688667.16</v>
      </c>
      <c r="J113" s="19">
        <v>0</v>
      </c>
      <c r="K113" s="19">
        <v>0</v>
      </c>
      <c r="L113" s="19">
        <v>688667.16</v>
      </c>
      <c r="M113" s="19">
        <v>688667.16</v>
      </c>
      <c r="N113" s="19">
        <v>0</v>
      </c>
      <c r="O113" s="117">
        <v>0</v>
      </c>
      <c r="P113" s="14" t="s">
        <v>0</v>
      </c>
    </row>
    <row r="114" spans="1:16">
      <c r="A114" s="119" t="s">
        <v>0</v>
      </c>
      <c r="B114" s="119" t="s">
        <v>0</v>
      </c>
      <c r="C114" s="119" t="s">
        <v>0</v>
      </c>
      <c r="D114" s="119" t="s">
        <v>0</v>
      </c>
      <c r="E114" s="119" t="s">
        <v>0</v>
      </c>
      <c r="F114" s="119" t="s">
        <v>0</v>
      </c>
      <c r="G114" s="120" t="s">
        <v>0</v>
      </c>
      <c r="H114" s="119" t="s">
        <v>0</v>
      </c>
      <c r="I114" s="119" t="s">
        <v>0</v>
      </c>
      <c r="J114" s="119" t="s">
        <v>0</v>
      </c>
      <c r="K114" s="119" t="s">
        <v>0</v>
      </c>
      <c r="L114" s="119" t="s">
        <v>0</v>
      </c>
      <c r="M114" s="119" t="s">
        <v>0</v>
      </c>
      <c r="N114" s="119" t="s">
        <v>0</v>
      </c>
      <c r="O114" s="119" t="s">
        <v>0</v>
      </c>
      <c r="P114" s="7" t="s">
        <v>0</v>
      </c>
    </row>
  </sheetData>
  <mergeCells count="2">
    <mergeCell ref="A2:B5"/>
    <mergeCell ref="A6:B6"/>
  </mergeCells>
  <pageMargins left="1" right="1" top="1" bottom="1.45" header="1" footer="1"/>
  <pageSetup orientation="portrait" horizontalDpi="300" verticalDpi="300"/>
  <headerFooter alignWithMargins="0">
    <oddFooter>&amp;C&amp;"Segoe UI,Regular"&amp;10 4/30/2025 8:56:00 PM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"/>
  <sheetViews>
    <sheetView showGridLines="0" topLeftCell="D1" zoomScale="85" workbookViewId="0">
      <selection activeCell="Q9" sqref="Q9"/>
    </sheetView>
  </sheetViews>
  <sheetFormatPr defaultRowHeight="15"/>
  <cols>
    <col min="1" max="1" width="10.42578125" customWidth="1"/>
    <col min="2" max="2" width="10.28515625" customWidth="1"/>
    <col min="3" max="4" width="35.42578125" customWidth="1"/>
    <col min="5" max="5" width="12.7109375" customWidth="1"/>
    <col min="6" max="6" width="13.85546875" customWidth="1"/>
    <col min="7" max="8" width="14.42578125" customWidth="1"/>
    <col min="9" max="9" width="14" customWidth="1"/>
    <col min="10" max="10" width="14.85546875" customWidth="1"/>
    <col min="11" max="11" width="20" customWidth="1"/>
    <col min="12" max="12" width="20.42578125" customWidth="1"/>
    <col min="13" max="13" width="22.5703125" customWidth="1"/>
    <col min="14" max="14" width="11.28515625" customWidth="1"/>
    <col min="15" max="15" width="12.7109375" customWidth="1"/>
    <col min="16" max="25" width="22.42578125" customWidth="1"/>
    <col min="26" max="27" width="13.7109375" customWidth="1"/>
    <col min="28" max="28" width="11.5703125" customWidth="1"/>
    <col min="29" max="29" width="0" hidden="1" customWidth="1"/>
    <col min="30" max="30" width="6.140625" customWidth="1"/>
  </cols>
  <sheetData>
    <row r="1" spans="1:27" ht="18" customHeight="1">
      <c r="A1" s="249"/>
      <c r="B1" s="249"/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121" t="s">
        <v>0</v>
      </c>
      <c r="M1" s="121" t="s">
        <v>0</v>
      </c>
      <c r="N1" s="121" t="s">
        <v>0</v>
      </c>
      <c r="O1" s="122" t="s">
        <v>0</v>
      </c>
      <c r="P1" s="122" t="s">
        <v>0</v>
      </c>
      <c r="Q1" s="122" t="s">
        <v>0</v>
      </c>
      <c r="R1" s="122" t="s">
        <v>0</v>
      </c>
      <c r="S1" s="121" t="s">
        <v>0</v>
      </c>
      <c r="T1" s="121" t="s">
        <v>0</v>
      </c>
      <c r="U1" s="121" t="s">
        <v>0</v>
      </c>
      <c r="V1" s="121" t="s">
        <v>0</v>
      </c>
      <c r="W1" s="121" t="s">
        <v>0</v>
      </c>
      <c r="X1" s="218" t="s">
        <v>0</v>
      </c>
      <c r="Y1" s="249"/>
      <c r="Z1" s="123" t="s">
        <v>0</v>
      </c>
    </row>
    <row r="2" spans="1:27" ht="18" customHeight="1">
      <c r="A2" s="249"/>
      <c r="B2" s="249"/>
      <c r="C2" s="3" t="s">
        <v>0</v>
      </c>
      <c r="D2" s="121" t="s">
        <v>0</v>
      </c>
      <c r="E2" s="121" t="s">
        <v>0</v>
      </c>
      <c r="F2" s="121" t="s">
        <v>0</v>
      </c>
      <c r="G2" s="121" t="s">
        <v>0</v>
      </c>
      <c r="H2" s="121" t="s">
        <v>0</v>
      </c>
      <c r="I2" s="121" t="s">
        <v>0</v>
      </c>
      <c r="J2" s="121" t="s">
        <v>0</v>
      </c>
      <c r="K2" s="121" t="s">
        <v>0</v>
      </c>
      <c r="L2" s="121" t="s">
        <v>0</v>
      </c>
      <c r="M2" s="121" t="s">
        <v>0</v>
      </c>
      <c r="N2" s="121" t="s">
        <v>0</v>
      </c>
      <c r="O2" s="122" t="s">
        <v>0</v>
      </c>
      <c r="P2" s="122" t="s">
        <v>0</v>
      </c>
      <c r="Q2" s="122" t="s">
        <v>0</v>
      </c>
      <c r="R2" s="122" t="s">
        <v>0</v>
      </c>
      <c r="S2" s="121" t="s">
        <v>0</v>
      </c>
      <c r="T2" s="121" t="s">
        <v>0</v>
      </c>
      <c r="U2" s="121" t="s">
        <v>0</v>
      </c>
      <c r="V2" s="121" t="s">
        <v>0</v>
      </c>
      <c r="W2" s="121" t="s">
        <v>0</v>
      </c>
      <c r="X2" s="218" t="s">
        <v>0</v>
      </c>
      <c r="Y2" s="249"/>
      <c r="Z2" s="123" t="s">
        <v>0</v>
      </c>
    </row>
    <row r="3" spans="1:27" ht="18" customHeight="1">
      <c r="A3" s="249"/>
      <c r="B3" s="249"/>
      <c r="C3" s="3" t="s">
        <v>0</v>
      </c>
      <c r="D3" s="121" t="s">
        <v>0</v>
      </c>
      <c r="E3" s="121" t="s">
        <v>0</v>
      </c>
      <c r="F3" s="121" t="s">
        <v>0</v>
      </c>
      <c r="G3" s="121" t="s">
        <v>0</v>
      </c>
      <c r="H3" s="121" t="s">
        <v>0</v>
      </c>
      <c r="I3" s="121" t="s">
        <v>0</v>
      </c>
      <c r="J3" s="121" t="s">
        <v>0</v>
      </c>
      <c r="K3" s="121" t="s">
        <v>0</v>
      </c>
      <c r="L3" s="121" t="s">
        <v>0</v>
      </c>
      <c r="M3" s="121" t="s">
        <v>0</v>
      </c>
      <c r="N3" s="121" t="s">
        <v>0</v>
      </c>
      <c r="O3" s="122" t="s">
        <v>0</v>
      </c>
      <c r="P3" s="122" t="s">
        <v>0</v>
      </c>
      <c r="Q3" s="122" t="s">
        <v>0</v>
      </c>
      <c r="R3" s="122" t="s">
        <v>0</v>
      </c>
      <c r="S3" s="121" t="s">
        <v>0</v>
      </c>
      <c r="T3" s="121" t="s">
        <v>0</v>
      </c>
      <c r="U3" s="121" t="s">
        <v>0</v>
      </c>
      <c r="V3" s="121" t="s">
        <v>0</v>
      </c>
      <c r="W3" s="121" t="s">
        <v>0</v>
      </c>
      <c r="X3" s="246" t="s">
        <v>0</v>
      </c>
      <c r="Y3" s="225"/>
      <c r="Z3" s="123" t="s">
        <v>0</v>
      </c>
    </row>
    <row r="4" spans="1:27" ht="18" customHeight="1">
      <c r="A4" s="249"/>
      <c r="B4" s="249"/>
      <c r="C4" s="3" t="s">
        <v>0</v>
      </c>
      <c r="N4" s="124" t="s">
        <v>0</v>
      </c>
      <c r="S4" s="124" t="s">
        <v>0</v>
      </c>
      <c r="T4" s="121" t="s">
        <v>0</v>
      </c>
      <c r="V4" s="124" t="s">
        <v>0</v>
      </c>
      <c r="W4" s="124" t="s">
        <v>0</v>
      </c>
      <c r="X4" s="247" t="s">
        <v>932</v>
      </c>
      <c r="Y4" s="248"/>
      <c r="Z4" s="125" t="s">
        <v>0</v>
      </c>
    </row>
    <row r="5" spans="1:27">
      <c r="A5" s="245" t="s">
        <v>933</v>
      </c>
      <c r="B5" s="249"/>
      <c r="C5" s="249"/>
      <c r="D5" s="126" t="s">
        <v>0</v>
      </c>
      <c r="E5" s="126" t="s">
        <v>0</v>
      </c>
      <c r="F5" s="126" t="s">
        <v>0</v>
      </c>
      <c r="G5" s="126" t="s">
        <v>0</v>
      </c>
      <c r="H5" s="126" t="s">
        <v>0</v>
      </c>
      <c r="I5" s="126" t="s">
        <v>0</v>
      </c>
      <c r="J5" s="126" t="s">
        <v>0</v>
      </c>
      <c r="K5" s="126" t="s">
        <v>0</v>
      </c>
      <c r="L5" s="126" t="s">
        <v>0</v>
      </c>
      <c r="M5" s="126" t="s">
        <v>0</v>
      </c>
      <c r="N5" s="127" t="s">
        <v>419</v>
      </c>
      <c r="O5" s="128" t="s">
        <v>0</v>
      </c>
      <c r="P5" s="128" t="s">
        <v>0</v>
      </c>
      <c r="Q5" s="128" t="s">
        <v>0</v>
      </c>
      <c r="R5" s="128" t="s">
        <v>0</v>
      </c>
      <c r="S5" s="129">
        <v>-13100000</v>
      </c>
      <c r="T5" s="126" t="s">
        <v>0</v>
      </c>
      <c r="U5" s="126" t="s">
        <v>0</v>
      </c>
      <c r="V5" s="130">
        <v>13006000</v>
      </c>
      <c r="W5" s="131">
        <v>0</v>
      </c>
      <c r="X5" s="132">
        <v>0</v>
      </c>
      <c r="Y5" s="133">
        <v>13006000</v>
      </c>
      <c r="Z5" s="134" t="s">
        <v>0</v>
      </c>
    </row>
    <row r="6" spans="1:27" ht="47.25">
      <c r="A6" s="135" t="s">
        <v>934</v>
      </c>
      <c r="B6" s="135" t="s">
        <v>415</v>
      </c>
      <c r="C6" s="135" t="s">
        <v>33</v>
      </c>
      <c r="D6" s="135" t="s">
        <v>34</v>
      </c>
      <c r="E6" s="135" t="s">
        <v>424</v>
      </c>
      <c r="F6" s="135" t="s">
        <v>35</v>
      </c>
      <c r="G6" s="135" t="s">
        <v>32</v>
      </c>
      <c r="H6" s="135" t="s">
        <v>935</v>
      </c>
      <c r="I6" s="135" t="s">
        <v>936</v>
      </c>
      <c r="J6" s="135" t="s">
        <v>937</v>
      </c>
      <c r="K6" s="135" t="s">
        <v>938</v>
      </c>
      <c r="L6" s="135" t="s">
        <v>939</v>
      </c>
      <c r="M6" s="135" t="s">
        <v>940</v>
      </c>
      <c r="N6" s="135" t="s">
        <v>5</v>
      </c>
      <c r="O6" s="135" t="s">
        <v>941</v>
      </c>
      <c r="P6" s="135" t="s">
        <v>942</v>
      </c>
      <c r="Q6" s="135" t="s">
        <v>943</v>
      </c>
      <c r="R6" s="135" t="s">
        <v>944</v>
      </c>
      <c r="S6" s="135" t="s">
        <v>945</v>
      </c>
      <c r="T6" s="135" t="s">
        <v>946</v>
      </c>
      <c r="U6" s="135" t="s">
        <v>947</v>
      </c>
      <c r="V6" s="135" t="s">
        <v>948</v>
      </c>
      <c r="W6" s="136" t="s">
        <v>949</v>
      </c>
      <c r="X6" s="135" t="s">
        <v>13</v>
      </c>
      <c r="Y6" s="135" t="s">
        <v>14</v>
      </c>
      <c r="Z6" s="137" t="s">
        <v>0</v>
      </c>
    </row>
    <row r="7" spans="1:27" ht="14.45" customHeight="1">
      <c r="A7" s="14">
        <v>21962</v>
      </c>
      <c r="B7" s="14">
        <v>11648</v>
      </c>
      <c r="C7" s="14" t="s">
        <v>73</v>
      </c>
      <c r="D7" s="14" t="s">
        <v>74</v>
      </c>
      <c r="E7" s="14" t="s">
        <v>425</v>
      </c>
      <c r="F7" s="14" t="s">
        <v>75</v>
      </c>
      <c r="G7" s="118">
        <v>45770</v>
      </c>
      <c r="H7" s="118">
        <v>45779</v>
      </c>
      <c r="I7" s="14" t="s">
        <v>950</v>
      </c>
      <c r="J7" s="14" t="s">
        <v>951</v>
      </c>
      <c r="K7" s="14"/>
      <c r="L7" s="14" t="s">
        <v>952</v>
      </c>
      <c r="M7" s="14" t="s">
        <v>953</v>
      </c>
      <c r="N7" s="14" t="s">
        <v>419</v>
      </c>
      <c r="O7" s="138">
        <v>99.5</v>
      </c>
      <c r="P7" s="19">
        <v>-3000000</v>
      </c>
      <c r="Q7" s="19">
        <v>-3000000</v>
      </c>
      <c r="R7" s="19">
        <v>0</v>
      </c>
      <c r="S7" s="19">
        <v>-3000000</v>
      </c>
      <c r="T7" s="19">
        <v>-3000000</v>
      </c>
      <c r="U7" s="19">
        <v>0</v>
      </c>
      <c r="V7" s="19">
        <v>2985000</v>
      </c>
      <c r="W7" s="43">
        <v>0</v>
      </c>
      <c r="X7" s="19">
        <v>0</v>
      </c>
      <c r="Y7" s="19">
        <v>2985000</v>
      </c>
      <c r="Z7" s="42" t="s">
        <v>0</v>
      </c>
      <c r="AA7" s="14" t="s">
        <v>0</v>
      </c>
    </row>
    <row r="8" spans="1:27" ht="14.45" customHeight="1">
      <c r="A8" s="14">
        <v>21964</v>
      </c>
      <c r="B8" s="14">
        <v>11648</v>
      </c>
      <c r="C8" s="14" t="s">
        <v>73</v>
      </c>
      <c r="D8" s="14" t="s">
        <v>74</v>
      </c>
      <c r="E8" s="14" t="s">
        <v>425</v>
      </c>
      <c r="F8" s="14" t="s">
        <v>75</v>
      </c>
      <c r="G8" s="118">
        <v>45770</v>
      </c>
      <c r="H8" s="118">
        <v>45779</v>
      </c>
      <c r="I8" s="14" t="s">
        <v>950</v>
      </c>
      <c r="J8" s="14" t="s">
        <v>951</v>
      </c>
      <c r="K8" s="14"/>
      <c r="L8" s="14" t="s">
        <v>952</v>
      </c>
      <c r="M8" s="14" t="s">
        <v>954</v>
      </c>
      <c r="N8" s="14" t="s">
        <v>419</v>
      </c>
      <c r="O8" s="138">
        <v>99.5</v>
      </c>
      <c r="P8" s="19">
        <v>-6300000</v>
      </c>
      <c r="Q8" s="19">
        <v>-6300000</v>
      </c>
      <c r="R8" s="19">
        <v>0</v>
      </c>
      <c r="S8" s="19">
        <v>-6300000</v>
      </c>
      <c r="T8" s="19">
        <v>-6300000</v>
      </c>
      <c r="U8" s="19">
        <v>0</v>
      </c>
      <c r="V8" s="19">
        <v>6268500</v>
      </c>
      <c r="W8" s="43">
        <v>0</v>
      </c>
      <c r="X8" s="19">
        <v>0</v>
      </c>
      <c r="Y8" s="19">
        <v>6268500</v>
      </c>
      <c r="Z8" s="42" t="s">
        <v>0</v>
      </c>
      <c r="AA8" s="14" t="s">
        <v>0</v>
      </c>
    </row>
    <row r="9" spans="1:27" ht="14.45" customHeight="1">
      <c r="A9" s="14">
        <v>21968</v>
      </c>
      <c r="B9" s="14">
        <v>9758</v>
      </c>
      <c r="C9" s="14" t="s">
        <v>262</v>
      </c>
      <c r="D9" s="14" t="s">
        <v>86</v>
      </c>
      <c r="E9" s="14" t="s">
        <v>425</v>
      </c>
      <c r="F9" s="14" t="s">
        <v>340</v>
      </c>
      <c r="G9" s="118">
        <v>45770</v>
      </c>
      <c r="H9" s="118">
        <v>45779</v>
      </c>
      <c r="I9" s="14" t="s">
        <v>950</v>
      </c>
      <c r="J9" s="14" t="s">
        <v>951</v>
      </c>
      <c r="K9" s="14"/>
      <c r="L9" s="14" t="s">
        <v>952</v>
      </c>
      <c r="M9" s="14" t="s">
        <v>954</v>
      </c>
      <c r="N9" s="14" t="s">
        <v>419</v>
      </c>
      <c r="O9" s="138">
        <v>98.75</v>
      </c>
      <c r="P9" s="19">
        <v>-3800000</v>
      </c>
      <c r="Q9" s="19">
        <v>-3800000</v>
      </c>
      <c r="R9" s="19">
        <v>0</v>
      </c>
      <c r="S9" s="19">
        <v>-3800000</v>
      </c>
      <c r="T9" s="19">
        <v>-3800000</v>
      </c>
      <c r="U9" s="19">
        <v>0</v>
      </c>
      <c r="V9" s="19">
        <v>3752500</v>
      </c>
      <c r="W9" s="43">
        <v>0</v>
      </c>
      <c r="X9" s="19">
        <v>0</v>
      </c>
      <c r="Y9" s="19">
        <v>3752500</v>
      </c>
      <c r="Z9" s="42" t="s">
        <v>0</v>
      </c>
      <c r="AA9" s="14" t="s">
        <v>0</v>
      </c>
    </row>
    <row r="10" spans="1:27">
      <c r="A10" s="139" t="s">
        <v>0</v>
      </c>
      <c r="B10" s="139" t="s">
        <v>0</v>
      </c>
      <c r="C10" s="139" t="s">
        <v>0</v>
      </c>
      <c r="D10" s="139" t="s">
        <v>0</v>
      </c>
      <c r="E10" s="139" t="s">
        <v>0</v>
      </c>
      <c r="F10" s="139" t="s">
        <v>0</v>
      </c>
      <c r="G10" s="139" t="s">
        <v>0</v>
      </c>
      <c r="H10" s="139" t="s">
        <v>0</v>
      </c>
      <c r="I10" s="139" t="s">
        <v>0</v>
      </c>
      <c r="J10" s="139" t="s">
        <v>0</v>
      </c>
      <c r="K10" s="139" t="s">
        <v>0</v>
      </c>
      <c r="L10" s="139" t="s">
        <v>0</v>
      </c>
      <c r="M10" s="139" t="s">
        <v>0</v>
      </c>
      <c r="N10" s="139" t="s">
        <v>0</v>
      </c>
      <c r="O10" s="139" t="s">
        <v>0</v>
      </c>
      <c r="P10" s="139" t="s">
        <v>0</v>
      </c>
      <c r="Q10" s="139" t="s">
        <v>0</v>
      </c>
      <c r="R10" s="139" t="s">
        <v>0</v>
      </c>
      <c r="S10" s="139" t="s">
        <v>0</v>
      </c>
      <c r="T10" s="139" t="s">
        <v>0</v>
      </c>
      <c r="U10" s="139" t="s">
        <v>0</v>
      </c>
      <c r="V10" s="139" t="s">
        <v>0</v>
      </c>
      <c r="W10" s="139" t="s">
        <v>0</v>
      </c>
      <c r="X10" s="139" t="s">
        <v>0</v>
      </c>
      <c r="Y10" s="139" t="s">
        <v>0</v>
      </c>
      <c r="AA10" s="126" t="s">
        <v>0</v>
      </c>
    </row>
  </sheetData>
  <mergeCells count="6">
    <mergeCell ref="A5:C5"/>
    <mergeCell ref="A1:B4"/>
    <mergeCell ref="X1:Y1"/>
    <mergeCell ref="X2:Y2"/>
    <mergeCell ref="X3:Y3"/>
    <mergeCell ref="X4:Y4"/>
  </mergeCells>
  <pageMargins left="1" right="1" top="1" bottom="1.45" header="1" footer="1"/>
  <pageSetup orientation="portrait" horizontalDpi="300" verticalDpi="300"/>
  <headerFooter alignWithMargins="0">
    <oddFooter>&amp;C&amp;"Segoe UI,Regular"&amp;10 4/30/2025 8:56:00 PM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6C0B0299502459BE057F60D45F7A2" ma:contentTypeVersion="16" ma:contentTypeDescription="Create a new document." ma:contentTypeScope="" ma:versionID="f50657443db3cca893bf2a77a6b82c8e">
  <xsd:schema xmlns:xsd="http://www.w3.org/2001/XMLSchema" xmlns:xs="http://www.w3.org/2001/XMLSchema" xmlns:p="http://schemas.microsoft.com/office/2006/metadata/properties" xmlns:ns2="ecf2865c-a0c0-4830-9c97-c878b24eefc5" xmlns:ns3="0c3f3349-3fde-44b2-91dd-1461469ae59c" targetNamespace="http://schemas.microsoft.com/office/2006/metadata/properties" ma:root="true" ma:fieldsID="ffe86a2076484ea9f4ac21488ba3d86b" ns2:_="" ns3:_="">
    <xsd:import namespace="ecf2865c-a0c0-4830-9c97-c878b24eefc5"/>
    <xsd:import namespace="0c3f3349-3fde-44b2-91dd-1461469ae5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2865c-a0c0-4830-9c97-c878b24eef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4104d38-e8e4-4984-a0bc-6afa79dcdd70}" ma:internalName="TaxCatchAll" ma:showField="CatchAllData" ma:web="ecf2865c-a0c0-4830-9c97-c878b24ee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f3349-3fde-44b2-91dd-1461469ae5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236efef-33c7-4880-a5c8-aa8024ac5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f3349-3fde-44b2-91dd-1461469ae59c">
      <Terms xmlns="http://schemas.microsoft.com/office/infopath/2007/PartnerControls"/>
    </lcf76f155ced4ddcb4097134ff3c332f>
    <_Flow_SignoffStatus xmlns="0c3f3349-3fde-44b2-91dd-1461469ae59c" xsi:nil="true"/>
    <TaxCatchAll xmlns="ecf2865c-a0c0-4830-9c97-c878b24eefc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DC3F1B8-B7C8-42C7-8446-4A8FEB460FE5}"/>
</file>

<file path=customXml/itemProps2.xml><?xml version="1.0" encoding="utf-8"?>
<ds:datastoreItem xmlns:ds="http://schemas.openxmlformats.org/officeDocument/2006/customXml" ds:itemID="{2A054599-8C18-401F-839E-371D01842FB2}"/>
</file>

<file path=customXml/itemProps3.xml><?xml version="1.0" encoding="utf-8"?>
<ds:datastoreItem xmlns:ds="http://schemas.openxmlformats.org/officeDocument/2006/customXml" ds:itemID="{689E82A7-04CE-4FF6-973C-73E366F8EA7E}"/>
</file>

<file path=customXml/itemProps4.xml><?xml version="1.0" encoding="utf-8"?>
<ds:datastoreItem xmlns:ds="http://schemas.openxmlformats.org/officeDocument/2006/customXml" ds:itemID="{B0B97E60-126B-4398-9E94-46D8AE295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2025-06-24T05:35:58Z</dcterms:created>
  <dcterms:modified xsi:type="dcterms:W3CDTF">2025-07-18T12:44:47Z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94f5a0-bec6-4169-b07a-78e4c0c21507_Enabled">
    <vt:lpwstr>true</vt:lpwstr>
  </property>
  <property fmtid="{D5CDD505-2E9C-101B-9397-08002B2CF9AE}" pid="3" name="MSIP_Label_a794f5a0-bec6-4169-b07a-78e4c0c21507_SetDate">
    <vt:lpwstr>2025-04-30T20:57:09Z</vt:lpwstr>
  </property>
  <property fmtid="{D5CDD505-2E9C-101B-9397-08002B2CF9AE}" pid="4" name="MSIP_Label_a794f5a0-bec6-4169-b07a-78e4c0c21507_Method">
    <vt:lpwstr>Privileged</vt:lpwstr>
  </property>
  <property fmtid="{D5CDD505-2E9C-101B-9397-08002B2CF9AE}" pid="5" name="MSIP_Label_a794f5a0-bec6-4169-b07a-78e4c0c21507_Name">
    <vt:lpwstr>Internal</vt:lpwstr>
  </property>
  <property fmtid="{D5CDD505-2E9C-101B-9397-08002B2CF9AE}" pid="6" name="MSIP_Label_a794f5a0-bec6-4169-b07a-78e4c0c21507_SiteId">
    <vt:lpwstr>50c56ba2-8fca-42f4-8307-025e0d821d34</vt:lpwstr>
  </property>
  <property fmtid="{D5CDD505-2E9C-101B-9397-08002B2CF9AE}" pid="7" name="MSIP_Label_a794f5a0-bec6-4169-b07a-78e4c0c21507_ActionId">
    <vt:lpwstr>caa6561a-58b1-4c06-8766-cce4d93196b4</vt:lpwstr>
  </property>
  <property fmtid="{D5CDD505-2E9C-101B-9397-08002B2CF9AE}" pid="8" name="MSIP_Label_a794f5a0-bec6-4169-b07a-78e4c0c21507_ContentBits">
    <vt:lpwstr>0</vt:lpwstr>
  </property>
  <property fmtid="{D5CDD505-2E9C-101B-9397-08002B2CF9AE}" pid="9" name="ContentTypeId">
    <vt:lpwstr>0x010100E2D6C0B0299502459BE057F60D45F7A2</vt:lpwstr>
  </property>
  <property fmtid="{D5CDD505-2E9C-101B-9397-08002B2CF9AE}" pid="10" name="MediaServiceImageTags">
    <vt:lpwstr/>
  </property>
</Properties>
</file>