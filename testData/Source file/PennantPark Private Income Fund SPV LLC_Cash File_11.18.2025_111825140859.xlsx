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PIF\Credit Facility\Borrowing Base\Borrowing and Repayment\Borrowings\November 2025\"/>
    </mc:Choice>
  </mc:AlternateContent>
  <xr:revisionPtr revIDLastSave="0" documentId="8_{BB964B18-CBC9-4BD1-ADAD-D179EF64CBB6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Summary" sheetId="1" r:id="rId1"/>
    <sheet name="Transactions" sheetId="2" r:id="rId2"/>
    <sheet name="Outstanding Payments" sheetId="3" r:id="rId3"/>
    <sheet name="Holdings" sheetId="4" r:id="rId4"/>
    <sheet name="Pending Trad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L2" i="4"/>
  <c r="I2" i="4"/>
  <c r="H2" i="4"/>
</calcChain>
</file>

<file path=xl/sharedStrings.xml><?xml version="1.0" encoding="utf-8"?>
<sst xmlns="http://schemas.openxmlformats.org/spreadsheetml/2006/main" count="1475" uniqueCount="172">
  <si>
    <t/>
  </si>
  <si>
    <t>PennantPark Private Income Fund SPV, LLC</t>
  </si>
  <si>
    <t>Reconciliation Date</t>
  </si>
  <si>
    <t>Account Balances</t>
  </si>
  <si>
    <t>Account</t>
  </si>
  <si>
    <t>Currency</t>
  </si>
  <si>
    <t>FX Rate</t>
  </si>
  <si>
    <t>Account Number</t>
  </si>
  <si>
    <r>
      <rPr>
        <b/>
        <sz val="12"/>
        <color rgb="FF000000"/>
        <rFont val="Calibri"/>
        <family val="2"/>
      </rPr>
      <t xml:space="preserve">Cash Date
</t>
    </r>
    <r>
      <rPr>
        <b/>
        <sz val="12"/>
        <color rgb="FF000000"/>
        <rFont val="Calibri"/>
        <family val="2"/>
      </rPr>
      <t>(Currency)</t>
    </r>
  </si>
  <si>
    <r>
      <rPr>
        <b/>
        <sz val="12"/>
        <color rgb="FF000000"/>
        <rFont val="Calibri"/>
        <family val="2"/>
      </rPr>
      <t xml:space="preserve">Pending Trades
</t>
    </r>
    <r>
      <rPr>
        <b/>
        <sz val="12"/>
        <color rgb="FF000000"/>
        <rFont val="Calibri"/>
        <family val="2"/>
      </rPr>
      <t>(Currency)</t>
    </r>
  </si>
  <si>
    <r>
      <rPr>
        <b/>
        <sz val="12"/>
        <color rgb="FF000000"/>
        <rFont val="Calibri"/>
        <family val="2"/>
      </rPr>
      <t xml:space="preserve">Trade Date
</t>
    </r>
    <r>
      <rPr>
        <b/>
        <sz val="12"/>
        <color rgb="FF000000"/>
        <rFont val="Calibri"/>
        <family val="2"/>
      </rPr>
      <t>(Currency)</t>
    </r>
  </si>
  <si>
    <r>
      <rPr>
        <b/>
        <sz val="12"/>
        <color rgb="FF000000"/>
        <rFont val="Calibri"/>
        <family val="2"/>
      </rPr>
      <t xml:space="preserve">Cash Date
</t>
    </r>
    <r>
      <rPr>
        <b/>
        <sz val="12"/>
        <color rgb="FF000000"/>
        <rFont val="Calibri"/>
        <family val="2"/>
      </rPr>
      <t>(USD Equivalent)</t>
    </r>
  </si>
  <si>
    <r>
      <rPr>
        <b/>
        <sz val="12"/>
        <color rgb="FF000000"/>
        <rFont val="Calibri"/>
        <family val="2"/>
      </rPr>
      <t xml:space="preserve">Pending Trades
</t>
    </r>
    <r>
      <rPr>
        <b/>
        <sz val="12"/>
        <color rgb="FF000000"/>
        <rFont val="Calibri"/>
        <family val="2"/>
      </rPr>
      <t>(USD Equivalent)</t>
    </r>
  </si>
  <si>
    <r>
      <rPr>
        <b/>
        <sz val="12"/>
        <color rgb="FF000000"/>
        <rFont val="Calibri"/>
        <family val="2"/>
      </rPr>
      <t xml:space="preserve">Trade Date
</t>
    </r>
    <r>
      <rPr>
        <b/>
        <sz val="12"/>
        <color rgb="FF000000"/>
        <rFont val="Calibri"/>
        <family val="2"/>
      </rPr>
      <t>(USD Equivalent)</t>
    </r>
  </si>
  <si>
    <t>Collateral Account</t>
  </si>
  <si>
    <t>USD</t>
  </si>
  <si>
    <t>Interest Collection Account</t>
  </si>
  <si>
    <t>Principal Collection Account</t>
  </si>
  <si>
    <t>Unfunded Exposure Account</t>
  </si>
  <si>
    <t>AUD Interest Collection Account</t>
  </si>
  <si>
    <t>AUD</t>
  </si>
  <si>
    <t>AUD Principal Collection Account</t>
  </si>
  <si>
    <t>AUD Unfunded Exposure Account</t>
  </si>
  <si>
    <t>CAD Interest Collection Account</t>
  </si>
  <si>
    <t>CAD</t>
  </si>
  <si>
    <t>CAD Principal Collection Account</t>
  </si>
  <si>
    <t>CAD Unfunded Exposure Account</t>
  </si>
  <si>
    <t>CHF Interest Collection Account</t>
  </si>
  <si>
    <t>CHF</t>
  </si>
  <si>
    <t>CHF Principal Collection Account</t>
  </si>
  <si>
    <t>CHF Unfunded Exposure Account</t>
  </si>
  <si>
    <t>EUR Interest Collection Account</t>
  </si>
  <si>
    <t>EUR</t>
  </si>
  <si>
    <t>EUR Principal Collection Account</t>
  </si>
  <si>
    <t>EUR Unfunded Exposure Account</t>
  </si>
  <si>
    <t>GBP Interest Collection Account</t>
  </si>
  <si>
    <t>GBP</t>
  </si>
  <si>
    <t>GBP Principal Collection Account</t>
  </si>
  <si>
    <t>GBP Unfunded Exposure Account</t>
  </si>
  <si>
    <t>Outstanding Payments</t>
  </si>
  <si>
    <t>Number of Items</t>
  </si>
  <si>
    <t>Unapplied Transactions</t>
  </si>
  <si>
    <t>Past Due Receivables</t>
  </si>
  <si>
    <t>Holdings</t>
  </si>
  <si>
    <t>Positions</t>
  </si>
  <si>
    <r>
      <rPr>
        <b/>
        <sz val="12"/>
        <color rgb="FF000000"/>
        <rFont val="Calibri"/>
        <family val="2"/>
      </rPr>
      <t xml:space="preserve">Settle Date
</t>
    </r>
    <r>
      <rPr>
        <b/>
        <sz val="12"/>
        <color rgb="FF000000"/>
        <rFont val="Calibri"/>
        <family val="2"/>
      </rPr>
      <t>(Currency)</t>
    </r>
  </si>
  <si>
    <r>
      <rPr>
        <b/>
        <u/>
        <sz val="12"/>
        <color rgb="FF0563C1"/>
        <rFont val="Calibri"/>
        <family val="2"/>
      </rPr>
      <t xml:space="preserve">Pending Trades
</t>
    </r>
    <r>
      <rPr>
        <b/>
        <u/>
        <sz val="12"/>
        <color rgb="FF0563C1"/>
        <rFont val="Calibri"/>
        <family val="2"/>
      </rPr>
      <t>(Currency)</t>
    </r>
  </si>
  <si>
    <r>
      <rPr>
        <b/>
        <sz val="12"/>
        <color rgb="FF000000"/>
        <rFont val="Calibri"/>
        <family val="2"/>
      </rPr>
      <t xml:space="preserve">Settle Date
</t>
    </r>
    <r>
      <rPr>
        <b/>
        <sz val="12"/>
        <color rgb="FF000000"/>
        <rFont val="Calibri"/>
        <family val="2"/>
      </rPr>
      <t>(USD Equivalent)</t>
    </r>
  </si>
  <si>
    <t>Funded</t>
  </si>
  <si>
    <t>Unfunded</t>
  </si>
  <si>
    <t>Committed</t>
  </si>
  <si>
    <r>
      <rPr>
        <b/>
        <sz val="14"/>
        <color rgb="FF05233D"/>
        <rFont val="Calibri"/>
        <family val="2"/>
      </rPr>
      <t xml:space="preserve">Transactions as of </t>
    </r>
    <r>
      <rPr>
        <b/>
        <sz val="14"/>
        <color rgb="FF05233D"/>
        <rFont val="Calibri"/>
        <family val="2"/>
      </rPr>
      <t>11/18/2025</t>
    </r>
  </si>
  <si>
    <t>Transaction Data</t>
  </si>
  <si>
    <t>Collateral Balance</t>
  </si>
  <si>
    <t>Applied Date</t>
  </si>
  <si>
    <t>Settle Date</t>
  </si>
  <si>
    <t>Trade Date</t>
  </si>
  <si>
    <t>Issuer/Borrower</t>
  </si>
  <si>
    <t>Facility/Security</t>
  </si>
  <si>
    <t>Identifier</t>
  </si>
  <si>
    <t>Transaction Type</t>
  </si>
  <si>
    <t>Transaction Amount</t>
  </si>
  <si>
    <t>Price</t>
  </si>
  <si>
    <t>Funded par</t>
  </si>
  <si>
    <t>Unfunded par</t>
  </si>
  <si>
    <t>Funded Collateral</t>
  </si>
  <si>
    <t>Unfunded Collateral</t>
  </si>
  <si>
    <t>Committed Collateral</t>
  </si>
  <si>
    <t>Beginning Balance</t>
  </si>
  <si>
    <t>Revolving Commitment</t>
  </si>
  <si>
    <t>Facility - Sale</t>
  </si>
  <si>
    <t>Parent Contribution</t>
  </si>
  <si>
    <t>Cash Adjustment (R)</t>
  </si>
  <si>
    <t>Aechelon Technology Inc</t>
  </si>
  <si>
    <t>Term Loan</t>
  </si>
  <si>
    <t>LX244433</t>
  </si>
  <si>
    <t>Facility - Purchase (D)</t>
  </si>
  <si>
    <t>Archer Lewis LLC</t>
  </si>
  <si>
    <t>LX245453</t>
  </si>
  <si>
    <t>Harris &amp; Co. LLC</t>
  </si>
  <si>
    <t>Initial Term Loan</t>
  </si>
  <si>
    <t>LX245515</t>
  </si>
  <si>
    <t>HW Holdco LLC</t>
  </si>
  <si>
    <t>Delayed Draw Term Loan</t>
  </si>
  <si>
    <t>LX205431</t>
  </si>
  <si>
    <t>Facility - Borrowing (R)</t>
  </si>
  <si>
    <t>RTIC Subsidiary Holdings LLC</t>
  </si>
  <si>
    <t>LX233174</t>
  </si>
  <si>
    <t>Aphix Buyer Inc</t>
  </si>
  <si>
    <t>Paving Lessor Corp</t>
  </si>
  <si>
    <t>Puget Collision LLC</t>
  </si>
  <si>
    <t>Puget Collision LLC - Term Loan - Arranger Fee</t>
  </si>
  <si>
    <t>By Light Professional IT Services LLC</t>
  </si>
  <si>
    <t>Term Loan 2025 Refinance</t>
  </si>
  <si>
    <t>LX266449</t>
  </si>
  <si>
    <t>Facility - Paydown (R)</t>
  </si>
  <si>
    <t>GGG Midco LLC</t>
  </si>
  <si>
    <t>LX249162</t>
  </si>
  <si>
    <t>Revolver</t>
  </si>
  <si>
    <t>PN Buyer Inc</t>
  </si>
  <si>
    <t>LX266420</t>
  </si>
  <si>
    <t>PD Tri-State Holdco LLC</t>
  </si>
  <si>
    <t>Amendment No 2 Term Loan</t>
  </si>
  <si>
    <t>Loan - Interest Payment (R)</t>
  </si>
  <si>
    <t>Argano LLC</t>
  </si>
  <si>
    <t>LX246656</t>
  </si>
  <si>
    <t>Sabel Systems Technology Solutions</t>
  </si>
  <si>
    <t>LX251613</t>
  </si>
  <si>
    <t>Duggal Visual Solutions Inc</t>
  </si>
  <si>
    <t>Term Loan A</t>
  </si>
  <si>
    <t>LX248825</t>
  </si>
  <si>
    <t>Facility - Paydown (D)</t>
  </si>
  <si>
    <t>APT OPCO LLC</t>
  </si>
  <si>
    <t>Ending Balance</t>
  </si>
  <si>
    <r>
      <rPr>
        <b/>
        <sz val="14"/>
        <color rgb="FF05233D"/>
        <rFont val="Calibri"/>
        <family val="2"/>
      </rPr>
      <t xml:space="preserve">Outstanding Payments as of </t>
    </r>
    <r>
      <rPr>
        <b/>
        <sz val="14"/>
        <color rgb="FF05233D"/>
        <rFont val="Calibri"/>
        <family val="2"/>
      </rPr>
      <t>11/18/2025</t>
    </r>
  </si>
  <si>
    <t>Unapplied Cash Transactions</t>
  </si>
  <si>
    <t>Date</t>
  </si>
  <si>
    <t>Amount</t>
  </si>
  <si>
    <t>Wire Details</t>
  </si>
  <si>
    <t>Notes</t>
  </si>
  <si>
    <t>Transaction ID</t>
  </si>
  <si>
    <t>Asset ID</t>
  </si>
  <si>
    <t>Participation Counterparty</t>
  </si>
  <si>
    <t>Cash Not Applied</t>
  </si>
  <si>
    <t>Research</t>
  </si>
  <si>
    <t xml:space="preserve">USD </t>
  </si>
  <si>
    <t>Facility - Purchase</t>
  </si>
  <si>
    <t>Loan - Interest Payment</t>
  </si>
  <si>
    <t>Traded Commitment</t>
  </si>
  <si>
    <t>Traded Funded</t>
  </si>
  <si>
    <t>Traded Unfunded</t>
  </si>
  <si>
    <t>Traded PIK</t>
  </si>
  <si>
    <t>Settled Commitment</t>
  </si>
  <si>
    <t>Settled Funded</t>
  </si>
  <si>
    <t>Settled Unfunded</t>
  </si>
  <si>
    <t>Settled PIK</t>
  </si>
  <si>
    <t xml:space="preserve">AUD </t>
  </si>
  <si>
    <t xml:space="preserve">CAD </t>
  </si>
  <si>
    <t xml:space="preserve">CHF </t>
  </si>
  <si>
    <t xml:space="preserve">EUR </t>
  </si>
  <si>
    <t xml:space="preserve">GBP </t>
  </si>
  <si>
    <r>
      <rPr>
        <b/>
        <sz val="14"/>
        <color rgb="FF05233D"/>
        <rFont val="Calibri"/>
        <family val="2"/>
      </rPr>
      <t xml:space="preserve">Holdings as of </t>
    </r>
    <r>
      <rPr>
        <b/>
        <sz val="14"/>
        <color rgb="FF05233D"/>
        <rFont val="Calibri"/>
        <family val="2"/>
      </rPr>
      <t>11/18/2025</t>
    </r>
  </si>
  <si>
    <t>Facility ID</t>
  </si>
  <si>
    <t>Asset Type</t>
  </si>
  <si>
    <t>Maturity Date</t>
  </si>
  <si>
    <t>Facility</t>
  </si>
  <si>
    <t>Duggal Acquisition LLC</t>
  </si>
  <si>
    <t>North American Rail Solutions</t>
  </si>
  <si>
    <t>USD Term Loan</t>
  </si>
  <si>
    <t>LX269735</t>
  </si>
  <si>
    <t>Proceeds Allocation</t>
  </si>
  <si>
    <r>
      <rPr>
        <b/>
        <sz val="14"/>
        <color rgb="FF05233D"/>
        <rFont val="Calibri"/>
        <family val="2"/>
      </rPr>
      <t xml:space="preserve">Pending Trades as of </t>
    </r>
    <r>
      <rPr>
        <b/>
        <sz val="14"/>
        <color rgb="FF05233D"/>
        <rFont val="Calibri"/>
        <family val="2"/>
      </rPr>
      <t>11/18/2025</t>
    </r>
  </si>
  <si>
    <t>Trade ID</t>
  </si>
  <si>
    <t>Expected Settlement Date</t>
  </si>
  <si>
    <t>Trade Type</t>
  </si>
  <si>
    <t>Form Of Trade</t>
  </si>
  <si>
    <t>Trade Reason</t>
  </si>
  <si>
    <t>Market Trade Type</t>
  </si>
  <si>
    <t>Trade Counterparty</t>
  </si>
  <si>
    <t>Effective Trade Price</t>
  </si>
  <si>
    <t>Orginal Trade Amount</t>
  </si>
  <si>
    <t>Original Funded Amount</t>
  </si>
  <si>
    <t>Original Unfunded Amount</t>
  </si>
  <si>
    <t>Current Trade Amount</t>
  </si>
  <si>
    <t>Current Funded Amount</t>
  </si>
  <si>
    <t>Curent Unfunded Amount</t>
  </si>
  <si>
    <t>Principal Amount and Principal Fees</t>
  </si>
  <si>
    <t>Accrued interests and Interest Fees</t>
  </si>
  <si>
    <t>Purchase</t>
  </si>
  <si>
    <t>Assignment</t>
  </si>
  <si>
    <t>PennantPark Capital Liquidity Solutions LP</t>
  </si>
  <si>
    <t>Trinity Universal Insurance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</si>
</sst>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10409]mm/dd/yyyy"/>
    <numFmt numFmtId="165" formatCode="[$-10409]#,##0.0000;\(#,##0.0000\);&quot;-&quot;"/>
    <numFmt numFmtId="166" formatCode="[$-10409]####"/>
    <numFmt numFmtId="167" formatCode="[$-10409]#,##0.00;\(#,##0.00\);&quot;-&quot;"/>
    <numFmt numFmtId="168" formatCode="[$-10409]#,##0;\(#,##0\);&quot;-&quot;"/>
    <numFmt numFmtId="169" formatCode="[$-10409]0.000%;\(0.000%\)"/>
    <numFmt numFmtId="170" formatCode="[$-10409]#,##0.00;\(#,##0.00\);\-"/>
    <numFmt numFmtId="171" formatCode="[$-10409]#,##0.00;\(#,##0.00\)"/>
  </numFmts>
  <fonts count="23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Segoe UI"/>
      <family val="2"/>
    </font>
    <font>
      <b/>
      <sz val="12"/>
      <color rgb="FFFFFFFF"/>
      <name val="Calibri"/>
      <family val="2"/>
    </font>
    <font>
      <sz val="10"/>
      <color rgb="FF000000"/>
      <name val="Arial"/>
      <family val="2"/>
    </font>
    <font>
      <b/>
      <sz val="20"/>
      <color rgb="FFFFFFFF"/>
      <name val="Calibri"/>
      <family val="2"/>
    </font>
    <font>
      <b/>
      <sz val="14"/>
      <color rgb="FF05233D"/>
      <name val="Calibri"/>
      <family val="2"/>
    </font>
    <font>
      <b/>
      <sz val="14"/>
      <color rgb="FFFFFFFF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u/>
      <sz val="12"/>
      <color rgb="FF0563C1"/>
      <name val="Calibri"/>
      <family val="2"/>
    </font>
    <font>
      <b/>
      <sz val="11"/>
      <color rgb="FF000000"/>
      <name val="Calibri"/>
      <family val="2"/>
    </font>
    <font>
      <b/>
      <sz val="12"/>
      <color rgb="FF05233D"/>
      <name val="Calibri"/>
      <family val="2"/>
    </font>
    <font>
      <sz val="11"/>
      <color rgb="FF05233D"/>
      <name val="Calibri"/>
      <family val="2"/>
    </font>
    <font>
      <sz val="12"/>
      <color rgb="FF05233D"/>
      <name val="Calibri"/>
      <family val="2"/>
    </font>
    <font>
      <b/>
      <sz val="11"/>
      <color rgb="FF05233D"/>
      <name val="Calibri"/>
      <family val="2"/>
    </font>
    <font>
      <b/>
      <sz val="10"/>
      <color rgb="FFFFFFFF"/>
      <name val="Segoe UI"/>
      <family val="2"/>
    </font>
    <font>
      <sz val="14"/>
      <color rgb="FF000000"/>
      <name val="Calibri"/>
      <family val="2"/>
    </font>
    <font>
      <b/>
      <sz val="11"/>
      <color rgb="FF666666"/>
      <name val="Arial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5288"/>
        <bgColor rgb="FF00528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D3D3D3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D1D3D4"/>
      </top>
      <bottom style="thin">
        <color rgb="FF000000"/>
      </bottom>
      <diagonal/>
    </border>
    <border>
      <left/>
      <right/>
      <top style="thin">
        <color rgb="FFD1D3D4"/>
      </top>
      <bottom style="thin">
        <color rgb="FF000000"/>
      </bottom>
      <diagonal/>
    </border>
    <border>
      <left/>
      <right style="thin">
        <color rgb="FF000000"/>
      </right>
      <top style="thin">
        <color rgb="FFD1D3D4"/>
      </top>
      <bottom style="thin">
        <color rgb="FF000000"/>
      </bottom>
      <diagonal/>
    </border>
    <border>
      <left/>
      <right style="medium">
        <color rgb="FF000000"/>
      </right>
      <top style="thin">
        <color rgb="FFD1D3D4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5233D"/>
      </left>
      <right/>
      <top style="medium">
        <color rgb="FF05233D"/>
      </top>
      <bottom style="thin">
        <color rgb="FF05233D"/>
      </bottom>
      <diagonal/>
    </border>
    <border>
      <left/>
      <right/>
      <top style="medium">
        <color rgb="FF05233D"/>
      </top>
      <bottom style="thin">
        <color rgb="FF05233D"/>
      </bottom>
      <diagonal/>
    </border>
    <border>
      <left/>
      <right style="medium">
        <color rgb="FF05233D"/>
      </right>
      <top style="medium">
        <color rgb="FF05233D"/>
      </top>
      <bottom style="thin">
        <color rgb="FF05233D"/>
      </bottom>
      <diagonal/>
    </border>
    <border>
      <left style="medium">
        <color rgb="FF05233D"/>
      </left>
      <right/>
      <top style="thin">
        <color rgb="FF05233D"/>
      </top>
      <bottom style="thin">
        <color rgb="FF05233D"/>
      </bottom>
      <diagonal/>
    </border>
    <border>
      <left/>
      <right/>
      <top style="thin">
        <color rgb="FF05233D"/>
      </top>
      <bottom style="thin">
        <color rgb="FF05233D"/>
      </bottom>
      <diagonal/>
    </border>
    <border>
      <left/>
      <right style="medium">
        <color rgb="FF05233D"/>
      </right>
      <top style="thin">
        <color rgb="FF05233D"/>
      </top>
      <bottom style="thin">
        <color rgb="FF05233D"/>
      </bottom>
      <diagonal/>
    </border>
    <border>
      <left style="medium">
        <color rgb="FF05233D"/>
      </left>
      <right/>
      <top/>
      <bottom/>
      <diagonal/>
    </border>
    <border>
      <left/>
      <right style="medium">
        <color rgb="FF05233D"/>
      </right>
      <top/>
      <bottom/>
      <diagonal/>
    </border>
    <border>
      <left style="medium">
        <color rgb="FF05233D"/>
      </left>
      <right/>
      <top style="thin">
        <color rgb="FF05233D"/>
      </top>
      <bottom style="medium">
        <color rgb="FF05233D"/>
      </bottom>
      <diagonal/>
    </border>
    <border>
      <left/>
      <right/>
      <top style="thin">
        <color rgb="FF05233D"/>
      </top>
      <bottom style="medium">
        <color rgb="FF05233D"/>
      </bottom>
      <diagonal/>
    </border>
    <border>
      <left/>
      <right style="medium">
        <color rgb="FF05233D"/>
      </right>
      <top style="thin">
        <color rgb="FF05233D"/>
      </top>
      <bottom style="medium">
        <color rgb="FF05233D"/>
      </bottom>
      <diagonal/>
    </border>
    <border>
      <left/>
      <right/>
      <top style="thick">
        <color rgb="FF05233D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D3D3D3"/>
      </bottom>
      <diagonal/>
    </border>
    <border>
      <left/>
      <right style="medium">
        <color rgb="FF000000"/>
      </right>
      <top/>
      <bottom style="thin">
        <color rgb="FFD3D3D3"/>
      </bottom>
      <diagonal/>
    </border>
    <border>
      <left/>
      <right/>
      <top style="medium">
        <color rgb="FF05233D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2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6" fillId="0" borderId="0" xfId="0" applyFont="1" applyAlignment="1">
      <alignment horizontal="left" vertical="center" wrapText="1" readingOrder="1"/>
    </xf>
    <xf numFmtId="0" fontId="7" fillId="2" borderId="9" xfId="0" applyFont="1" applyFill="1" applyBorder="1" applyAlignment="1">
      <alignment horizontal="left" vertical="center" wrapText="1" readingOrder="1"/>
    </xf>
    <xf numFmtId="164" fontId="7" fillId="2" borderId="10" xfId="0" applyNumberFormat="1" applyFont="1" applyFill="1" applyBorder="1" applyAlignment="1">
      <alignment horizontal="left" vertical="center" wrapText="1" readingOrder="1"/>
    </xf>
    <xf numFmtId="0" fontId="8" fillId="0" borderId="0" xfId="0" applyFont="1" applyAlignment="1">
      <alignment vertical="top" wrapText="1" readingOrder="1"/>
    </xf>
    <xf numFmtId="0" fontId="3" fillId="2" borderId="9" xfId="0" applyFont="1" applyFill="1" applyBorder="1" applyAlignment="1">
      <alignment horizontal="left" vertical="top" wrapText="1" readingOrder="1"/>
    </xf>
    <xf numFmtId="0" fontId="9" fillId="2" borderId="11" xfId="0" applyFont="1" applyFill="1" applyBorder="1" applyAlignment="1">
      <alignment horizontal="center" vertical="top" wrapText="1" readingOrder="1"/>
    </xf>
    <xf numFmtId="0" fontId="9" fillId="2" borderId="10" xfId="0" applyFont="1" applyFill="1" applyBorder="1" applyAlignment="1">
      <alignment horizontal="center" vertical="top" wrapText="1" readingOrder="1"/>
    </xf>
    <xf numFmtId="0" fontId="9" fillId="0" borderId="4" xfId="0" applyFont="1" applyBorder="1" applyAlignment="1">
      <alignment horizontal="center" vertical="top" wrapText="1" readingOrder="1"/>
    </xf>
    <xf numFmtId="0" fontId="9" fillId="3" borderId="12" xfId="0" applyFont="1" applyFill="1" applyBorder="1" applyAlignment="1">
      <alignment horizontal="center" vertical="top" wrapText="1" readingOrder="1"/>
    </xf>
    <xf numFmtId="0" fontId="9" fillId="3" borderId="13" xfId="0" applyFont="1" applyFill="1" applyBorder="1" applyAlignment="1">
      <alignment horizontal="center"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4" xfId="0" applyFont="1" applyBorder="1" applyAlignment="1">
      <alignment vertical="top" wrapText="1" readingOrder="1"/>
    </xf>
    <xf numFmtId="0" fontId="10" fillId="0" borderId="0" xfId="0" applyFont="1" applyAlignment="1">
      <alignment horizontal="center" vertical="top" wrapText="1" readingOrder="1"/>
    </xf>
    <xf numFmtId="165" fontId="10" fillId="0" borderId="0" xfId="0" applyNumberFormat="1" applyFont="1" applyAlignment="1">
      <alignment horizontal="center" vertical="top" wrapText="1" readingOrder="1"/>
    </xf>
    <xf numFmtId="166" fontId="10" fillId="0" borderId="0" xfId="0" applyNumberFormat="1" applyFont="1" applyAlignment="1">
      <alignment horizontal="right" vertical="top" wrapText="1" readingOrder="1"/>
    </xf>
    <xf numFmtId="167" fontId="10" fillId="0" borderId="0" xfId="0" applyNumberFormat="1" applyFont="1" applyAlignment="1">
      <alignment vertical="top" wrapText="1" readingOrder="1"/>
    </xf>
    <xf numFmtId="167" fontId="10" fillId="0" borderId="14" xfId="0" applyNumberFormat="1" applyFont="1" applyBorder="1" applyAlignment="1">
      <alignment vertical="top" wrapText="1" readingOrder="1"/>
    </xf>
    <xf numFmtId="0" fontId="8" fillId="0" borderId="4" xfId="0" applyFont="1" applyBorder="1" applyAlignment="1">
      <alignment vertical="top" wrapText="1" readingOrder="1"/>
    </xf>
    <xf numFmtId="0" fontId="10" fillId="0" borderId="2" xfId="0" applyFont="1" applyBorder="1" applyAlignment="1">
      <alignment vertical="top" wrapText="1" readingOrder="1"/>
    </xf>
    <xf numFmtId="0" fontId="3" fillId="2" borderId="9" xfId="0" applyFont="1" applyFill="1" applyBorder="1" applyAlignment="1">
      <alignment vertical="top" wrapText="1" readingOrder="1"/>
    </xf>
    <xf numFmtId="0" fontId="3" fillId="2" borderId="11" xfId="0" applyFont="1" applyFill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8" fillId="3" borderId="4" xfId="0" applyFont="1" applyFill="1" applyBorder="1" applyAlignment="1">
      <alignment vertical="top" wrapText="1" readingOrder="1"/>
    </xf>
    <xf numFmtId="0" fontId="9" fillId="3" borderId="0" xfId="0" applyFont="1" applyFill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11" fillId="0" borderId="15" xfId="0" applyFont="1" applyBorder="1" applyAlignment="1">
      <alignment vertical="top" wrapText="1" readingOrder="1"/>
    </xf>
    <xf numFmtId="168" fontId="10" fillId="0" borderId="16" xfId="0" applyNumberFormat="1" applyFont="1" applyBorder="1" applyAlignment="1">
      <alignment horizontal="center" vertical="top" wrapText="1" readingOrder="1"/>
    </xf>
    <xf numFmtId="0" fontId="10" fillId="0" borderId="4" xfId="0" applyFont="1" applyBorder="1" applyAlignment="1">
      <alignment horizontal="left" vertical="top" wrapText="1" readingOrder="1"/>
    </xf>
    <xf numFmtId="168" fontId="10" fillId="0" borderId="0" xfId="0" applyNumberFormat="1" applyFont="1" applyAlignment="1">
      <alignment horizontal="center" vertical="top" wrapText="1" readingOrder="1"/>
    </xf>
    <xf numFmtId="0" fontId="10" fillId="0" borderId="2" xfId="0" applyFont="1" applyBorder="1" applyAlignment="1">
      <alignment horizontal="center" vertical="top" wrapText="1" readingOrder="1"/>
    </xf>
    <xf numFmtId="0" fontId="10" fillId="0" borderId="0" xfId="0" applyFont="1" applyAlignment="1">
      <alignment horizontal="left" vertical="top" wrapText="1" readingOrder="1"/>
    </xf>
    <xf numFmtId="0" fontId="3" fillId="2" borderId="10" xfId="0" applyFont="1" applyFill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2" fillId="0" borderId="12" xfId="0" applyFont="1" applyBorder="1" applyAlignment="1">
      <alignment horizontal="center" vertical="top" wrapText="1" readingOrder="1"/>
    </xf>
    <xf numFmtId="0" fontId="9" fillId="0" borderId="13" xfId="0" applyFont="1" applyBorder="1" applyAlignment="1">
      <alignment horizontal="center" vertical="top" wrapText="1" readingOrder="1"/>
    </xf>
    <xf numFmtId="0" fontId="12" fillId="0" borderId="13" xfId="0" applyFont="1" applyBorder="1" applyAlignment="1">
      <alignment horizontal="center" vertical="top" wrapText="1" readingOrder="1"/>
    </xf>
    <xf numFmtId="0" fontId="9" fillId="0" borderId="17" xfId="0" applyFont="1" applyBorder="1" applyAlignment="1">
      <alignment horizontal="center" vertical="top" wrapText="1" readingOrder="1"/>
    </xf>
    <xf numFmtId="0" fontId="13" fillId="0" borderId="0" xfId="0" applyFont="1" applyAlignment="1">
      <alignment horizontal="center" vertical="top" wrapText="1" readingOrder="1"/>
    </xf>
    <xf numFmtId="0" fontId="10" fillId="0" borderId="4" xfId="0" applyFont="1" applyBorder="1" applyAlignment="1">
      <alignment vertical="top" wrapText="1" readingOrder="1"/>
    </xf>
    <xf numFmtId="167" fontId="10" fillId="0" borderId="18" xfId="0" applyNumberFormat="1" applyFont="1" applyBorder="1" applyAlignment="1">
      <alignment vertical="top" wrapText="1" readingOrder="1"/>
    </xf>
    <xf numFmtId="167" fontId="10" fillId="0" borderId="5" xfId="0" applyNumberFormat="1" applyFont="1" applyBorder="1" applyAlignment="1">
      <alignment vertical="top" wrapText="1" readingOrder="1"/>
    </xf>
    <xf numFmtId="0" fontId="10" fillId="0" borderId="19" xfId="0" applyFont="1" applyBorder="1" applyAlignment="1">
      <alignment vertical="top" wrapText="1" readingOrder="1"/>
    </xf>
    <xf numFmtId="0" fontId="10" fillId="0" borderId="20" xfId="0" applyFont="1" applyBorder="1" applyAlignment="1">
      <alignment horizontal="center" vertical="top" wrapText="1" readingOrder="1"/>
    </xf>
    <xf numFmtId="165" fontId="10" fillId="0" borderId="20" xfId="0" applyNumberFormat="1" applyFont="1" applyBorder="1" applyAlignment="1">
      <alignment horizontal="center" vertical="top" wrapText="1" readingOrder="1"/>
    </xf>
    <xf numFmtId="167" fontId="10" fillId="0" borderId="20" xfId="0" applyNumberFormat="1" applyFont="1" applyBorder="1" applyAlignment="1">
      <alignment vertical="top" wrapText="1" readingOrder="1"/>
    </xf>
    <xf numFmtId="167" fontId="10" fillId="0" borderId="21" xfId="0" applyNumberFormat="1" applyFont="1" applyBorder="1" applyAlignment="1">
      <alignment vertical="top" wrapText="1" readingOrder="1"/>
    </xf>
    <xf numFmtId="167" fontId="10" fillId="0" borderId="22" xfId="0" applyNumberFormat="1" applyFont="1" applyBorder="1" applyAlignment="1">
      <alignment vertical="top" wrapText="1" readingOrder="1"/>
    </xf>
    <xf numFmtId="0" fontId="14" fillId="0" borderId="0" xfId="0" applyFont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 wrapText="1" readingOrder="1"/>
    </xf>
    <xf numFmtId="0" fontId="14" fillId="3" borderId="13" xfId="0" applyFont="1" applyFill="1" applyBorder="1" applyAlignment="1">
      <alignment horizontal="center" vertical="top" wrapText="1" readingOrder="1"/>
    </xf>
    <xf numFmtId="0" fontId="14" fillId="3" borderId="25" xfId="0" applyFont="1" applyFill="1" applyBorder="1" applyAlignment="1">
      <alignment horizontal="center" vertical="top" wrapText="1" readingOrder="1"/>
    </xf>
    <xf numFmtId="0" fontId="14" fillId="3" borderId="13" xfId="0" applyFont="1" applyFill="1" applyBorder="1" applyAlignment="1">
      <alignment horizontal="center" vertical="center" wrapText="1" readingOrder="1"/>
    </xf>
    <xf numFmtId="0" fontId="14" fillId="3" borderId="26" xfId="0" applyFont="1" applyFill="1" applyBorder="1" applyAlignment="1">
      <alignment horizontal="center" vertical="center" wrapText="1" readingOrder="1"/>
    </xf>
    <xf numFmtId="0" fontId="14" fillId="3" borderId="27" xfId="0" applyFont="1" applyFill="1" applyBorder="1" applyAlignment="1">
      <alignment horizontal="right" vertical="top" wrapText="1" readingOrder="1"/>
    </xf>
    <xf numFmtId="0" fontId="14" fillId="3" borderId="28" xfId="0" applyFont="1" applyFill="1" applyBorder="1" applyAlignment="1">
      <alignment horizontal="right" vertical="top" wrapText="1" readingOrder="1"/>
    </xf>
    <xf numFmtId="0" fontId="14" fillId="3" borderId="27" xfId="0" applyFont="1" applyFill="1" applyBorder="1" applyAlignment="1">
      <alignment horizontal="center" vertical="center" wrapText="1" readingOrder="1"/>
    </xf>
    <xf numFmtId="0" fontId="14" fillId="3" borderId="29" xfId="0" applyFont="1" applyFill="1" applyBorder="1" applyAlignment="1">
      <alignment horizontal="center" vertical="center" wrapText="1" readingOrder="1"/>
    </xf>
    <xf numFmtId="0" fontId="14" fillId="0" borderId="27" xfId="0" applyFont="1" applyBorder="1" applyAlignment="1">
      <alignment horizontal="right" vertical="top" wrapText="1" readingOrder="1"/>
    </xf>
    <xf numFmtId="0" fontId="14" fillId="4" borderId="27" xfId="0" applyFont="1" applyFill="1" applyBorder="1" applyAlignment="1">
      <alignment vertical="top" wrapText="1" readingOrder="1"/>
    </xf>
    <xf numFmtId="0" fontId="14" fillId="0" borderId="28" xfId="0" applyFont="1" applyBorder="1" applyAlignment="1">
      <alignment horizontal="right" vertical="top" wrapText="1" readingOrder="1"/>
    </xf>
    <xf numFmtId="167" fontId="14" fillId="0" borderId="27" xfId="0" applyNumberFormat="1" applyFont="1" applyBorder="1" applyAlignment="1">
      <alignment vertical="center" wrapText="1" readingOrder="1"/>
    </xf>
    <xf numFmtId="167" fontId="14" fillId="0" borderId="29" xfId="0" applyNumberFormat="1" applyFont="1" applyBorder="1" applyAlignment="1">
      <alignment vertical="center" wrapText="1" readingOrder="1"/>
    </xf>
    <xf numFmtId="164" fontId="15" fillId="4" borderId="0" xfId="0" applyNumberFormat="1" applyFont="1" applyFill="1" applyAlignment="1">
      <alignment vertical="top" wrapText="1" readingOrder="1"/>
    </xf>
    <xf numFmtId="0" fontId="15" fillId="4" borderId="0" xfId="0" applyFont="1" applyFill="1" applyAlignment="1">
      <alignment vertical="top" wrapText="1" readingOrder="1"/>
    </xf>
    <xf numFmtId="0" fontId="15" fillId="4" borderId="0" xfId="0" applyFont="1" applyFill="1" applyAlignment="1">
      <alignment horizontal="center" vertical="top" wrapText="1" readingOrder="1"/>
    </xf>
    <xf numFmtId="167" fontId="15" fillId="4" borderId="0" xfId="0" applyNumberFormat="1" applyFont="1" applyFill="1" applyAlignment="1">
      <alignment vertical="top" wrapText="1" readingOrder="1"/>
    </xf>
    <xf numFmtId="169" fontId="15" fillId="4" borderId="0" xfId="0" applyNumberFormat="1" applyFont="1" applyFill="1" applyAlignment="1">
      <alignment vertical="top" wrapText="1" readingOrder="1"/>
    </xf>
    <xf numFmtId="167" fontId="15" fillId="4" borderId="18" xfId="0" applyNumberFormat="1" applyFont="1" applyFill="1" applyBorder="1" applyAlignment="1">
      <alignment vertical="top" wrapText="1" readingOrder="1"/>
    </xf>
    <xf numFmtId="167" fontId="15" fillId="4" borderId="0" xfId="0" applyNumberFormat="1" applyFont="1" applyFill="1" applyAlignment="1">
      <alignment vertical="center" wrapText="1" readingOrder="1"/>
    </xf>
    <xf numFmtId="167" fontId="15" fillId="4" borderId="30" xfId="0" applyNumberFormat="1" applyFont="1" applyFill="1" applyBorder="1" applyAlignment="1">
      <alignment vertical="center" wrapText="1" readingOrder="1"/>
    </xf>
    <xf numFmtId="0" fontId="15" fillId="4" borderId="4" xfId="0" applyFont="1" applyFill="1" applyBorder="1" applyAlignment="1">
      <alignment vertical="top" wrapText="1" readingOrder="1"/>
    </xf>
    <xf numFmtId="0" fontId="16" fillId="4" borderId="11" xfId="0" applyFont="1" applyFill="1" applyBorder="1" applyAlignment="1">
      <alignment vertical="top" wrapText="1" readingOrder="1"/>
    </xf>
    <xf numFmtId="0" fontId="14" fillId="4" borderId="11" xfId="0" applyFont="1" applyFill="1" applyBorder="1" applyAlignment="1">
      <alignment vertical="top" wrapText="1" readingOrder="1"/>
    </xf>
    <xf numFmtId="0" fontId="16" fillId="4" borderId="23" xfId="0" applyFont="1" applyFill="1" applyBorder="1" applyAlignment="1">
      <alignment vertical="top" wrapText="1" readingOrder="1"/>
    </xf>
    <xf numFmtId="167" fontId="14" fillId="4" borderId="11" xfId="0" applyNumberFormat="1" applyFont="1" applyFill="1" applyBorder="1" applyAlignment="1">
      <alignment vertical="center" wrapText="1" readingOrder="1"/>
    </xf>
    <xf numFmtId="167" fontId="14" fillId="4" borderId="24" xfId="0" applyNumberFormat="1" applyFont="1" applyFill="1" applyBorder="1" applyAlignment="1">
      <alignment vertical="center" wrapText="1" readingOrder="1"/>
    </xf>
    <xf numFmtId="0" fontId="16" fillId="4" borderId="4" xfId="0" applyFont="1" applyFill="1" applyBorder="1" applyAlignment="1">
      <alignment vertical="top" wrapText="1" readingOrder="1"/>
    </xf>
    <xf numFmtId="0" fontId="17" fillId="0" borderId="0" xfId="0" applyFont="1" applyAlignment="1">
      <alignment horizontal="left" vertical="center" wrapText="1" readingOrder="1"/>
    </xf>
    <xf numFmtId="0" fontId="3" fillId="2" borderId="32" xfId="0" applyFont="1" applyFill="1" applyBorder="1" applyAlignment="1">
      <alignment horizontal="center" vertical="top" wrapText="1" readingOrder="1"/>
    </xf>
    <xf numFmtId="0" fontId="3" fillId="2" borderId="33" xfId="0" applyFont="1" applyFill="1" applyBorder="1" applyAlignment="1">
      <alignment horizontal="center" vertical="top" wrapText="1" readingOrder="1"/>
    </xf>
    <xf numFmtId="0" fontId="14" fillId="3" borderId="34" xfId="0" applyFont="1" applyFill="1" applyBorder="1" applyAlignment="1">
      <alignment horizontal="center" vertical="top" wrapText="1" readingOrder="1"/>
    </xf>
    <xf numFmtId="0" fontId="14" fillId="3" borderId="35" xfId="0" applyFont="1" applyFill="1" applyBorder="1" applyAlignment="1">
      <alignment horizontal="center" vertical="top" wrapText="1" readingOrder="1"/>
    </xf>
    <xf numFmtId="0" fontId="14" fillId="3" borderId="36" xfId="0" applyFont="1" applyFill="1" applyBorder="1" applyAlignment="1">
      <alignment horizontal="center" vertical="top" wrapText="1" readingOrder="1"/>
    </xf>
    <xf numFmtId="0" fontId="10" fillId="0" borderId="37" xfId="0" applyFont="1" applyBorder="1" applyAlignment="1">
      <alignment vertical="top" wrapText="1" readingOrder="1"/>
    </xf>
    <xf numFmtId="0" fontId="10" fillId="0" borderId="38" xfId="0" applyFont="1" applyBorder="1" applyAlignment="1">
      <alignment vertical="top" wrapText="1" readingOrder="1"/>
    </xf>
    <xf numFmtId="0" fontId="8" fillId="0" borderId="37" xfId="0" applyFont="1" applyBorder="1" applyAlignment="1">
      <alignment vertical="top" wrapText="1" readingOrder="1"/>
    </xf>
    <xf numFmtId="0" fontId="8" fillId="3" borderId="39" xfId="0" applyFont="1" applyFill="1" applyBorder="1" applyAlignment="1">
      <alignment vertical="top" wrapText="1" readingOrder="1"/>
    </xf>
    <xf numFmtId="0" fontId="8" fillId="3" borderId="40" xfId="0" applyFont="1" applyFill="1" applyBorder="1" applyAlignment="1">
      <alignment vertical="top" wrapText="1" readingOrder="1"/>
    </xf>
    <xf numFmtId="170" fontId="14" fillId="3" borderId="40" xfId="0" applyNumberFormat="1" applyFont="1" applyFill="1" applyBorder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  <xf numFmtId="0" fontId="14" fillId="3" borderId="31" xfId="0" applyFont="1" applyFill="1" applyBorder="1" applyAlignment="1">
      <alignment horizontal="center" vertical="top" wrapText="1" readingOrder="1"/>
    </xf>
    <xf numFmtId="0" fontId="14" fillId="3" borderId="32" xfId="0" applyFont="1" applyFill="1" applyBorder="1" applyAlignment="1">
      <alignment horizontal="center" vertical="top" wrapText="1" readingOrder="1"/>
    </xf>
    <xf numFmtId="0" fontId="14" fillId="3" borderId="33" xfId="0" applyFont="1" applyFill="1" applyBorder="1" applyAlignment="1">
      <alignment horizontal="center" vertical="top" wrapText="1" readingOrder="1"/>
    </xf>
    <xf numFmtId="170" fontId="3" fillId="2" borderId="35" xfId="0" applyNumberFormat="1" applyFont="1" applyFill="1" applyBorder="1" applyAlignment="1">
      <alignment vertical="top" wrapText="1" readingOrder="1"/>
    </xf>
    <xf numFmtId="0" fontId="17" fillId="3" borderId="35" xfId="0" applyFont="1" applyFill="1" applyBorder="1" applyAlignment="1">
      <alignment horizontal="center" vertical="top" wrapText="1" readingOrder="1"/>
    </xf>
    <xf numFmtId="0" fontId="10" fillId="0" borderId="37" xfId="0" applyFont="1" applyBorder="1" applyAlignment="1">
      <alignment horizontal="center" vertical="top" wrapText="1" readingOrder="1"/>
    </xf>
    <xf numFmtId="164" fontId="10" fillId="0" borderId="0" xfId="0" applyNumberFormat="1" applyFont="1" applyAlignment="1">
      <alignment horizontal="center" vertical="top" wrapText="1" readingOrder="1"/>
    </xf>
    <xf numFmtId="171" fontId="10" fillId="0" borderId="0" xfId="0" applyNumberFormat="1" applyFont="1" applyAlignment="1">
      <alignment vertical="top" wrapText="1" readingOrder="1"/>
    </xf>
    <xf numFmtId="0" fontId="8" fillId="0" borderId="42" xfId="0" applyFont="1" applyBorder="1" applyAlignment="1">
      <alignment vertical="top" wrapText="1" readingOrder="1"/>
    </xf>
    <xf numFmtId="0" fontId="8" fillId="0" borderId="42" xfId="0" applyFont="1" applyBorder="1" applyAlignment="1">
      <alignment horizontal="center" vertical="top" wrapText="1" readingOrder="1"/>
    </xf>
    <xf numFmtId="0" fontId="18" fillId="0" borderId="7" xfId="0" applyFont="1" applyBorder="1" applyAlignment="1">
      <alignment horizontal="center" vertical="top" wrapText="1" readingOrder="1"/>
    </xf>
    <xf numFmtId="0" fontId="3" fillId="2" borderId="12" xfId="0" applyFont="1" applyFill="1" applyBorder="1" applyAlignment="1">
      <alignment horizontal="center" vertical="top" wrapText="1" readingOrder="1"/>
    </xf>
    <xf numFmtId="0" fontId="3" fillId="2" borderId="13" xfId="0" applyFont="1" applyFill="1" applyBorder="1" applyAlignment="1">
      <alignment horizontal="center" vertical="top" wrapText="1" readingOrder="1"/>
    </xf>
    <xf numFmtId="0" fontId="3" fillId="2" borderId="17" xfId="0" applyFont="1" applyFill="1" applyBorder="1" applyAlignment="1">
      <alignment horizontal="center" vertical="top" wrapText="1" readingOrder="1"/>
    </xf>
    <xf numFmtId="0" fontId="14" fillId="3" borderId="43" xfId="0" applyFont="1" applyFill="1" applyBorder="1" applyAlignment="1">
      <alignment horizontal="center" wrapText="1" readingOrder="1"/>
    </xf>
    <xf numFmtId="167" fontId="15" fillId="0" borderId="44" xfId="0" applyNumberFormat="1" applyFont="1" applyBorder="1" applyAlignment="1">
      <alignment vertical="top" wrapText="1" readingOrder="1"/>
    </xf>
    <xf numFmtId="167" fontId="15" fillId="0" borderId="45" xfId="0" applyNumberFormat="1" applyFont="1" applyBorder="1" applyAlignment="1">
      <alignment vertical="top" wrapText="1" readingOrder="1"/>
    </xf>
    <xf numFmtId="0" fontId="15" fillId="0" borderId="0" xfId="0" applyFont="1" applyAlignment="1">
      <alignment vertical="top" wrapText="1" readingOrder="1"/>
    </xf>
    <xf numFmtId="0" fontId="19" fillId="0" borderId="0" xfId="0" applyFont="1" applyAlignment="1">
      <alignment vertical="top" wrapText="1" readingOrder="1"/>
    </xf>
    <xf numFmtId="0" fontId="19" fillId="0" borderId="2" xfId="0" applyFont="1" applyBorder="1" applyAlignment="1">
      <alignment vertical="top" wrapText="1" readingOrder="1"/>
    </xf>
    <xf numFmtId="0" fontId="14" fillId="0" borderId="0" xfId="0" applyFont="1" applyAlignment="1">
      <alignment horizontal="center" vertical="top" wrapText="1" readingOrder="1"/>
    </xf>
    <xf numFmtId="164" fontId="10" fillId="0" borderId="0" xfId="0" applyNumberFormat="1" applyFont="1" applyAlignment="1">
      <alignment vertical="top" wrapText="1" readingOrder="1"/>
    </xf>
    <xf numFmtId="167" fontId="10" fillId="0" borderId="38" xfId="0" applyNumberFormat="1" applyFont="1" applyBorder="1" applyAlignment="1">
      <alignment vertical="top" wrapText="1" readingOrder="1"/>
    </xf>
    <xf numFmtId="0" fontId="8" fillId="0" borderId="46" xfId="0" applyFont="1" applyBorder="1" applyAlignment="1">
      <alignment vertical="top" wrapText="1" readingOrder="1"/>
    </xf>
    <xf numFmtId="0" fontId="8" fillId="0" borderId="46" xfId="0" applyFont="1" applyBorder="1" applyAlignment="1">
      <alignment horizontal="center" vertical="top" wrapText="1" readingOrder="1"/>
    </xf>
    <xf numFmtId="0" fontId="20" fillId="4" borderId="0" xfId="0" applyFont="1" applyFill="1" applyAlignment="1">
      <alignment horizontal="right" vertical="top" wrapText="1" readingOrder="1"/>
    </xf>
    <xf numFmtId="0" fontId="20" fillId="0" borderId="0" xfId="0" applyFont="1" applyAlignment="1">
      <alignment horizontal="right" vertical="top" wrapText="1" readingOrder="1"/>
    </xf>
    <xf numFmtId="0" fontId="18" fillId="4" borderId="0" xfId="0" applyFont="1" applyFill="1" applyAlignment="1">
      <alignment horizontal="center" vertical="top" wrapText="1" readingOrder="1"/>
    </xf>
    <xf numFmtId="0" fontId="20" fillId="4" borderId="7" xfId="0" applyFont="1" applyFill="1" applyBorder="1" applyAlignment="1">
      <alignment horizontal="right" vertical="top" wrapText="1" readingOrder="1"/>
    </xf>
    <xf numFmtId="0" fontId="18" fillId="4" borderId="4" xfId="0" applyFont="1" applyFill="1" applyBorder="1" applyAlignment="1">
      <alignment horizontal="center" vertical="top" wrapText="1" readingOrder="1"/>
    </xf>
    <xf numFmtId="0" fontId="21" fillId="4" borderId="0" xfId="0" applyFont="1" applyFill="1" applyAlignment="1">
      <alignment vertical="top" wrapText="1" readingOrder="1"/>
    </xf>
    <xf numFmtId="0" fontId="13" fillId="3" borderId="47" xfId="0" applyFont="1" applyFill="1" applyBorder="1" applyAlignment="1">
      <alignment horizontal="center" vertical="top" wrapText="1" readingOrder="1"/>
    </xf>
    <xf numFmtId="0" fontId="21" fillId="0" borderId="0" xfId="0" applyFont="1" applyAlignment="1">
      <alignment vertical="top" wrapText="1" readingOrder="1"/>
    </xf>
    <xf numFmtId="167" fontId="13" fillId="3" borderId="48" xfId="0" applyNumberFormat="1" applyFont="1" applyFill="1" applyBorder="1" applyAlignment="1">
      <alignment vertical="top" wrapText="1" readingOrder="1"/>
    </xf>
    <xf numFmtId="167" fontId="22" fillId="3" borderId="49" xfId="0" applyNumberFormat="1" applyFont="1" applyFill="1" applyBorder="1" applyAlignment="1">
      <alignment vertical="top" wrapText="1" readingOrder="1"/>
    </xf>
    <xf numFmtId="167" fontId="22" fillId="3" borderId="50" xfId="0" applyNumberFormat="1" applyFont="1" applyFill="1" applyBorder="1" applyAlignment="1">
      <alignment vertical="top" wrapText="1" readingOrder="1"/>
    </xf>
    <xf numFmtId="170" fontId="22" fillId="3" borderId="29" xfId="0" applyNumberFormat="1" applyFont="1" applyFill="1" applyBorder="1" applyAlignment="1">
      <alignment vertical="top" wrapText="1" readingOrder="1"/>
    </xf>
    <xf numFmtId="170" fontId="22" fillId="3" borderId="51" xfId="0" applyNumberFormat="1" applyFont="1" applyFill="1" applyBorder="1" applyAlignment="1">
      <alignment vertical="top" wrapText="1" readingOrder="1"/>
    </xf>
    <xf numFmtId="0" fontId="22" fillId="4" borderId="0" xfId="0" applyFont="1" applyFill="1" applyAlignment="1">
      <alignment vertical="top" wrapText="1" readingOrder="1"/>
    </xf>
    <xf numFmtId="0" fontId="21" fillId="4" borderId="4" xfId="0" applyFont="1" applyFill="1" applyBorder="1" applyAlignment="1">
      <alignment vertical="top" wrapText="1" readingOrder="1"/>
    </xf>
    <xf numFmtId="0" fontId="14" fillId="3" borderId="52" xfId="0" applyFont="1" applyFill="1" applyBorder="1" applyAlignment="1">
      <alignment horizontal="center" vertical="top" wrapText="1" readingOrder="1"/>
    </xf>
    <xf numFmtId="0" fontId="14" fillId="3" borderId="53" xfId="0" applyFont="1" applyFill="1" applyBorder="1" applyAlignment="1">
      <alignment horizontal="center" vertical="top" wrapText="1" readingOrder="1"/>
    </xf>
    <xf numFmtId="0" fontId="14" fillId="4" borderId="4" xfId="0" applyFont="1" applyFill="1" applyBorder="1" applyAlignment="1">
      <alignment horizontal="center" vertical="top" wrapText="1" readingOrder="1"/>
    </xf>
    <xf numFmtId="165" fontId="10" fillId="0" borderId="0" xfId="0" applyNumberFormat="1" applyFont="1" applyAlignment="1">
      <alignment vertical="top" wrapText="1" readingOrder="1"/>
    </xf>
    <xf numFmtId="0" fontId="21" fillId="4" borderId="2" xfId="0" applyFont="1" applyFill="1" applyBorder="1" applyAlignment="1">
      <alignment vertical="top" wrapText="1" readingOrder="1"/>
    </xf>
    <xf numFmtId="0" fontId="6" fillId="0" borderId="0" xfId="0" applyFont="1" applyAlignment="1">
      <alignment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3" fillId="0" borderId="0" xfId="0" applyFont="1" applyAlignment="1">
      <alignment horizontal="center" vertical="center" wrapText="1" readingOrder="1"/>
    </xf>
    <xf numFmtId="0" fontId="3" fillId="2" borderId="23" xfId="0" applyFont="1" applyFill="1" applyBorder="1" applyAlignment="1">
      <alignment horizontal="center" vertical="top" wrapText="1" readingOrder="1"/>
    </xf>
    <xf numFmtId="0" fontId="1" fillId="0" borderId="11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3" fillId="2" borderId="11" xfId="0" applyFont="1" applyFill="1" applyBorder="1" applyAlignment="1">
      <alignment horizontal="center" vertical="center" wrapText="1" readingOrder="1"/>
    </xf>
    <xf numFmtId="0" fontId="3" fillId="2" borderId="24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3" fillId="2" borderId="31" xfId="0" applyFont="1" applyFill="1" applyBorder="1" applyAlignment="1">
      <alignment horizontal="left" vertical="center" wrapText="1" readingOrder="1"/>
    </xf>
    <xf numFmtId="0" fontId="1" fillId="0" borderId="32" xfId="0" applyFont="1" applyBorder="1" applyAlignment="1">
      <alignment vertical="top" wrapText="1"/>
    </xf>
    <xf numFmtId="0" fontId="3" fillId="2" borderId="33" xfId="0" applyFont="1" applyFill="1" applyBorder="1" applyAlignment="1">
      <alignment horizontal="center" vertical="top" wrapText="1" readingOrder="1"/>
    </xf>
    <xf numFmtId="0" fontId="1" fillId="0" borderId="33" xfId="0" applyFont="1" applyBorder="1" applyAlignment="1">
      <alignment vertical="top" wrapText="1"/>
    </xf>
    <xf numFmtId="0" fontId="14" fillId="3" borderId="36" xfId="0" applyFont="1" applyFill="1" applyBorder="1" applyAlignment="1">
      <alignment horizontal="center" vertical="top" wrapText="1" readingOrder="1"/>
    </xf>
    <xf numFmtId="0" fontId="1" fillId="0" borderId="36" xfId="0" applyFont="1" applyBorder="1" applyAlignment="1">
      <alignment vertical="top" wrapText="1"/>
    </xf>
    <xf numFmtId="0" fontId="10" fillId="0" borderId="38" xfId="0" applyFont="1" applyBorder="1" applyAlignment="1">
      <alignment vertical="top" wrapText="1" readingOrder="1"/>
    </xf>
    <xf numFmtId="0" fontId="1" fillId="0" borderId="38" xfId="0" applyFont="1" applyBorder="1" applyAlignment="1">
      <alignment vertical="top" wrapText="1"/>
    </xf>
    <xf numFmtId="0" fontId="8" fillId="0" borderId="38" xfId="0" applyFont="1" applyBorder="1" applyAlignment="1">
      <alignment vertical="top" wrapText="1" readingOrder="1"/>
    </xf>
    <xf numFmtId="0" fontId="8" fillId="3" borderId="41" xfId="0" applyFont="1" applyFill="1" applyBorder="1" applyAlignment="1">
      <alignment vertical="top" wrapText="1" readingOrder="1"/>
    </xf>
    <xf numFmtId="0" fontId="1" fillId="0" borderId="41" xfId="0" applyFont="1" applyBorder="1" applyAlignment="1">
      <alignment vertical="top" wrapText="1"/>
    </xf>
    <xf numFmtId="0" fontId="3" fillId="2" borderId="31" xfId="0" applyFont="1" applyFill="1" applyBorder="1" applyAlignment="1">
      <alignment horizontal="lef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3" fillId="0" borderId="7" xfId="0" applyFont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5288"/>
      <rgbColor rgb="0005233D"/>
      <rgbColor rgb="00F2F2F2"/>
      <rgbColor rgb="00D3D3D3"/>
      <rgbColor rgb="000563C1"/>
      <rgbColor rgb="00D1D3D4"/>
      <rgbColor rgb="00666666"/>
      <rgbColor rgb="0033333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8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1182370</xdr:colOff>
      <xdr:row>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126276</xdr:colOff>
      <xdr:row>0</xdr:row>
      <xdr:rowOff>160553</xdr:rowOff>
    </xdr:from>
    <xdr:to>
      <xdr:col>1</xdr:col>
      <xdr:colOff>518274</xdr:colOff>
      <xdr:row>4</xdr:row>
      <xdr:rowOff>177266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253022</xdr:colOff>
      <xdr:row>0</xdr:row>
      <xdr:rowOff>127101</xdr:rowOff>
    </xdr:from>
    <xdr:to>
      <xdr:col>1</xdr:col>
      <xdr:colOff>440435</xdr:colOff>
      <xdr:row>4</xdr:row>
      <xdr:rowOff>177266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254126</xdr:colOff>
      <xdr:row>1</xdr:row>
      <xdr:rowOff>0</xdr:rowOff>
    </xdr:from>
    <xdr:to>
      <xdr:col>1</xdr:col>
      <xdr:colOff>1217676</xdr:colOff>
      <xdr:row>6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62407</xdr:colOff>
      <xdr:row>0</xdr:row>
      <xdr:rowOff>63550</xdr:rowOff>
    </xdr:from>
    <xdr:to>
      <xdr:col>1</xdr:col>
      <xdr:colOff>579539</xdr:colOff>
      <xdr:row>3</xdr:row>
      <xdr:rowOff>164363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showGridLines="0" zoomScale="85" workbookViewId="0"/>
  </sheetViews>
  <sheetFormatPr defaultRowHeight="15"/>
  <cols>
    <col min="1" max="1" width="4.140625" customWidth="1"/>
    <col min="2" max="2" width="41.140625" customWidth="1"/>
    <col min="3" max="11" width="20.5703125" customWidth="1"/>
    <col min="12" max="12" width="13.7109375" customWidth="1"/>
    <col min="13" max="13" width="26.7109375" customWidth="1"/>
  </cols>
  <sheetData>
    <row r="1" spans="1:12" ht="15.75">
      <c r="A1" s="1" t="s">
        <v>0</v>
      </c>
      <c r="B1" s="1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</row>
    <row r="2" spans="1:12" ht="14.85" customHeight="1">
      <c r="A2" s="3" t="s">
        <v>0</v>
      </c>
      <c r="B2" s="171"/>
      <c r="C2" s="140" t="s">
        <v>1</v>
      </c>
      <c r="D2" s="141"/>
      <c r="E2" s="141"/>
      <c r="F2" s="142"/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</row>
    <row r="3" spans="1:12" ht="14.85" customHeight="1">
      <c r="A3" s="3" t="s">
        <v>0</v>
      </c>
      <c r="B3" s="171"/>
      <c r="C3" s="143"/>
      <c r="D3" s="171"/>
      <c r="E3" s="171"/>
      <c r="F3" s="144"/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</row>
    <row r="4" spans="1:12" ht="14.85" customHeight="1">
      <c r="A4" s="3" t="s">
        <v>0</v>
      </c>
      <c r="B4" s="171"/>
      <c r="C4" s="143"/>
      <c r="D4" s="171"/>
      <c r="E4" s="171"/>
      <c r="F4" s="144"/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</row>
    <row r="5" spans="1:12" ht="14.85" customHeight="1">
      <c r="A5" s="3" t="s">
        <v>0</v>
      </c>
      <c r="B5" s="171"/>
      <c r="C5" s="145"/>
      <c r="D5" s="146"/>
      <c r="E5" s="146"/>
      <c r="F5" s="147"/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</row>
    <row r="6" spans="1:12" ht="15.7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8.75">
      <c r="A7" s="4" t="s">
        <v>0</v>
      </c>
      <c r="B7" s="5" t="s">
        <v>2</v>
      </c>
      <c r="C7" s="6">
        <v>45979</v>
      </c>
      <c r="D7" s="4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8.75">
      <c r="A8" s="4" t="s">
        <v>0</v>
      </c>
      <c r="B8" s="4" t="s">
        <v>0</v>
      </c>
      <c r="C8" s="4" t="s">
        <v>0</v>
      </c>
      <c r="D8" s="4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</row>
    <row r="9" spans="1:12" ht="15.75">
      <c r="A9" s="7" t="s">
        <v>0</v>
      </c>
      <c r="B9" s="8" t="s">
        <v>3</v>
      </c>
      <c r="C9" s="9" t="s">
        <v>0</v>
      </c>
      <c r="D9" s="9" t="s">
        <v>0</v>
      </c>
      <c r="E9" s="9" t="s">
        <v>0</v>
      </c>
      <c r="F9" s="9" t="s">
        <v>0</v>
      </c>
      <c r="G9" s="9" t="s">
        <v>0</v>
      </c>
      <c r="H9" s="9" t="s">
        <v>0</v>
      </c>
      <c r="I9" s="9" t="s">
        <v>0</v>
      </c>
      <c r="J9" s="9" t="s">
        <v>0</v>
      </c>
      <c r="K9" s="10" t="s">
        <v>0</v>
      </c>
      <c r="L9" s="11" t="s">
        <v>0</v>
      </c>
    </row>
    <row r="10" spans="1:12" ht="31.5">
      <c r="A10" s="7" t="s">
        <v>0</v>
      </c>
      <c r="B10" s="12" t="s">
        <v>4</v>
      </c>
      <c r="C10" s="13" t="s">
        <v>5</v>
      </c>
      <c r="D10" s="13" t="s">
        <v>6</v>
      </c>
      <c r="E10" s="13" t="s">
        <v>7</v>
      </c>
      <c r="F10" s="13" t="s">
        <v>8</v>
      </c>
      <c r="G10" s="13" t="s">
        <v>9</v>
      </c>
      <c r="H10" s="13" t="s">
        <v>10</v>
      </c>
      <c r="I10" s="13" t="s">
        <v>11</v>
      </c>
      <c r="J10" s="13" t="s">
        <v>12</v>
      </c>
      <c r="K10" s="13" t="s">
        <v>13</v>
      </c>
      <c r="L10" s="11" t="s">
        <v>0</v>
      </c>
    </row>
    <row r="11" spans="1:12">
      <c r="A11" s="14" t="s">
        <v>0</v>
      </c>
      <c r="B11" s="15" t="s">
        <v>14</v>
      </c>
      <c r="C11" s="16" t="s">
        <v>15</v>
      </c>
      <c r="D11" s="17">
        <v>1</v>
      </c>
      <c r="E11" s="18">
        <v>10115700</v>
      </c>
      <c r="F11" s="19">
        <v>0</v>
      </c>
      <c r="G11" s="19">
        <v>0</v>
      </c>
      <c r="H11" s="20">
        <v>0</v>
      </c>
      <c r="I11" s="19">
        <v>0</v>
      </c>
      <c r="J11" s="19">
        <v>0</v>
      </c>
      <c r="K11" s="19">
        <v>0</v>
      </c>
      <c r="L11" s="21" t="s">
        <v>0</v>
      </c>
    </row>
    <row r="12" spans="1:12">
      <c r="A12" s="14" t="s">
        <v>0</v>
      </c>
      <c r="B12" s="15" t="s">
        <v>16</v>
      </c>
      <c r="C12" s="16" t="s">
        <v>15</v>
      </c>
      <c r="D12" s="17">
        <v>1</v>
      </c>
      <c r="E12" s="18">
        <v>10115701</v>
      </c>
      <c r="F12" s="19">
        <v>41948.66</v>
      </c>
      <c r="G12" s="19">
        <v>0</v>
      </c>
      <c r="H12" s="20">
        <v>41948.66</v>
      </c>
      <c r="I12" s="19">
        <v>41948.66</v>
      </c>
      <c r="J12" s="19">
        <v>0</v>
      </c>
      <c r="K12" s="19">
        <v>41948.66</v>
      </c>
      <c r="L12" s="21" t="s">
        <v>0</v>
      </c>
    </row>
    <row r="13" spans="1:12">
      <c r="A13" s="14" t="s">
        <v>0</v>
      </c>
      <c r="B13" s="15" t="s">
        <v>17</v>
      </c>
      <c r="C13" s="16" t="s">
        <v>15</v>
      </c>
      <c r="D13" s="17">
        <v>1</v>
      </c>
      <c r="E13" s="18">
        <v>10115702</v>
      </c>
      <c r="F13" s="19">
        <v>8340405.7800000003</v>
      </c>
      <c r="G13" s="19">
        <v>-8714975</v>
      </c>
      <c r="H13" s="20">
        <v>-374569.22</v>
      </c>
      <c r="I13" s="19">
        <v>8340405.7800000003</v>
      </c>
      <c r="J13" s="19">
        <v>-8714975</v>
      </c>
      <c r="K13" s="19">
        <v>-374569.22</v>
      </c>
      <c r="L13" s="21" t="s">
        <v>0</v>
      </c>
    </row>
    <row r="14" spans="1:12">
      <c r="A14" s="14" t="s">
        <v>0</v>
      </c>
      <c r="B14" s="15" t="s">
        <v>18</v>
      </c>
      <c r="C14" s="16" t="s">
        <v>15</v>
      </c>
      <c r="D14" s="17">
        <v>1</v>
      </c>
      <c r="E14" s="18">
        <v>10115703</v>
      </c>
      <c r="F14" s="19">
        <v>0</v>
      </c>
      <c r="G14" s="19">
        <v>0</v>
      </c>
      <c r="H14" s="20">
        <v>0</v>
      </c>
      <c r="I14" s="19">
        <v>0</v>
      </c>
      <c r="J14" s="19">
        <v>0</v>
      </c>
      <c r="K14" s="19">
        <v>0</v>
      </c>
      <c r="L14" s="21" t="s">
        <v>0</v>
      </c>
    </row>
    <row r="15" spans="1:12">
      <c r="A15" s="14" t="s">
        <v>0</v>
      </c>
      <c r="B15" s="15" t="s">
        <v>19</v>
      </c>
      <c r="C15" s="16" t="s">
        <v>20</v>
      </c>
      <c r="D15" s="17">
        <v>1.54</v>
      </c>
      <c r="E15" s="18">
        <v>10115710</v>
      </c>
      <c r="F15" s="19">
        <v>0</v>
      </c>
      <c r="G15" s="19">
        <v>0</v>
      </c>
      <c r="H15" s="20">
        <v>0</v>
      </c>
      <c r="I15" s="19">
        <v>0</v>
      </c>
      <c r="J15" s="19">
        <v>0</v>
      </c>
      <c r="K15" s="19">
        <v>0</v>
      </c>
      <c r="L15" s="21" t="s">
        <v>0</v>
      </c>
    </row>
    <row r="16" spans="1:12">
      <c r="A16" s="14" t="s">
        <v>0</v>
      </c>
      <c r="B16" s="15" t="s">
        <v>21</v>
      </c>
      <c r="C16" s="16" t="s">
        <v>20</v>
      </c>
      <c r="D16" s="17">
        <v>1.54</v>
      </c>
      <c r="E16" s="18">
        <v>10115711</v>
      </c>
      <c r="F16" s="19">
        <v>0</v>
      </c>
      <c r="G16" s="19">
        <v>0</v>
      </c>
      <c r="H16" s="20">
        <v>0</v>
      </c>
      <c r="I16" s="19">
        <v>0</v>
      </c>
      <c r="J16" s="19">
        <v>0</v>
      </c>
      <c r="K16" s="19">
        <v>0</v>
      </c>
      <c r="L16" s="21" t="s">
        <v>0</v>
      </c>
    </row>
    <row r="17" spans="1:12">
      <c r="A17" s="14" t="s">
        <v>0</v>
      </c>
      <c r="B17" s="15" t="s">
        <v>22</v>
      </c>
      <c r="C17" s="16" t="s">
        <v>20</v>
      </c>
      <c r="D17" s="17">
        <v>1.54</v>
      </c>
      <c r="E17" s="18">
        <v>10115712</v>
      </c>
      <c r="F17" s="19">
        <v>0</v>
      </c>
      <c r="G17" s="19">
        <v>0</v>
      </c>
      <c r="H17" s="20">
        <v>0</v>
      </c>
      <c r="I17" s="19">
        <v>0</v>
      </c>
      <c r="J17" s="19">
        <v>0</v>
      </c>
      <c r="K17" s="19">
        <v>0</v>
      </c>
      <c r="L17" s="21" t="s">
        <v>0</v>
      </c>
    </row>
    <row r="18" spans="1:12">
      <c r="A18" s="14" t="s">
        <v>0</v>
      </c>
      <c r="B18" s="15" t="s">
        <v>23</v>
      </c>
      <c r="C18" s="16" t="s">
        <v>24</v>
      </c>
      <c r="D18" s="17">
        <v>1.4055</v>
      </c>
      <c r="E18" s="18">
        <v>10115704</v>
      </c>
      <c r="F18" s="19">
        <v>0</v>
      </c>
      <c r="G18" s="19">
        <v>0</v>
      </c>
      <c r="H18" s="20">
        <v>0</v>
      </c>
      <c r="I18" s="19">
        <v>0</v>
      </c>
      <c r="J18" s="19">
        <v>0</v>
      </c>
      <c r="K18" s="19">
        <v>0</v>
      </c>
      <c r="L18" s="21" t="s">
        <v>0</v>
      </c>
    </row>
    <row r="19" spans="1:12">
      <c r="A19" s="14" t="s">
        <v>0</v>
      </c>
      <c r="B19" s="15" t="s">
        <v>25</v>
      </c>
      <c r="C19" s="16" t="s">
        <v>24</v>
      </c>
      <c r="D19" s="17">
        <v>1.4055</v>
      </c>
      <c r="E19" s="18">
        <v>10115705</v>
      </c>
      <c r="F19" s="19">
        <v>0</v>
      </c>
      <c r="G19" s="19">
        <v>0</v>
      </c>
      <c r="H19" s="20">
        <v>0</v>
      </c>
      <c r="I19" s="19">
        <v>0</v>
      </c>
      <c r="J19" s="19">
        <v>0</v>
      </c>
      <c r="K19" s="19">
        <v>0</v>
      </c>
      <c r="L19" s="21" t="s">
        <v>0</v>
      </c>
    </row>
    <row r="20" spans="1:12">
      <c r="A20" s="14" t="s">
        <v>0</v>
      </c>
      <c r="B20" s="15" t="s">
        <v>26</v>
      </c>
      <c r="C20" s="16" t="s">
        <v>24</v>
      </c>
      <c r="D20" s="17">
        <v>1.4055</v>
      </c>
      <c r="E20" s="18">
        <v>10115706</v>
      </c>
      <c r="F20" s="19">
        <v>0</v>
      </c>
      <c r="G20" s="19">
        <v>0</v>
      </c>
      <c r="H20" s="20">
        <v>0</v>
      </c>
      <c r="I20" s="19">
        <v>0</v>
      </c>
      <c r="J20" s="19">
        <v>0</v>
      </c>
      <c r="K20" s="19">
        <v>0</v>
      </c>
      <c r="L20" s="21" t="s">
        <v>0</v>
      </c>
    </row>
    <row r="21" spans="1:12">
      <c r="A21" s="14" t="s">
        <v>0</v>
      </c>
      <c r="B21" s="15" t="s">
        <v>27</v>
      </c>
      <c r="C21" s="16" t="s">
        <v>28</v>
      </c>
      <c r="D21" s="17">
        <v>0.79620000000000002</v>
      </c>
      <c r="E21" s="18">
        <v>10115716</v>
      </c>
      <c r="F21" s="19">
        <v>0</v>
      </c>
      <c r="G21" s="19">
        <v>0</v>
      </c>
      <c r="H21" s="20">
        <v>0</v>
      </c>
      <c r="I21" s="19">
        <v>0</v>
      </c>
      <c r="J21" s="19">
        <v>0</v>
      </c>
      <c r="K21" s="19">
        <v>0</v>
      </c>
      <c r="L21" s="21" t="s">
        <v>0</v>
      </c>
    </row>
    <row r="22" spans="1:12">
      <c r="A22" s="14" t="s">
        <v>0</v>
      </c>
      <c r="B22" s="15" t="s">
        <v>29</v>
      </c>
      <c r="C22" s="16" t="s">
        <v>28</v>
      </c>
      <c r="D22" s="17">
        <v>0.79620000000000002</v>
      </c>
      <c r="E22" s="18">
        <v>10115717</v>
      </c>
      <c r="F22" s="19">
        <v>0</v>
      </c>
      <c r="G22" s="19">
        <v>0</v>
      </c>
      <c r="H22" s="20">
        <v>0</v>
      </c>
      <c r="I22" s="19">
        <v>0</v>
      </c>
      <c r="J22" s="19">
        <v>0</v>
      </c>
      <c r="K22" s="19">
        <v>0</v>
      </c>
      <c r="L22" s="21" t="s">
        <v>0</v>
      </c>
    </row>
    <row r="23" spans="1:12">
      <c r="A23" s="14" t="s">
        <v>0</v>
      </c>
      <c r="B23" s="15" t="s">
        <v>30</v>
      </c>
      <c r="C23" s="16" t="s">
        <v>28</v>
      </c>
      <c r="D23" s="17">
        <v>0.79620000000000002</v>
      </c>
      <c r="E23" s="18">
        <v>10115718</v>
      </c>
      <c r="F23" s="19">
        <v>0</v>
      </c>
      <c r="G23" s="19">
        <v>0</v>
      </c>
      <c r="H23" s="20">
        <v>0</v>
      </c>
      <c r="I23" s="19">
        <v>0</v>
      </c>
      <c r="J23" s="19">
        <v>0</v>
      </c>
      <c r="K23" s="19">
        <v>0</v>
      </c>
      <c r="L23" s="21" t="s">
        <v>0</v>
      </c>
    </row>
    <row r="24" spans="1:12">
      <c r="A24" s="14" t="s">
        <v>0</v>
      </c>
      <c r="B24" s="15" t="s">
        <v>31</v>
      </c>
      <c r="C24" s="16" t="s">
        <v>32</v>
      </c>
      <c r="D24" s="17">
        <v>0.86270000000000002</v>
      </c>
      <c r="E24" s="18">
        <v>10115713</v>
      </c>
      <c r="F24" s="19">
        <v>0</v>
      </c>
      <c r="G24" s="19">
        <v>0</v>
      </c>
      <c r="H24" s="20">
        <v>0</v>
      </c>
      <c r="I24" s="19">
        <v>0</v>
      </c>
      <c r="J24" s="19">
        <v>0</v>
      </c>
      <c r="K24" s="19">
        <v>0</v>
      </c>
      <c r="L24" s="21" t="s">
        <v>0</v>
      </c>
    </row>
    <row r="25" spans="1:12">
      <c r="A25" s="14" t="s">
        <v>0</v>
      </c>
      <c r="B25" s="15" t="s">
        <v>33</v>
      </c>
      <c r="C25" s="16" t="s">
        <v>32</v>
      </c>
      <c r="D25" s="17">
        <v>0.86270000000000002</v>
      </c>
      <c r="E25" s="18">
        <v>10115714</v>
      </c>
      <c r="F25" s="19">
        <v>0</v>
      </c>
      <c r="G25" s="19">
        <v>0</v>
      </c>
      <c r="H25" s="20">
        <v>0</v>
      </c>
      <c r="I25" s="19">
        <v>0</v>
      </c>
      <c r="J25" s="19">
        <v>0</v>
      </c>
      <c r="K25" s="19">
        <v>0</v>
      </c>
      <c r="L25" s="21" t="s">
        <v>0</v>
      </c>
    </row>
    <row r="26" spans="1:12">
      <c r="A26" s="14" t="s">
        <v>0</v>
      </c>
      <c r="B26" s="15" t="s">
        <v>34</v>
      </c>
      <c r="C26" s="16" t="s">
        <v>32</v>
      </c>
      <c r="D26" s="17">
        <v>0.86270000000000002</v>
      </c>
      <c r="E26" s="18">
        <v>10115715</v>
      </c>
      <c r="F26" s="19">
        <v>0</v>
      </c>
      <c r="G26" s="19">
        <v>0</v>
      </c>
      <c r="H26" s="20">
        <v>0</v>
      </c>
      <c r="I26" s="19">
        <v>0</v>
      </c>
      <c r="J26" s="19">
        <v>0</v>
      </c>
      <c r="K26" s="19">
        <v>0</v>
      </c>
      <c r="L26" s="21" t="s">
        <v>0</v>
      </c>
    </row>
    <row r="27" spans="1:12">
      <c r="A27" s="14" t="s">
        <v>0</v>
      </c>
      <c r="B27" s="15" t="s">
        <v>35</v>
      </c>
      <c r="C27" s="16" t="s">
        <v>36</v>
      </c>
      <c r="D27" s="17">
        <v>0.7601</v>
      </c>
      <c r="E27" s="18">
        <v>10115707</v>
      </c>
      <c r="F27" s="19">
        <v>0</v>
      </c>
      <c r="G27" s="19">
        <v>0</v>
      </c>
      <c r="H27" s="20">
        <v>0</v>
      </c>
      <c r="I27" s="19">
        <v>0</v>
      </c>
      <c r="J27" s="19">
        <v>0</v>
      </c>
      <c r="K27" s="19">
        <v>0</v>
      </c>
      <c r="L27" s="21" t="s">
        <v>0</v>
      </c>
    </row>
    <row r="28" spans="1:12">
      <c r="A28" s="14" t="s">
        <v>0</v>
      </c>
      <c r="B28" s="15" t="s">
        <v>37</v>
      </c>
      <c r="C28" s="16" t="s">
        <v>36</v>
      </c>
      <c r="D28" s="17">
        <v>0.7601</v>
      </c>
      <c r="E28" s="18">
        <v>10115708</v>
      </c>
      <c r="F28" s="19">
        <v>0</v>
      </c>
      <c r="G28" s="19">
        <v>0</v>
      </c>
      <c r="H28" s="20">
        <v>0</v>
      </c>
      <c r="I28" s="19">
        <v>0</v>
      </c>
      <c r="J28" s="19">
        <v>0</v>
      </c>
      <c r="K28" s="19">
        <v>0</v>
      </c>
      <c r="L28" s="21" t="s">
        <v>0</v>
      </c>
    </row>
    <row r="29" spans="1:12">
      <c r="A29" s="14" t="s">
        <v>0</v>
      </c>
      <c r="B29" s="15" t="s">
        <v>38</v>
      </c>
      <c r="C29" s="16" t="s">
        <v>36</v>
      </c>
      <c r="D29" s="17">
        <v>0.7601</v>
      </c>
      <c r="E29" s="18">
        <v>10115709</v>
      </c>
      <c r="F29" s="19">
        <v>0</v>
      </c>
      <c r="G29" s="19">
        <v>0</v>
      </c>
      <c r="H29" s="20">
        <v>0</v>
      </c>
      <c r="I29" s="19">
        <v>0</v>
      </c>
      <c r="J29" s="19">
        <v>0</v>
      </c>
      <c r="K29" s="19">
        <v>0</v>
      </c>
      <c r="L29" s="21" t="s">
        <v>0</v>
      </c>
    </row>
    <row r="30" spans="1:12">
      <c r="A30" s="14" t="s">
        <v>0</v>
      </c>
      <c r="B30" s="22" t="s">
        <v>0</v>
      </c>
      <c r="C30" s="22" t="s">
        <v>0</v>
      </c>
      <c r="D30" s="22" t="s">
        <v>0</v>
      </c>
      <c r="E30" s="22" t="s">
        <v>0</v>
      </c>
      <c r="F30" s="22" t="s">
        <v>0</v>
      </c>
      <c r="G30" s="22" t="s">
        <v>0</v>
      </c>
      <c r="H30" s="22" t="s">
        <v>0</v>
      </c>
      <c r="I30" s="22" t="s">
        <v>0</v>
      </c>
      <c r="J30" s="22" t="s">
        <v>0</v>
      </c>
      <c r="K30" s="22" t="s">
        <v>0</v>
      </c>
      <c r="L30" s="14" t="s">
        <v>0</v>
      </c>
    </row>
    <row r="31" spans="1:12" ht="15.75">
      <c r="A31" s="7" t="s">
        <v>0</v>
      </c>
      <c r="B31" s="23" t="s">
        <v>39</v>
      </c>
      <c r="C31" s="24" t="s">
        <v>0</v>
      </c>
      <c r="D31" s="25" t="s">
        <v>0</v>
      </c>
    </row>
    <row r="32" spans="1:12" ht="15.75">
      <c r="A32" s="7" t="s">
        <v>0</v>
      </c>
      <c r="B32" s="26" t="s">
        <v>0</v>
      </c>
      <c r="C32" s="27" t="s">
        <v>40</v>
      </c>
      <c r="D32" s="28" t="s">
        <v>0</v>
      </c>
    </row>
    <row r="33" spans="1:12">
      <c r="A33" s="7" t="s">
        <v>0</v>
      </c>
      <c r="B33" s="29" t="s">
        <v>41</v>
      </c>
      <c r="C33" s="30">
        <v>0</v>
      </c>
      <c r="D33" s="31" t="s">
        <v>0</v>
      </c>
    </row>
    <row r="34" spans="1:12">
      <c r="A34" s="7" t="s">
        <v>0</v>
      </c>
      <c r="B34" s="15" t="s">
        <v>42</v>
      </c>
      <c r="C34" s="32">
        <v>2</v>
      </c>
      <c r="D34" s="31" t="s">
        <v>0</v>
      </c>
    </row>
    <row r="35" spans="1:12">
      <c r="A35" s="7" t="s">
        <v>0</v>
      </c>
      <c r="B35" s="22" t="s">
        <v>0</v>
      </c>
      <c r="C35" s="33" t="s">
        <v>0</v>
      </c>
      <c r="D35" s="34" t="s">
        <v>0</v>
      </c>
    </row>
    <row r="36" spans="1:12" ht="15.75">
      <c r="A36" s="7" t="s">
        <v>0</v>
      </c>
      <c r="B36" s="23" t="s">
        <v>43</v>
      </c>
      <c r="C36" s="24" t="s">
        <v>0</v>
      </c>
      <c r="D36" s="24" t="s">
        <v>0</v>
      </c>
      <c r="E36" s="24" t="s">
        <v>0</v>
      </c>
      <c r="F36" s="24" t="s">
        <v>0</v>
      </c>
      <c r="G36" s="24" t="s">
        <v>0</v>
      </c>
      <c r="H36" s="24" t="s">
        <v>0</v>
      </c>
      <c r="I36" s="24" t="s">
        <v>0</v>
      </c>
      <c r="J36" s="35" t="s">
        <v>0</v>
      </c>
      <c r="K36" s="36" t="s">
        <v>0</v>
      </c>
      <c r="L36" s="36" t="s">
        <v>0</v>
      </c>
    </row>
    <row r="37" spans="1:12" ht="31.5">
      <c r="A37" s="7" t="s">
        <v>0</v>
      </c>
      <c r="B37" s="37" t="s">
        <v>44</v>
      </c>
      <c r="C37" s="38" t="s">
        <v>5</v>
      </c>
      <c r="D37" s="38" t="s">
        <v>6</v>
      </c>
      <c r="E37" s="38" t="s">
        <v>45</v>
      </c>
      <c r="F37" s="39" t="s">
        <v>46</v>
      </c>
      <c r="G37" s="38" t="s">
        <v>10</v>
      </c>
      <c r="H37" s="38" t="s">
        <v>47</v>
      </c>
      <c r="I37" s="38" t="s">
        <v>12</v>
      </c>
      <c r="J37" s="40" t="s">
        <v>13</v>
      </c>
      <c r="K37" s="41" t="s">
        <v>0</v>
      </c>
      <c r="L37" s="41" t="s">
        <v>0</v>
      </c>
    </row>
    <row r="38" spans="1:12">
      <c r="A38" s="14" t="s">
        <v>0</v>
      </c>
      <c r="B38" s="42" t="s">
        <v>48</v>
      </c>
      <c r="C38" s="16" t="s">
        <v>15</v>
      </c>
      <c r="D38" s="17">
        <v>1</v>
      </c>
      <c r="E38" s="19">
        <v>42455659.520000003</v>
      </c>
      <c r="F38" s="19">
        <v>8762000</v>
      </c>
      <c r="G38" s="43">
        <v>51217659.520000003</v>
      </c>
      <c r="H38" s="19">
        <v>42455659.520000003</v>
      </c>
      <c r="I38" s="19">
        <v>8762000</v>
      </c>
      <c r="J38" s="44">
        <v>51217659.520000003</v>
      </c>
      <c r="K38" s="14" t="s">
        <v>0</v>
      </c>
      <c r="L38" s="14" t="s">
        <v>0</v>
      </c>
    </row>
    <row r="39" spans="1:12">
      <c r="A39" s="14" t="s">
        <v>0</v>
      </c>
      <c r="B39" s="42" t="s">
        <v>49</v>
      </c>
      <c r="C39" s="16" t="s">
        <v>15</v>
      </c>
      <c r="D39" s="17">
        <v>1</v>
      </c>
      <c r="E39" s="19">
        <v>0</v>
      </c>
      <c r="F39" s="19">
        <v>-7.4505805969238298E-9</v>
      </c>
      <c r="G39" s="43">
        <v>-7.4505805969238298E-9</v>
      </c>
      <c r="H39" s="19">
        <v>0</v>
      </c>
      <c r="I39" s="19">
        <v>-7.4505805969238298E-9</v>
      </c>
      <c r="J39" s="44">
        <v>-7.4505805969238298E-9</v>
      </c>
      <c r="K39" s="14" t="s">
        <v>0</v>
      </c>
      <c r="L39" s="14" t="s">
        <v>0</v>
      </c>
    </row>
    <row r="40" spans="1:12">
      <c r="A40" s="14" t="s">
        <v>0</v>
      </c>
      <c r="B40" s="45" t="s">
        <v>50</v>
      </c>
      <c r="C40" s="46" t="s">
        <v>15</v>
      </c>
      <c r="D40" s="47">
        <v>1</v>
      </c>
      <c r="E40" s="48">
        <v>42455659.520000003</v>
      </c>
      <c r="F40" s="48">
        <v>8761999.9999999907</v>
      </c>
      <c r="G40" s="49">
        <v>51217659.520000003</v>
      </c>
      <c r="H40" s="48">
        <v>42455659.520000003</v>
      </c>
      <c r="I40" s="48">
        <v>8761999.9999999907</v>
      </c>
      <c r="J40" s="50">
        <v>51217659.520000003</v>
      </c>
      <c r="K40" s="14" t="s">
        <v>0</v>
      </c>
      <c r="L40" s="14" t="s">
        <v>0</v>
      </c>
    </row>
    <row r="41" spans="1:12">
      <c r="A41" s="14" t="s">
        <v>0</v>
      </c>
      <c r="B41" s="42" t="s">
        <v>48</v>
      </c>
      <c r="C41" s="16" t="s">
        <v>20</v>
      </c>
      <c r="D41" s="17">
        <v>1.54</v>
      </c>
      <c r="E41" s="19">
        <v>0</v>
      </c>
      <c r="F41" s="19">
        <v>0</v>
      </c>
      <c r="G41" s="43">
        <v>0</v>
      </c>
      <c r="H41" s="19">
        <v>0</v>
      </c>
      <c r="I41" s="19">
        <v>0</v>
      </c>
      <c r="J41" s="44">
        <v>0</v>
      </c>
      <c r="K41" s="14" t="s">
        <v>0</v>
      </c>
      <c r="L41" s="14" t="s">
        <v>0</v>
      </c>
    </row>
    <row r="42" spans="1:12">
      <c r="A42" s="14" t="s">
        <v>0</v>
      </c>
      <c r="B42" s="42" t="s">
        <v>49</v>
      </c>
      <c r="C42" s="16" t="s">
        <v>20</v>
      </c>
      <c r="D42" s="17">
        <v>1.54</v>
      </c>
      <c r="E42" s="19">
        <v>0</v>
      </c>
      <c r="F42" s="19">
        <v>0</v>
      </c>
      <c r="G42" s="43">
        <v>0</v>
      </c>
      <c r="H42" s="19">
        <v>0</v>
      </c>
      <c r="I42" s="19">
        <v>0</v>
      </c>
      <c r="J42" s="44">
        <v>0</v>
      </c>
      <c r="K42" s="14" t="s">
        <v>0</v>
      </c>
      <c r="L42" s="14" t="s">
        <v>0</v>
      </c>
    </row>
    <row r="43" spans="1:12">
      <c r="A43" s="14" t="s">
        <v>0</v>
      </c>
      <c r="B43" s="45" t="s">
        <v>50</v>
      </c>
      <c r="C43" s="46" t="s">
        <v>20</v>
      </c>
      <c r="D43" s="47">
        <v>1.54</v>
      </c>
      <c r="E43" s="48">
        <v>0</v>
      </c>
      <c r="F43" s="48">
        <v>0</v>
      </c>
      <c r="G43" s="49">
        <v>0</v>
      </c>
      <c r="H43" s="48">
        <v>0</v>
      </c>
      <c r="I43" s="48">
        <v>0</v>
      </c>
      <c r="J43" s="50">
        <v>0</v>
      </c>
      <c r="K43" s="14" t="s">
        <v>0</v>
      </c>
      <c r="L43" s="14" t="s">
        <v>0</v>
      </c>
    </row>
    <row r="44" spans="1:12">
      <c r="A44" s="14" t="s">
        <v>0</v>
      </c>
      <c r="B44" s="42" t="s">
        <v>48</v>
      </c>
      <c r="C44" s="16" t="s">
        <v>24</v>
      </c>
      <c r="D44" s="17">
        <v>1.4055</v>
      </c>
      <c r="E44" s="19">
        <v>0</v>
      </c>
      <c r="F44" s="19">
        <v>0</v>
      </c>
      <c r="G44" s="43">
        <v>0</v>
      </c>
      <c r="H44" s="19">
        <v>0</v>
      </c>
      <c r="I44" s="19">
        <v>0</v>
      </c>
      <c r="J44" s="44">
        <v>0</v>
      </c>
      <c r="K44" s="14" t="s">
        <v>0</v>
      </c>
      <c r="L44" s="14" t="s">
        <v>0</v>
      </c>
    </row>
    <row r="45" spans="1:12">
      <c r="A45" s="14" t="s">
        <v>0</v>
      </c>
      <c r="B45" s="42" t="s">
        <v>49</v>
      </c>
      <c r="C45" s="16" t="s">
        <v>24</v>
      </c>
      <c r="D45" s="17">
        <v>1.4055</v>
      </c>
      <c r="E45" s="19">
        <v>0</v>
      </c>
      <c r="F45" s="19">
        <v>0</v>
      </c>
      <c r="G45" s="43">
        <v>0</v>
      </c>
      <c r="H45" s="19">
        <v>0</v>
      </c>
      <c r="I45" s="19">
        <v>0</v>
      </c>
      <c r="J45" s="44">
        <v>0</v>
      </c>
      <c r="K45" s="14" t="s">
        <v>0</v>
      </c>
      <c r="L45" s="14" t="s">
        <v>0</v>
      </c>
    </row>
    <row r="46" spans="1:12">
      <c r="A46" s="14" t="s">
        <v>0</v>
      </c>
      <c r="B46" s="45" t="s">
        <v>50</v>
      </c>
      <c r="C46" s="46" t="s">
        <v>24</v>
      </c>
      <c r="D46" s="47">
        <v>1.4055</v>
      </c>
      <c r="E46" s="48">
        <v>0</v>
      </c>
      <c r="F46" s="48">
        <v>0</v>
      </c>
      <c r="G46" s="49">
        <v>0</v>
      </c>
      <c r="H46" s="48">
        <v>0</v>
      </c>
      <c r="I46" s="48">
        <v>0</v>
      </c>
      <c r="J46" s="50">
        <v>0</v>
      </c>
      <c r="K46" s="14" t="s">
        <v>0</v>
      </c>
      <c r="L46" s="14" t="s">
        <v>0</v>
      </c>
    </row>
    <row r="47" spans="1:12">
      <c r="A47" s="14" t="s">
        <v>0</v>
      </c>
      <c r="B47" s="42" t="s">
        <v>48</v>
      </c>
      <c r="C47" s="16" t="s">
        <v>28</v>
      </c>
      <c r="D47" s="17">
        <v>0.79620000000000002</v>
      </c>
      <c r="E47" s="19">
        <v>0</v>
      </c>
      <c r="F47" s="19">
        <v>0</v>
      </c>
      <c r="G47" s="43">
        <v>0</v>
      </c>
      <c r="H47" s="19">
        <v>0</v>
      </c>
      <c r="I47" s="19">
        <v>0</v>
      </c>
      <c r="J47" s="44">
        <v>0</v>
      </c>
      <c r="K47" s="14" t="s">
        <v>0</v>
      </c>
      <c r="L47" s="14" t="s">
        <v>0</v>
      </c>
    </row>
    <row r="48" spans="1:12">
      <c r="A48" s="14" t="s">
        <v>0</v>
      </c>
      <c r="B48" s="42" t="s">
        <v>49</v>
      </c>
      <c r="C48" s="16" t="s">
        <v>28</v>
      </c>
      <c r="D48" s="17">
        <v>0.79620000000000002</v>
      </c>
      <c r="E48" s="19">
        <v>0</v>
      </c>
      <c r="F48" s="19">
        <v>0</v>
      </c>
      <c r="G48" s="43">
        <v>0</v>
      </c>
      <c r="H48" s="19">
        <v>0</v>
      </c>
      <c r="I48" s="19">
        <v>0</v>
      </c>
      <c r="J48" s="44">
        <v>0</v>
      </c>
      <c r="K48" s="14" t="s">
        <v>0</v>
      </c>
      <c r="L48" s="14" t="s">
        <v>0</v>
      </c>
    </row>
    <row r="49" spans="1:12">
      <c r="A49" s="14" t="s">
        <v>0</v>
      </c>
      <c r="B49" s="45" t="s">
        <v>50</v>
      </c>
      <c r="C49" s="46" t="s">
        <v>28</v>
      </c>
      <c r="D49" s="47">
        <v>0.79620000000000002</v>
      </c>
      <c r="E49" s="48">
        <v>0</v>
      </c>
      <c r="F49" s="48">
        <v>0</v>
      </c>
      <c r="G49" s="49">
        <v>0</v>
      </c>
      <c r="H49" s="48">
        <v>0</v>
      </c>
      <c r="I49" s="48">
        <v>0</v>
      </c>
      <c r="J49" s="50">
        <v>0</v>
      </c>
      <c r="K49" s="14" t="s">
        <v>0</v>
      </c>
      <c r="L49" s="14" t="s">
        <v>0</v>
      </c>
    </row>
    <row r="50" spans="1:12">
      <c r="A50" s="14" t="s">
        <v>0</v>
      </c>
      <c r="B50" s="42" t="s">
        <v>48</v>
      </c>
      <c r="C50" s="16" t="s">
        <v>32</v>
      </c>
      <c r="D50" s="17">
        <v>0.86270000000000002</v>
      </c>
      <c r="E50" s="19">
        <v>0</v>
      </c>
      <c r="F50" s="19">
        <v>0</v>
      </c>
      <c r="G50" s="43">
        <v>0</v>
      </c>
      <c r="H50" s="19">
        <v>0</v>
      </c>
      <c r="I50" s="19">
        <v>0</v>
      </c>
      <c r="J50" s="44">
        <v>0</v>
      </c>
      <c r="K50" s="14" t="s">
        <v>0</v>
      </c>
      <c r="L50" s="14" t="s">
        <v>0</v>
      </c>
    </row>
    <row r="51" spans="1:12">
      <c r="A51" s="14" t="s">
        <v>0</v>
      </c>
      <c r="B51" s="42" t="s">
        <v>49</v>
      </c>
      <c r="C51" s="16" t="s">
        <v>32</v>
      </c>
      <c r="D51" s="17">
        <v>0.86270000000000002</v>
      </c>
      <c r="E51" s="19">
        <v>0</v>
      </c>
      <c r="F51" s="19">
        <v>0</v>
      </c>
      <c r="G51" s="43">
        <v>0</v>
      </c>
      <c r="H51" s="19">
        <v>0</v>
      </c>
      <c r="I51" s="19">
        <v>0</v>
      </c>
      <c r="J51" s="44">
        <v>0</v>
      </c>
      <c r="K51" s="14" t="s">
        <v>0</v>
      </c>
      <c r="L51" s="14" t="s">
        <v>0</v>
      </c>
    </row>
    <row r="52" spans="1:12">
      <c r="A52" s="14" t="s">
        <v>0</v>
      </c>
      <c r="B52" s="45" t="s">
        <v>50</v>
      </c>
      <c r="C52" s="46" t="s">
        <v>32</v>
      </c>
      <c r="D52" s="47">
        <v>0.86270000000000002</v>
      </c>
      <c r="E52" s="48">
        <v>0</v>
      </c>
      <c r="F52" s="48">
        <v>0</v>
      </c>
      <c r="G52" s="49">
        <v>0</v>
      </c>
      <c r="H52" s="48">
        <v>0</v>
      </c>
      <c r="I52" s="48">
        <v>0</v>
      </c>
      <c r="J52" s="50">
        <v>0</v>
      </c>
      <c r="K52" s="14" t="s">
        <v>0</v>
      </c>
      <c r="L52" s="14" t="s">
        <v>0</v>
      </c>
    </row>
    <row r="53" spans="1:12">
      <c r="A53" s="14" t="s">
        <v>0</v>
      </c>
      <c r="B53" s="42" t="s">
        <v>48</v>
      </c>
      <c r="C53" s="16" t="s">
        <v>36</v>
      </c>
      <c r="D53" s="17">
        <v>0.7601</v>
      </c>
      <c r="E53" s="19">
        <v>0</v>
      </c>
      <c r="F53" s="19">
        <v>0</v>
      </c>
      <c r="G53" s="43">
        <v>0</v>
      </c>
      <c r="H53" s="19">
        <v>0</v>
      </c>
      <c r="I53" s="19">
        <v>0</v>
      </c>
      <c r="J53" s="44">
        <v>0</v>
      </c>
      <c r="K53" s="14" t="s">
        <v>0</v>
      </c>
      <c r="L53" s="14" t="s">
        <v>0</v>
      </c>
    </row>
    <row r="54" spans="1:12">
      <c r="A54" s="14" t="s">
        <v>0</v>
      </c>
      <c r="B54" s="42" t="s">
        <v>49</v>
      </c>
      <c r="C54" s="16" t="s">
        <v>36</v>
      </c>
      <c r="D54" s="17">
        <v>0.7601</v>
      </c>
      <c r="E54" s="19">
        <v>0</v>
      </c>
      <c r="F54" s="19">
        <v>0</v>
      </c>
      <c r="G54" s="43">
        <v>0</v>
      </c>
      <c r="H54" s="19">
        <v>0</v>
      </c>
      <c r="I54" s="19">
        <v>0</v>
      </c>
      <c r="J54" s="44">
        <v>0</v>
      </c>
      <c r="K54" s="14" t="s">
        <v>0</v>
      </c>
      <c r="L54" s="14" t="s">
        <v>0</v>
      </c>
    </row>
    <row r="55" spans="1:12">
      <c r="A55" s="14" t="s">
        <v>0</v>
      </c>
      <c r="B55" s="45" t="s">
        <v>50</v>
      </c>
      <c r="C55" s="46" t="s">
        <v>36</v>
      </c>
      <c r="D55" s="47">
        <v>0.7601</v>
      </c>
      <c r="E55" s="48">
        <v>0</v>
      </c>
      <c r="F55" s="48">
        <v>0</v>
      </c>
      <c r="G55" s="49">
        <v>0</v>
      </c>
      <c r="H55" s="48">
        <v>0</v>
      </c>
      <c r="I55" s="48">
        <v>0</v>
      </c>
      <c r="J55" s="50">
        <v>0</v>
      </c>
      <c r="K55" s="14" t="s">
        <v>0</v>
      </c>
      <c r="L55" s="14" t="s">
        <v>0</v>
      </c>
    </row>
    <row r="56" spans="1:12">
      <c r="A56" s="7" t="s">
        <v>0</v>
      </c>
      <c r="B56" s="22" t="s">
        <v>0</v>
      </c>
      <c r="C56" s="22" t="s">
        <v>0</v>
      </c>
      <c r="D56" s="22" t="s">
        <v>0</v>
      </c>
      <c r="E56" s="22" t="s">
        <v>0</v>
      </c>
      <c r="F56" s="22" t="s">
        <v>0</v>
      </c>
      <c r="G56" s="22" t="s">
        <v>0</v>
      </c>
      <c r="H56" s="22" t="s">
        <v>0</v>
      </c>
      <c r="I56" s="22" t="s">
        <v>0</v>
      </c>
      <c r="J56" s="22" t="s">
        <v>0</v>
      </c>
      <c r="K56" s="14" t="s">
        <v>0</v>
      </c>
      <c r="L56" s="14" t="s">
        <v>0</v>
      </c>
    </row>
    <row r="57" spans="1:12">
      <c r="A57" s="7" t="s">
        <v>0</v>
      </c>
      <c r="B57" s="14" t="s">
        <v>0</v>
      </c>
      <c r="C57" s="14" t="s">
        <v>0</v>
      </c>
      <c r="D57" s="14" t="s">
        <v>0</v>
      </c>
      <c r="E57" s="14" t="s">
        <v>0</v>
      </c>
      <c r="F57" s="14" t="s">
        <v>0</v>
      </c>
      <c r="G57" s="14" t="s">
        <v>0</v>
      </c>
      <c r="H57" s="14" t="s">
        <v>0</v>
      </c>
      <c r="I57" s="14" t="s">
        <v>0</v>
      </c>
      <c r="J57" s="14" t="s">
        <v>0</v>
      </c>
      <c r="K57" s="14" t="s">
        <v>0</v>
      </c>
      <c r="L57" s="14" t="s">
        <v>0</v>
      </c>
    </row>
    <row r="58" spans="1:12">
      <c r="A58" s="7" t="s">
        <v>0</v>
      </c>
      <c r="B58" s="14" t="s">
        <v>0</v>
      </c>
      <c r="C58" s="14" t="s">
        <v>0</v>
      </c>
      <c r="D58" s="14" t="s">
        <v>0</v>
      </c>
      <c r="E58" s="14" t="s">
        <v>0</v>
      </c>
      <c r="F58" s="14" t="s">
        <v>0</v>
      </c>
      <c r="G58" s="14" t="s">
        <v>0</v>
      </c>
      <c r="H58" s="14" t="s">
        <v>0</v>
      </c>
      <c r="I58" s="14" t="s">
        <v>0</v>
      </c>
      <c r="J58" s="14" t="s">
        <v>0</v>
      </c>
      <c r="K58" s="14" t="s">
        <v>0</v>
      </c>
      <c r="L58" s="14" t="s">
        <v>0</v>
      </c>
    </row>
    <row r="59" spans="1:12">
      <c r="A59" s="7" t="s">
        <v>0</v>
      </c>
      <c r="B59" s="14" t="s">
        <v>0</v>
      </c>
      <c r="C59" s="14" t="s">
        <v>0</v>
      </c>
      <c r="D59" s="14" t="s">
        <v>0</v>
      </c>
      <c r="E59" s="14" t="s">
        <v>0</v>
      </c>
      <c r="F59" s="14" t="s">
        <v>0</v>
      </c>
      <c r="G59" s="14" t="s">
        <v>0</v>
      </c>
      <c r="H59" s="14" t="s">
        <v>0</v>
      </c>
      <c r="I59" s="14" t="s">
        <v>0</v>
      </c>
      <c r="J59" s="14" t="s">
        <v>0</v>
      </c>
      <c r="K59" s="14" t="s">
        <v>0</v>
      </c>
      <c r="L59" s="14" t="s">
        <v>0</v>
      </c>
    </row>
    <row r="60" spans="1:12" ht="0" hidden="1" customHeight="1"/>
    <row r="61" spans="1:12" ht="21.75" customHeight="1"/>
  </sheetData>
  <mergeCells count="2">
    <mergeCell ref="B2:B5"/>
    <mergeCell ref="C2:F5"/>
  </mergeCells>
  <hyperlinks>
    <hyperlink ref="B11" location="'Transactions'!N51" display="Collateral Account" xr:uid="{00000000-0004-0000-0000-000000000000}"/>
    <hyperlink ref="B12" location="'Transactions'!O51" display="Interest Collection Account" xr:uid="{00000000-0004-0000-0000-000001000000}"/>
    <hyperlink ref="B13" location="'Transactions'!P51" display="Principal Collection Account" xr:uid="{00000000-0004-0000-0000-000002000000}"/>
    <hyperlink ref="B14" location="'Transactions'!Q51" display="Unfunded Exposure Account" xr:uid="{00000000-0004-0000-0000-000003000000}"/>
    <hyperlink ref="B15" location="'Transactions'!R51" display="AUD Interest Collection Account" xr:uid="{00000000-0004-0000-0000-000004000000}"/>
    <hyperlink ref="B16" location="'Transactions'!S51" display="AUD Principal Collection Account" xr:uid="{00000000-0004-0000-0000-000005000000}"/>
    <hyperlink ref="B17" location="'Transactions'!T51" display="AUD Unfunded Exposure Account" xr:uid="{00000000-0004-0000-0000-000006000000}"/>
    <hyperlink ref="B18" location="'Transactions'!U51" display="CAD Interest Collection Account" xr:uid="{00000000-0004-0000-0000-000007000000}"/>
    <hyperlink ref="B19" location="'Transactions'!V51" display="CAD Principal Collection Account" xr:uid="{00000000-0004-0000-0000-000008000000}"/>
    <hyperlink ref="B20" location="'Transactions'!W51" display="CAD Unfunded Exposure Account" xr:uid="{00000000-0004-0000-0000-000009000000}"/>
    <hyperlink ref="B21" location="'Transactions'!X51" display="CHF Interest Collection Account" xr:uid="{00000000-0004-0000-0000-00000A000000}"/>
    <hyperlink ref="B22" location="'Transactions'!Y51" display="CHF Principal Collection Account" xr:uid="{00000000-0004-0000-0000-00000B000000}"/>
    <hyperlink ref="B23" location="'Transactions'!Z51" display="CHF Unfunded Exposure Account" xr:uid="{00000000-0004-0000-0000-00000C000000}"/>
    <hyperlink ref="B24" location="'Transactions'!AA51" display="EUR Interest Collection Account" xr:uid="{00000000-0004-0000-0000-00000D000000}"/>
    <hyperlink ref="B25" location="'Transactions'!AB51" display="EUR Principal Collection Account" xr:uid="{00000000-0004-0000-0000-00000E000000}"/>
    <hyperlink ref="B26" location="'Transactions'!AC51" display="EUR Unfunded Exposure Account" xr:uid="{00000000-0004-0000-0000-00000F000000}"/>
    <hyperlink ref="B27" location="'Transactions'!AD51" display="GBP Interest Collection Account" xr:uid="{00000000-0004-0000-0000-000010000000}"/>
    <hyperlink ref="B28" location="'Transactions'!AE51" display="GBP Principal Collection Account" xr:uid="{00000000-0004-0000-0000-000011000000}"/>
    <hyperlink ref="B29" location="'Transactions'!AF51" display="GBP Unfunded Exposure Account" xr:uid="{00000000-0004-0000-0000-000012000000}"/>
    <hyperlink ref="B33" location="'Outstanding Payments'!A9" display="Unapplied Transactions" xr:uid="{00000000-0004-0000-0000-000013000000}"/>
    <hyperlink ref="B34" location="'Outstanding Payments'!A17" display="Past Due Receivables" xr:uid="{00000000-0004-0000-0000-000014000000}"/>
    <hyperlink ref="B37" location="'Holdings'!A9" display="Positions" xr:uid="{00000000-0004-0000-0000-000015000000}"/>
    <hyperlink ref="F37" location="'Pending Trades'!A11" display="Pending Trades_x000a_(Currency)" xr:uid="{00000000-0004-0000-0000-000016000000}"/>
  </hyperlinks>
  <pageMargins left="1" right="1" top="1" bottom="1.45" header="1" footer="1"/>
  <pageSetup orientation="portrait" horizontalDpi="300" verticalDpi="300"/>
  <headerFooter alignWithMargins="0">
    <oddFooter>&amp;R&amp;"Segoe UI,Regular"&amp;10 11/18/2025 7:09:18 PM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2"/>
  <sheetViews>
    <sheetView showGridLines="0" zoomScale="85" workbookViewId="0"/>
  </sheetViews>
  <sheetFormatPr defaultRowHeight="15"/>
  <cols>
    <col min="1" max="3" width="11.7109375" customWidth="1"/>
    <col min="4" max="4" width="32.85546875" customWidth="1"/>
    <col min="5" max="5" width="37.7109375" customWidth="1"/>
    <col min="6" max="6" width="12.5703125" customWidth="1"/>
    <col min="7" max="7" width="27.42578125" customWidth="1"/>
    <col min="8" max="8" width="11.140625" customWidth="1"/>
    <col min="9" max="9" width="13.7109375" customWidth="1"/>
    <col min="10" max="10" width="20.5703125" customWidth="1"/>
    <col min="11" max="11" width="11.7109375" customWidth="1"/>
    <col min="12" max="50" width="20.5703125" customWidth="1"/>
    <col min="51" max="52" width="13.7109375" customWidth="1"/>
    <col min="53" max="53" width="6.140625" customWidth="1"/>
  </cols>
  <sheetData>
    <row r="1" spans="1:51" ht="14.45" customHeight="1">
      <c r="A1" s="171"/>
      <c r="B1" s="17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148" t="s">
        <v>0</v>
      </c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48" t="s">
        <v>0</v>
      </c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51" t="s">
        <v>0</v>
      </c>
    </row>
    <row r="2" spans="1:51" ht="14.45" customHeight="1">
      <c r="A2" s="171"/>
      <c r="B2" s="171"/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148" t="s">
        <v>0</v>
      </c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48" t="s">
        <v>0</v>
      </c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51" t="s">
        <v>0</v>
      </c>
    </row>
    <row r="3" spans="1:51" ht="14.45" customHeight="1">
      <c r="A3" s="171"/>
      <c r="B3" s="171"/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148" t="s">
        <v>0</v>
      </c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48" t="s">
        <v>0</v>
      </c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51" t="s">
        <v>0</v>
      </c>
    </row>
    <row r="4" spans="1:51" ht="14.45" customHeight="1">
      <c r="A4" s="171"/>
      <c r="B4" s="171"/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148" t="s">
        <v>0</v>
      </c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48" t="s">
        <v>0</v>
      </c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51" t="s">
        <v>0</v>
      </c>
    </row>
    <row r="5" spans="1:51" ht="14.45" customHeight="1">
      <c r="A5" s="171"/>
      <c r="B5" s="171"/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148" t="s">
        <v>0</v>
      </c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48" t="s">
        <v>0</v>
      </c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51" t="s">
        <v>0</v>
      </c>
    </row>
    <row r="6" spans="1:51" ht="15.7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148" t="s">
        <v>0</v>
      </c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48" t="s">
        <v>0</v>
      </c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51" t="s">
        <v>0</v>
      </c>
    </row>
    <row r="7" spans="1:51" ht="15.75">
      <c r="A7" s="154" t="s">
        <v>51</v>
      </c>
      <c r="B7" s="171"/>
      <c r="C7" s="171"/>
      <c r="D7" s="171"/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148" t="s">
        <v>0</v>
      </c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48" t="s">
        <v>0</v>
      </c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51" t="s">
        <v>0</v>
      </c>
    </row>
    <row r="8" spans="1:51" ht="15.75">
      <c r="A8" s="149" t="s">
        <v>52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1"/>
      <c r="N8" s="152" t="s">
        <v>3</v>
      </c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3" t="s">
        <v>53</v>
      </c>
      <c r="AH8" s="150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52" t="s">
        <v>0</v>
      </c>
    </row>
    <row r="9" spans="1:51" ht="31.5">
      <c r="A9" s="53" t="s">
        <v>54</v>
      </c>
      <c r="B9" s="53" t="s">
        <v>55</v>
      </c>
      <c r="C9" s="53" t="s">
        <v>56</v>
      </c>
      <c r="D9" s="53" t="s">
        <v>57</v>
      </c>
      <c r="E9" s="53" t="s">
        <v>58</v>
      </c>
      <c r="F9" s="53" t="s">
        <v>59</v>
      </c>
      <c r="G9" s="53" t="s">
        <v>60</v>
      </c>
      <c r="H9" s="53" t="s">
        <v>4</v>
      </c>
      <c r="I9" s="53" t="s">
        <v>5</v>
      </c>
      <c r="J9" s="53" t="s">
        <v>61</v>
      </c>
      <c r="K9" s="53" t="s">
        <v>62</v>
      </c>
      <c r="L9" s="53" t="s">
        <v>63</v>
      </c>
      <c r="M9" s="54" t="s">
        <v>64</v>
      </c>
      <c r="N9" s="55" t="s">
        <v>14</v>
      </c>
      <c r="O9" s="55" t="s">
        <v>16</v>
      </c>
      <c r="P9" s="55" t="s">
        <v>17</v>
      </c>
      <c r="Q9" s="55" t="s">
        <v>18</v>
      </c>
      <c r="R9" s="55" t="s">
        <v>19</v>
      </c>
      <c r="S9" s="55" t="s">
        <v>21</v>
      </c>
      <c r="T9" s="55" t="s">
        <v>22</v>
      </c>
      <c r="U9" s="55" t="s">
        <v>23</v>
      </c>
      <c r="V9" s="55" t="s">
        <v>25</v>
      </c>
      <c r="W9" s="55" t="s">
        <v>26</v>
      </c>
      <c r="X9" s="55" t="s">
        <v>27</v>
      </c>
      <c r="Y9" s="55" t="s">
        <v>29</v>
      </c>
      <c r="Z9" s="55" t="s">
        <v>30</v>
      </c>
      <c r="AA9" s="55" t="s">
        <v>31</v>
      </c>
      <c r="AB9" s="55" t="s">
        <v>33</v>
      </c>
      <c r="AC9" s="55" t="s">
        <v>34</v>
      </c>
      <c r="AD9" s="55" t="s">
        <v>35</v>
      </c>
      <c r="AE9" s="55" t="s">
        <v>37</v>
      </c>
      <c r="AF9" s="55" t="s">
        <v>38</v>
      </c>
      <c r="AG9" s="56" t="s">
        <v>65</v>
      </c>
      <c r="AH9" s="55" t="s">
        <v>66</v>
      </c>
      <c r="AI9" s="55" t="s">
        <v>67</v>
      </c>
      <c r="AJ9" s="56" t="s">
        <v>65</v>
      </c>
      <c r="AK9" s="55" t="s">
        <v>66</v>
      </c>
      <c r="AL9" s="55" t="s">
        <v>67</v>
      </c>
      <c r="AM9" s="56" t="s">
        <v>65</v>
      </c>
      <c r="AN9" s="55" t="s">
        <v>66</v>
      </c>
      <c r="AO9" s="55" t="s">
        <v>67</v>
      </c>
      <c r="AP9" s="56" t="s">
        <v>65</v>
      </c>
      <c r="AQ9" s="55" t="s">
        <v>66</v>
      </c>
      <c r="AR9" s="55" t="s">
        <v>67</v>
      </c>
      <c r="AS9" s="56" t="s">
        <v>65</v>
      </c>
      <c r="AT9" s="55" t="s">
        <v>66</v>
      </c>
      <c r="AU9" s="55" t="s">
        <v>67</v>
      </c>
      <c r="AV9" s="56" t="s">
        <v>65</v>
      </c>
      <c r="AW9" s="55" t="s">
        <v>66</v>
      </c>
      <c r="AX9" s="55" t="s">
        <v>67</v>
      </c>
      <c r="AY9" s="52" t="s">
        <v>0</v>
      </c>
    </row>
    <row r="10" spans="1:51" ht="15.75">
      <c r="A10" s="57" t="s">
        <v>0</v>
      </c>
      <c r="B10" s="57" t="s">
        <v>0</v>
      </c>
      <c r="C10" s="57" t="s">
        <v>0</v>
      </c>
      <c r="D10" s="57" t="s">
        <v>0</v>
      </c>
      <c r="E10" s="57" t="s">
        <v>0</v>
      </c>
      <c r="F10" s="57" t="s">
        <v>0</v>
      </c>
      <c r="G10" s="57" t="s">
        <v>0</v>
      </c>
      <c r="H10" s="57" t="s">
        <v>0</v>
      </c>
      <c r="I10" s="57" t="s">
        <v>0</v>
      </c>
      <c r="J10" s="57" t="s">
        <v>0</v>
      </c>
      <c r="K10" s="57" t="s">
        <v>0</v>
      </c>
      <c r="L10" s="57" t="s">
        <v>0</v>
      </c>
      <c r="M10" s="58" t="s">
        <v>0</v>
      </c>
      <c r="N10" s="59" t="s">
        <v>15</v>
      </c>
      <c r="O10" s="59" t="s">
        <v>15</v>
      </c>
      <c r="P10" s="59" t="s">
        <v>15</v>
      </c>
      <c r="Q10" s="59" t="s">
        <v>15</v>
      </c>
      <c r="R10" s="59" t="s">
        <v>20</v>
      </c>
      <c r="S10" s="59" t="s">
        <v>20</v>
      </c>
      <c r="T10" s="59" t="s">
        <v>20</v>
      </c>
      <c r="U10" s="59" t="s">
        <v>24</v>
      </c>
      <c r="V10" s="59" t="s">
        <v>24</v>
      </c>
      <c r="W10" s="59" t="s">
        <v>24</v>
      </c>
      <c r="X10" s="59" t="s">
        <v>28</v>
      </c>
      <c r="Y10" s="59" t="s">
        <v>28</v>
      </c>
      <c r="Z10" s="59" t="s">
        <v>28</v>
      </c>
      <c r="AA10" s="59" t="s">
        <v>32</v>
      </c>
      <c r="AB10" s="59" t="s">
        <v>32</v>
      </c>
      <c r="AC10" s="59" t="s">
        <v>32</v>
      </c>
      <c r="AD10" s="59" t="s">
        <v>36</v>
      </c>
      <c r="AE10" s="59" t="s">
        <v>36</v>
      </c>
      <c r="AF10" s="59" t="s">
        <v>36</v>
      </c>
      <c r="AG10" s="60" t="s">
        <v>15</v>
      </c>
      <c r="AH10" s="59" t="s">
        <v>15</v>
      </c>
      <c r="AI10" s="59" t="s">
        <v>15</v>
      </c>
      <c r="AJ10" s="60" t="s">
        <v>20</v>
      </c>
      <c r="AK10" s="59" t="s">
        <v>20</v>
      </c>
      <c r="AL10" s="59" t="s">
        <v>20</v>
      </c>
      <c r="AM10" s="60" t="s">
        <v>24</v>
      </c>
      <c r="AN10" s="59" t="s">
        <v>24</v>
      </c>
      <c r="AO10" s="59" t="s">
        <v>24</v>
      </c>
      <c r="AP10" s="60" t="s">
        <v>28</v>
      </c>
      <c r="AQ10" s="59" t="s">
        <v>28</v>
      </c>
      <c r="AR10" s="59" t="s">
        <v>28</v>
      </c>
      <c r="AS10" s="60" t="s">
        <v>32</v>
      </c>
      <c r="AT10" s="59" t="s">
        <v>32</v>
      </c>
      <c r="AU10" s="59" t="s">
        <v>32</v>
      </c>
      <c r="AV10" s="60" t="s">
        <v>36</v>
      </c>
      <c r="AW10" s="59" t="s">
        <v>36</v>
      </c>
      <c r="AX10" s="59" t="s">
        <v>36</v>
      </c>
      <c r="AY10" s="52" t="s">
        <v>0</v>
      </c>
    </row>
    <row r="11" spans="1:51" ht="15.75">
      <c r="A11" s="61" t="s">
        <v>0</v>
      </c>
      <c r="B11" s="61" t="s">
        <v>0</v>
      </c>
      <c r="C11" s="61" t="s">
        <v>0</v>
      </c>
      <c r="D11" s="62" t="s">
        <v>68</v>
      </c>
      <c r="E11" s="61" t="s">
        <v>0</v>
      </c>
      <c r="F11" s="61" t="s">
        <v>0</v>
      </c>
      <c r="G11" s="61" t="s">
        <v>0</v>
      </c>
      <c r="H11" s="61" t="s">
        <v>0</v>
      </c>
      <c r="I11" s="61" t="s">
        <v>0</v>
      </c>
      <c r="J11" s="61" t="s">
        <v>0</v>
      </c>
      <c r="K11" s="61" t="s">
        <v>0</v>
      </c>
      <c r="L11" s="61" t="s">
        <v>0</v>
      </c>
      <c r="M11" s="63" t="s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  <c r="AC11" s="64">
        <v>0</v>
      </c>
      <c r="AD11" s="64">
        <v>0</v>
      </c>
      <c r="AE11" s="64">
        <v>0</v>
      </c>
      <c r="AF11" s="64">
        <v>0</v>
      </c>
      <c r="AG11" s="65">
        <v>0</v>
      </c>
      <c r="AH11" s="64">
        <v>0</v>
      </c>
      <c r="AI11" s="64">
        <v>0</v>
      </c>
      <c r="AJ11" s="65">
        <v>0</v>
      </c>
      <c r="AK11" s="64">
        <v>0</v>
      </c>
      <c r="AL11" s="64">
        <v>0</v>
      </c>
      <c r="AM11" s="65">
        <v>0</v>
      </c>
      <c r="AN11" s="64">
        <v>0</v>
      </c>
      <c r="AO11" s="64">
        <v>0</v>
      </c>
      <c r="AP11" s="65">
        <v>0</v>
      </c>
      <c r="AQ11" s="64">
        <v>0</v>
      </c>
      <c r="AR11" s="64">
        <v>0</v>
      </c>
      <c r="AS11" s="65">
        <v>0</v>
      </c>
      <c r="AT11" s="64">
        <v>0</v>
      </c>
      <c r="AU11" s="64">
        <v>0</v>
      </c>
      <c r="AV11" s="65">
        <v>0</v>
      </c>
      <c r="AW11" s="64">
        <v>0</v>
      </c>
      <c r="AX11" s="64">
        <v>0</v>
      </c>
      <c r="AY11" s="52" t="s">
        <v>0</v>
      </c>
    </row>
    <row r="12" spans="1:51" ht="14.45" customHeight="1">
      <c r="A12" s="66">
        <v>45931</v>
      </c>
      <c r="B12" s="66">
        <v>45931</v>
      </c>
      <c r="C12" s="66">
        <v>45931</v>
      </c>
      <c r="D12" s="67" t="s">
        <v>1</v>
      </c>
      <c r="E12" s="67" t="s">
        <v>69</v>
      </c>
      <c r="F12" s="67"/>
      <c r="G12" s="67" t="s">
        <v>70</v>
      </c>
      <c r="H12" s="67"/>
      <c r="I12" s="68" t="s">
        <v>15</v>
      </c>
      <c r="J12" s="69">
        <v>0</v>
      </c>
      <c r="K12" s="70">
        <v>1</v>
      </c>
      <c r="L12" s="69">
        <v>0</v>
      </c>
      <c r="M12" s="71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0</v>
      </c>
      <c r="AC12" s="72">
        <v>0</v>
      </c>
      <c r="AD12" s="72">
        <v>0</v>
      </c>
      <c r="AE12" s="72">
        <v>0</v>
      </c>
      <c r="AF12" s="72">
        <v>0</v>
      </c>
      <c r="AG12" s="73">
        <v>0</v>
      </c>
      <c r="AH12" s="72">
        <v>0</v>
      </c>
      <c r="AI12" s="72">
        <v>0</v>
      </c>
      <c r="AJ12" s="73">
        <v>0</v>
      </c>
      <c r="AK12" s="72">
        <v>0</v>
      </c>
      <c r="AL12" s="72">
        <v>0</v>
      </c>
      <c r="AM12" s="73">
        <v>0</v>
      </c>
      <c r="AN12" s="72">
        <v>0</v>
      </c>
      <c r="AO12" s="72">
        <v>0</v>
      </c>
      <c r="AP12" s="73">
        <v>0</v>
      </c>
      <c r="AQ12" s="72">
        <v>0</v>
      </c>
      <c r="AR12" s="72">
        <v>0</v>
      </c>
      <c r="AS12" s="73">
        <v>0</v>
      </c>
      <c r="AT12" s="72">
        <v>0</v>
      </c>
      <c r="AU12" s="72">
        <v>0</v>
      </c>
      <c r="AV12" s="73">
        <v>0</v>
      </c>
      <c r="AW12" s="72">
        <v>0</v>
      </c>
      <c r="AX12" s="72">
        <v>0</v>
      </c>
      <c r="AY12" s="74" t="s">
        <v>0</v>
      </c>
    </row>
    <row r="13" spans="1:51" ht="14.45" customHeight="1">
      <c r="A13" s="66">
        <v>45932</v>
      </c>
      <c r="B13" s="66">
        <v>45932</v>
      </c>
      <c r="C13" s="66">
        <v>45932</v>
      </c>
      <c r="D13" s="67" t="s">
        <v>71</v>
      </c>
      <c r="E13" s="67" t="s">
        <v>0</v>
      </c>
      <c r="F13" s="67"/>
      <c r="G13" s="67" t="s">
        <v>72</v>
      </c>
      <c r="H13" s="67" t="s">
        <v>17</v>
      </c>
      <c r="I13" s="68" t="s">
        <v>15</v>
      </c>
      <c r="J13" s="69">
        <v>14000000</v>
      </c>
      <c r="K13" s="70">
        <v>0</v>
      </c>
      <c r="L13" s="69">
        <v>0</v>
      </c>
      <c r="M13" s="71">
        <v>0</v>
      </c>
      <c r="N13" s="72">
        <v>0</v>
      </c>
      <c r="O13" s="72">
        <v>0</v>
      </c>
      <c r="P13" s="72">
        <v>14000000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0</v>
      </c>
      <c r="AC13" s="72">
        <v>0</v>
      </c>
      <c r="AD13" s="72">
        <v>0</v>
      </c>
      <c r="AE13" s="72">
        <v>0</v>
      </c>
      <c r="AF13" s="72">
        <v>0</v>
      </c>
      <c r="AG13" s="73">
        <v>0</v>
      </c>
      <c r="AH13" s="72">
        <v>0</v>
      </c>
      <c r="AI13" s="72">
        <v>0</v>
      </c>
      <c r="AJ13" s="73">
        <v>0</v>
      </c>
      <c r="AK13" s="72">
        <v>0</v>
      </c>
      <c r="AL13" s="72">
        <v>0</v>
      </c>
      <c r="AM13" s="73">
        <v>0</v>
      </c>
      <c r="AN13" s="72">
        <v>0</v>
      </c>
      <c r="AO13" s="72">
        <v>0</v>
      </c>
      <c r="AP13" s="73">
        <v>0</v>
      </c>
      <c r="AQ13" s="72">
        <v>0</v>
      </c>
      <c r="AR13" s="72">
        <v>0</v>
      </c>
      <c r="AS13" s="73">
        <v>0</v>
      </c>
      <c r="AT13" s="72">
        <v>0</v>
      </c>
      <c r="AU13" s="72">
        <v>0</v>
      </c>
      <c r="AV13" s="73">
        <v>0</v>
      </c>
      <c r="AW13" s="72">
        <v>0</v>
      </c>
      <c r="AX13" s="72">
        <v>0</v>
      </c>
      <c r="AY13" s="74" t="s">
        <v>0</v>
      </c>
    </row>
    <row r="14" spans="1:51" ht="14.45" customHeight="1">
      <c r="A14" s="66">
        <v>45932</v>
      </c>
      <c r="B14" s="66">
        <v>45932</v>
      </c>
      <c r="C14" s="66">
        <v>45932</v>
      </c>
      <c r="D14" s="67" t="s">
        <v>73</v>
      </c>
      <c r="E14" s="67" t="s">
        <v>74</v>
      </c>
      <c r="F14" s="67" t="s">
        <v>75</v>
      </c>
      <c r="G14" s="67" t="s">
        <v>76</v>
      </c>
      <c r="H14" s="67" t="s">
        <v>17</v>
      </c>
      <c r="I14" s="68" t="s">
        <v>15</v>
      </c>
      <c r="J14" s="69">
        <v>-305901.03000000003</v>
      </c>
      <c r="K14" s="70">
        <v>0.98750000000000004</v>
      </c>
      <c r="L14" s="69">
        <v>309773.19</v>
      </c>
      <c r="M14" s="71">
        <v>0</v>
      </c>
      <c r="N14" s="72">
        <v>0</v>
      </c>
      <c r="O14" s="72">
        <v>0</v>
      </c>
      <c r="P14" s="72">
        <v>13694098.970000001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  <c r="Z14" s="72">
        <v>0</v>
      </c>
      <c r="AA14" s="72">
        <v>0</v>
      </c>
      <c r="AB14" s="72">
        <v>0</v>
      </c>
      <c r="AC14" s="72">
        <v>0</v>
      </c>
      <c r="AD14" s="72">
        <v>0</v>
      </c>
      <c r="AE14" s="72">
        <v>0</v>
      </c>
      <c r="AF14" s="72">
        <v>0</v>
      </c>
      <c r="AG14" s="73">
        <v>309773.19</v>
      </c>
      <c r="AH14" s="72">
        <v>0</v>
      </c>
      <c r="AI14" s="72">
        <v>309773.19</v>
      </c>
      <c r="AJ14" s="73">
        <v>0</v>
      </c>
      <c r="AK14" s="72">
        <v>0</v>
      </c>
      <c r="AL14" s="72">
        <v>0</v>
      </c>
      <c r="AM14" s="73">
        <v>0</v>
      </c>
      <c r="AN14" s="72">
        <v>0</v>
      </c>
      <c r="AO14" s="72">
        <v>0</v>
      </c>
      <c r="AP14" s="73">
        <v>0</v>
      </c>
      <c r="AQ14" s="72">
        <v>0</v>
      </c>
      <c r="AR14" s="72">
        <v>0</v>
      </c>
      <c r="AS14" s="73">
        <v>0</v>
      </c>
      <c r="AT14" s="72">
        <v>0</v>
      </c>
      <c r="AU14" s="72">
        <v>0</v>
      </c>
      <c r="AV14" s="73">
        <v>0</v>
      </c>
      <c r="AW14" s="72">
        <v>0</v>
      </c>
      <c r="AX14" s="72">
        <v>0</v>
      </c>
      <c r="AY14" s="74" t="s">
        <v>0</v>
      </c>
    </row>
    <row r="15" spans="1:51" ht="14.45" customHeight="1">
      <c r="A15" s="66">
        <v>45932</v>
      </c>
      <c r="B15" s="66">
        <v>45932</v>
      </c>
      <c r="C15" s="66">
        <v>45932</v>
      </c>
      <c r="D15" s="67" t="s">
        <v>77</v>
      </c>
      <c r="E15" s="67" t="s">
        <v>74</v>
      </c>
      <c r="F15" s="67" t="s">
        <v>78</v>
      </c>
      <c r="G15" s="67" t="s">
        <v>76</v>
      </c>
      <c r="H15" s="67" t="s">
        <v>17</v>
      </c>
      <c r="I15" s="68" t="s">
        <v>15</v>
      </c>
      <c r="J15" s="69">
        <v>-1203939.92</v>
      </c>
      <c r="K15" s="70">
        <v>0.98750000000000004</v>
      </c>
      <c r="L15" s="69">
        <v>1219179.67</v>
      </c>
      <c r="M15" s="71">
        <v>0</v>
      </c>
      <c r="N15" s="72">
        <v>0</v>
      </c>
      <c r="O15" s="72">
        <v>0</v>
      </c>
      <c r="P15" s="72">
        <v>12490159.050000001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  <c r="Z15" s="72">
        <v>0</v>
      </c>
      <c r="AA15" s="72">
        <v>0</v>
      </c>
      <c r="AB15" s="72">
        <v>0</v>
      </c>
      <c r="AC15" s="72">
        <v>0</v>
      </c>
      <c r="AD15" s="72">
        <v>0</v>
      </c>
      <c r="AE15" s="72">
        <v>0</v>
      </c>
      <c r="AF15" s="72">
        <v>0</v>
      </c>
      <c r="AG15" s="73">
        <v>1528952.86</v>
      </c>
      <c r="AH15" s="72">
        <v>0</v>
      </c>
      <c r="AI15" s="72">
        <v>1528952.86</v>
      </c>
      <c r="AJ15" s="73">
        <v>0</v>
      </c>
      <c r="AK15" s="72">
        <v>0</v>
      </c>
      <c r="AL15" s="72">
        <v>0</v>
      </c>
      <c r="AM15" s="73">
        <v>0</v>
      </c>
      <c r="AN15" s="72">
        <v>0</v>
      </c>
      <c r="AO15" s="72">
        <v>0</v>
      </c>
      <c r="AP15" s="73">
        <v>0</v>
      </c>
      <c r="AQ15" s="72">
        <v>0</v>
      </c>
      <c r="AR15" s="72">
        <v>0</v>
      </c>
      <c r="AS15" s="73">
        <v>0</v>
      </c>
      <c r="AT15" s="72">
        <v>0</v>
      </c>
      <c r="AU15" s="72">
        <v>0</v>
      </c>
      <c r="AV15" s="73">
        <v>0</v>
      </c>
      <c r="AW15" s="72">
        <v>0</v>
      </c>
      <c r="AX15" s="72">
        <v>0</v>
      </c>
      <c r="AY15" s="74" t="s">
        <v>0</v>
      </c>
    </row>
    <row r="16" spans="1:51" ht="14.45" customHeight="1">
      <c r="A16" s="66">
        <v>45932</v>
      </c>
      <c r="B16" s="66">
        <v>45932</v>
      </c>
      <c r="C16" s="66">
        <v>45932</v>
      </c>
      <c r="D16" s="67" t="s">
        <v>79</v>
      </c>
      <c r="E16" s="67" t="s">
        <v>80</v>
      </c>
      <c r="F16" s="67" t="s">
        <v>81</v>
      </c>
      <c r="G16" s="67" t="s">
        <v>76</v>
      </c>
      <c r="H16" s="67" t="s">
        <v>17</v>
      </c>
      <c r="I16" s="68" t="s">
        <v>15</v>
      </c>
      <c r="J16" s="69">
        <v>-2481371.81</v>
      </c>
      <c r="K16" s="70">
        <v>0.99</v>
      </c>
      <c r="L16" s="69">
        <v>2506436.17</v>
      </c>
      <c r="M16" s="71">
        <v>0</v>
      </c>
      <c r="N16" s="72">
        <v>0</v>
      </c>
      <c r="O16" s="72">
        <v>0</v>
      </c>
      <c r="P16" s="72">
        <v>10008787.24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Z16" s="72">
        <v>0</v>
      </c>
      <c r="AA16" s="72">
        <v>0</v>
      </c>
      <c r="AB16" s="72">
        <v>0</v>
      </c>
      <c r="AC16" s="72">
        <v>0</v>
      </c>
      <c r="AD16" s="72">
        <v>0</v>
      </c>
      <c r="AE16" s="72">
        <v>0</v>
      </c>
      <c r="AF16" s="72">
        <v>0</v>
      </c>
      <c r="AG16" s="73">
        <v>4035389.03</v>
      </c>
      <c r="AH16" s="72">
        <v>0</v>
      </c>
      <c r="AI16" s="72">
        <v>4035389.03</v>
      </c>
      <c r="AJ16" s="73">
        <v>0</v>
      </c>
      <c r="AK16" s="72">
        <v>0</v>
      </c>
      <c r="AL16" s="72">
        <v>0</v>
      </c>
      <c r="AM16" s="73">
        <v>0</v>
      </c>
      <c r="AN16" s="72">
        <v>0</v>
      </c>
      <c r="AO16" s="72">
        <v>0</v>
      </c>
      <c r="AP16" s="73">
        <v>0</v>
      </c>
      <c r="AQ16" s="72">
        <v>0</v>
      </c>
      <c r="AR16" s="72">
        <v>0</v>
      </c>
      <c r="AS16" s="73">
        <v>0</v>
      </c>
      <c r="AT16" s="72">
        <v>0</v>
      </c>
      <c r="AU16" s="72">
        <v>0</v>
      </c>
      <c r="AV16" s="73">
        <v>0</v>
      </c>
      <c r="AW16" s="72">
        <v>0</v>
      </c>
      <c r="AX16" s="72">
        <v>0</v>
      </c>
      <c r="AY16" s="74" t="s">
        <v>0</v>
      </c>
    </row>
    <row r="17" spans="1:51" ht="14.45" customHeight="1">
      <c r="A17" s="66">
        <v>45932</v>
      </c>
      <c r="B17" s="66">
        <v>45932</v>
      </c>
      <c r="C17" s="66">
        <v>45932</v>
      </c>
      <c r="D17" s="67" t="s">
        <v>82</v>
      </c>
      <c r="E17" s="67" t="s">
        <v>83</v>
      </c>
      <c r="F17" s="67" t="s">
        <v>84</v>
      </c>
      <c r="G17" s="67" t="s">
        <v>76</v>
      </c>
      <c r="H17" s="67" t="s">
        <v>17</v>
      </c>
      <c r="I17" s="68" t="s">
        <v>15</v>
      </c>
      <c r="J17" s="69">
        <v>-542303.21</v>
      </c>
      <c r="K17" s="70">
        <v>1</v>
      </c>
      <c r="L17" s="69">
        <v>542303.21</v>
      </c>
      <c r="M17" s="71">
        <v>0</v>
      </c>
      <c r="N17" s="72">
        <v>0</v>
      </c>
      <c r="O17" s="72">
        <v>0</v>
      </c>
      <c r="P17" s="72">
        <v>9466484.0299999993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  <c r="Z17" s="72">
        <v>0</v>
      </c>
      <c r="AA17" s="72">
        <v>0</v>
      </c>
      <c r="AB17" s="72">
        <v>0</v>
      </c>
      <c r="AC17" s="72">
        <v>0</v>
      </c>
      <c r="AD17" s="72">
        <v>0</v>
      </c>
      <c r="AE17" s="72">
        <v>0</v>
      </c>
      <c r="AF17" s="72">
        <v>0</v>
      </c>
      <c r="AG17" s="73">
        <v>4577692.24</v>
      </c>
      <c r="AH17" s="72">
        <v>0</v>
      </c>
      <c r="AI17" s="72">
        <v>4577692.24</v>
      </c>
      <c r="AJ17" s="73">
        <v>0</v>
      </c>
      <c r="AK17" s="72">
        <v>0</v>
      </c>
      <c r="AL17" s="72">
        <v>0</v>
      </c>
      <c r="AM17" s="73">
        <v>0</v>
      </c>
      <c r="AN17" s="72">
        <v>0</v>
      </c>
      <c r="AO17" s="72">
        <v>0</v>
      </c>
      <c r="AP17" s="73">
        <v>0</v>
      </c>
      <c r="AQ17" s="72">
        <v>0</v>
      </c>
      <c r="AR17" s="72">
        <v>0</v>
      </c>
      <c r="AS17" s="73">
        <v>0</v>
      </c>
      <c r="AT17" s="72">
        <v>0</v>
      </c>
      <c r="AU17" s="72">
        <v>0</v>
      </c>
      <c r="AV17" s="73">
        <v>0</v>
      </c>
      <c r="AW17" s="72">
        <v>0</v>
      </c>
      <c r="AX17" s="72">
        <v>0</v>
      </c>
      <c r="AY17" s="74" t="s">
        <v>0</v>
      </c>
    </row>
    <row r="18" spans="1:51" ht="14.45" customHeight="1">
      <c r="A18" s="66">
        <v>45932</v>
      </c>
      <c r="B18" s="66">
        <v>45932</v>
      </c>
      <c r="C18" s="66">
        <v>45932</v>
      </c>
      <c r="D18" s="67" t="s">
        <v>1</v>
      </c>
      <c r="E18" s="67" t="s">
        <v>69</v>
      </c>
      <c r="F18" s="67"/>
      <c r="G18" s="67" t="s">
        <v>85</v>
      </c>
      <c r="H18" s="67" t="s">
        <v>17</v>
      </c>
      <c r="I18" s="68" t="s">
        <v>15</v>
      </c>
      <c r="J18" s="69">
        <v>7000000</v>
      </c>
      <c r="K18" s="70">
        <v>1</v>
      </c>
      <c r="L18" s="69">
        <v>0</v>
      </c>
      <c r="M18" s="71">
        <v>0</v>
      </c>
      <c r="N18" s="72">
        <v>0</v>
      </c>
      <c r="O18" s="72">
        <v>0</v>
      </c>
      <c r="P18" s="72">
        <v>16466484.029999999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0</v>
      </c>
      <c r="AD18" s="72">
        <v>0</v>
      </c>
      <c r="AE18" s="72">
        <v>0</v>
      </c>
      <c r="AF18" s="72">
        <v>0</v>
      </c>
      <c r="AG18" s="73">
        <v>4577692.24</v>
      </c>
      <c r="AH18" s="72">
        <v>0</v>
      </c>
      <c r="AI18" s="72">
        <v>4577692.24</v>
      </c>
      <c r="AJ18" s="73">
        <v>0</v>
      </c>
      <c r="AK18" s="72">
        <v>0</v>
      </c>
      <c r="AL18" s="72">
        <v>0</v>
      </c>
      <c r="AM18" s="73">
        <v>0</v>
      </c>
      <c r="AN18" s="72">
        <v>0</v>
      </c>
      <c r="AO18" s="72">
        <v>0</v>
      </c>
      <c r="AP18" s="73">
        <v>0</v>
      </c>
      <c r="AQ18" s="72">
        <v>0</v>
      </c>
      <c r="AR18" s="72">
        <v>0</v>
      </c>
      <c r="AS18" s="73">
        <v>0</v>
      </c>
      <c r="AT18" s="72">
        <v>0</v>
      </c>
      <c r="AU18" s="72">
        <v>0</v>
      </c>
      <c r="AV18" s="73">
        <v>0</v>
      </c>
      <c r="AW18" s="72">
        <v>0</v>
      </c>
      <c r="AX18" s="72">
        <v>0</v>
      </c>
      <c r="AY18" s="74" t="s">
        <v>0</v>
      </c>
    </row>
    <row r="19" spans="1:51" ht="14.45" customHeight="1">
      <c r="A19" s="66">
        <v>45932</v>
      </c>
      <c r="B19" s="66">
        <v>45932</v>
      </c>
      <c r="C19" s="66">
        <v>45932</v>
      </c>
      <c r="D19" s="67" t="s">
        <v>86</v>
      </c>
      <c r="E19" s="67" t="s">
        <v>80</v>
      </c>
      <c r="F19" s="67" t="s">
        <v>87</v>
      </c>
      <c r="G19" s="67" t="s">
        <v>76</v>
      </c>
      <c r="H19" s="67" t="s">
        <v>17</v>
      </c>
      <c r="I19" s="68" t="s">
        <v>15</v>
      </c>
      <c r="J19" s="69">
        <v>-2394966.2200000002</v>
      </c>
      <c r="K19" s="70">
        <v>0.98499999999999999</v>
      </c>
      <c r="L19" s="69">
        <v>2431437.79</v>
      </c>
      <c r="M19" s="71">
        <v>0</v>
      </c>
      <c r="N19" s="72">
        <v>0</v>
      </c>
      <c r="O19" s="72">
        <v>0</v>
      </c>
      <c r="P19" s="72">
        <v>14071517.810000001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</v>
      </c>
      <c r="AD19" s="72">
        <v>0</v>
      </c>
      <c r="AE19" s="72">
        <v>0</v>
      </c>
      <c r="AF19" s="72">
        <v>0</v>
      </c>
      <c r="AG19" s="73">
        <v>7009130.0300000003</v>
      </c>
      <c r="AH19" s="72">
        <v>0</v>
      </c>
      <c r="AI19" s="72">
        <v>7009130.0300000003</v>
      </c>
      <c r="AJ19" s="73">
        <v>0</v>
      </c>
      <c r="AK19" s="72">
        <v>0</v>
      </c>
      <c r="AL19" s="72">
        <v>0</v>
      </c>
      <c r="AM19" s="73">
        <v>0</v>
      </c>
      <c r="AN19" s="72">
        <v>0</v>
      </c>
      <c r="AO19" s="72">
        <v>0</v>
      </c>
      <c r="AP19" s="73">
        <v>0</v>
      </c>
      <c r="AQ19" s="72">
        <v>0</v>
      </c>
      <c r="AR19" s="72">
        <v>0</v>
      </c>
      <c r="AS19" s="73">
        <v>0</v>
      </c>
      <c r="AT19" s="72">
        <v>0</v>
      </c>
      <c r="AU19" s="72">
        <v>0</v>
      </c>
      <c r="AV19" s="73">
        <v>0</v>
      </c>
      <c r="AW19" s="72">
        <v>0</v>
      </c>
      <c r="AX19" s="72">
        <v>0</v>
      </c>
      <c r="AY19" s="74" t="s">
        <v>0</v>
      </c>
    </row>
    <row r="20" spans="1:51" ht="14.45" customHeight="1">
      <c r="A20" s="66">
        <v>45933</v>
      </c>
      <c r="B20" s="66">
        <v>45933</v>
      </c>
      <c r="C20" s="66">
        <v>45932</v>
      </c>
      <c r="D20" s="67" t="s">
        <v>88</v>
      </c>
      <c r="E20" s="67" t="s">
        <v>74</v>
      </c>
      <c r="F20" s="67"/>
      <c r="G20" s="67" t="s">
        <v>76</v>
      </c>
      <c r="H20" s="67" t="s">
        <v>17</v>
      </c>
      <c r="I20" s="68" t="s">
        <v>15</v>
      </c>
      <c r="J20" s="69">
        <v>-2496875</v>
      </c>
      <c r="K20" s="70">
        <v>0.99880000000000002</v>
      </c>
      <c r="L20" s="69">
        <v>2500000</v>
      </c>
      <c r="M20" s="71">
        <v>0</v>
      </c>
      <c r="N20" s="72">
        <v>0</v>
      </c>
      <c r="O20" s="72">
        <v>0</v>
      </c>
      <c r="P20" s="72">
        <v>11574642.810000001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0</v>
      </c>
      <c r="AA20" s="72">
        <v>0</v>
      </c>
      <c r="AB20" s="72">
        <v>0</v>
      </c>
      <c r="AC20" s="72">
        <v>0</v>
      </c>
      <c r="AD20" s="72">
        <v>0</v>
      </c>
      <c r="AE20" s="72">
        <v>0</v>
      </c>
      <c r="AF20" s="72">
        <v>0</v>
      </c>
      <c r="AG20" s="73">
        <v>9509130.0299999993</v>
      </c>
      <c r="AH20" s="72">
        <v>0</v>
      </c>
      <c r="AI20" s="72">
        <v>9509130.0299999993</v>
      </c>
      <c r="AJ20" s="73">
        <v>0</v>
      </c>
      <c r="AK20" s="72">
        <v>0</v>
      </c>
      <c r="AL20" s="72">
        <v>0</v>
      </c>
      <c r="AM20" s="73">
        <v>0</v>
      </c>
      <c r="AN20" s="72">
        <v>0</v>
      </c>
      <c r="AO20" s="72">
        <v>0</v>
      </c>
      <c r="AP20" s="73">
        <v>0</v>
      </c>
      <c r="AQ20" s="72">
        <v>0</v>
      </c>
      <c r="AR20" s="72">
        <v>0</v>
      </c>
      <c r="AS20" s="73">
        <v>0</v>
      </c>
      <c r="AT20" s="72">
        <v>0</v>
      </c>
      <c r="AU20" s="72">
        <v>0</v>
      </c>
      <c r="AV20" s="73">
        <v>0</v>
      </c>
      <c r="AW20" s="72">
        <v>0</v>
      </c>
      <c r="AX20" s="72">
        <v>0</v>
      </c>
      <c r="AY20" s="74" t="s">
        <v>0</v>
      </c>
    </row>
    <row r="21" spans="1:51" ht="14.45" customHeight="1">
      <c r="A21" s="66">
        <v>45933</v>
      </c>
      <c r="B21" s="66">
        <v>45933</v>
      </c>
      <c r="C21" s="66">
        <v>45932</v>
      </c>
      <c r="D21" s="67" t="s">
        <v>89</v>
      </c>
      <c r="E21" s="67" t="s">
        <v>74</v>
      </c>
      <c r="F21" s="67"/>
      <c r="G21" s="67" t="s">
        <v>76</v>
      </c>
      <c r="H21" s="67" t="s">
        <v>17</v>
      </c>
      <c r="I21" s="68" t="s">
        <v>15</v>
      </c>
      <c r="J21" s="69">
        <v>-2484398.44</v>
      </c>
      <c r="K21" s="70">
        <v>0.99750000000000005</v>
      </c>
      <c r="L21" s="69">
        <v>2490625</v>
      </c>
      <c r="M21" s="71">
        <v>0</v>
      </c>
      <c r="N21" s="72">
        <v>0</v>
      </c>
      <c r="O21" s="72">
        <v>0</v>
      </c>
      <c r="P21" s="72">
        <v>9090244.3699999992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0</v>
      </c>
      <c r="AE21" s="72">
        <v>0</v>
      </c>
      <c r="AF21" s="72">
        <v>0</v>
      </c>
      <c r="AG21" s="73">
        <v>11999755.029999999</v>
      </c>
      <c r="AH21" s="72">
        <v>0</v>
      </c>
      <c r="AI21" s="72">
        <v>11999755.029999999</v>
      </c>
      <c r="AJ21" s="73">
        <v>0</v>
      </c>
      <c r="AK21" s="72">
        <v>0</v>
      </c>
      <c r="AL21" s="72">
        <v>0</v>
      </c>
      <c r="AM21" s="73">
        <v>0</v>
      </c>
      <c r="AN21" s="72">
        <v>0</v>
      </c>
      <c r="AO21" s="72">
        <v>0</v>
      </c>
      <c r="AP21" s="73">
        <v>0</v>
      </c>
      <c r="AQ21" s="72">
        <v>0</v>
      </c>
      <c r="AR21" s="72">
        <v>0</v>
      </c>
      <c r="AS21" s="73">
        <v>0</v>
      </c>
      <c r="AT21" s="72">
        <v>0</v>
      </c>
      <c r="AU21" s="72">
        <v>0</v>
      </c>
      <c r="AV21" s="73">
        <v>0</v>
      </c>
      <c r="AW21" s="72">
        <v>0</v>
      </c>
      <c r="AX21" s="72">
        <v>0</v>
      </c>
      <c r="AY21" s="74" t="s">
        <v>0</v>
      </c>
    </row>
    <row r="22" spans="1:51" ht="14.45" customHeight="1">
      <c r="A22" s="66">
        <v>45936</v>
      </c>
      <c r="B22" s="66">
        <v>45933</v>
      </c>
      <c r="C22" s="66">
        <v>45933</v>
      </c>
      <c r="D22" s="67" t="s">
        <v>90</v>
      </c>
      <c r="E22" s="67" t="s">
        <v>74</v>
      </c>
      <c r="F22" s="67"/>
      <c r="G22" s="67" t="s">
        <v>76</v>
      </c>
      <c r="H22" s="67" t="s">
        <v>17</v>
      </c>
      <c r="I22" s="68" t="s">
        <v>15</v>
      </c>
      <c r="J22" s="69">
        <v>-2468750</v>
      </c>
      <c r="K22" s="70">
        <v>0.98750000000000004</v>
      </c>
      <c r="L22" s="69">
        <v>2500000</v>
      </c>
      <c r="M22" s="71">
        <v>0</v>
      </c>
      <c r="N22" s="72">
        <v>0</v>
      </c>
      <c r="O22" s="72">
        <v>0</v>
      </c>
      <c r="P22" s="72">
        <v>6621494.3700000001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2">
        <v>0</v>
      </c>
      <c r="AC22" s="72">
        <v>0</v>
      </c>
      <c r="AD22" s="72">
        <v>0</v>
      </c>
      <c r="AE22" s="72">
        <v>0</v>
      </c>
      <c r="AF22" s="72">
        <v>0</v>
      </c>
      <c r="AG22" s="73">
        <v>14499755.029999999</v>
      </c>
      <c r="AH22" s="72">
        <v>0</v>
      </c>
      <c r="AI22" s="72">
        <v>14499755.029999999</v>
      </c>
      <c r="AJ22" s="73">
        <v>0</v>
      </c>
      <c r="AK22" s="72">
        <v>0</v>
      </c>
      <c r="AL22" s="72">
        <v>0</v>
      </c>
      <c r="AM22" s="73">
        <v>0</v>
      </c>
      <c r="AN22" s="72">
        <v>0</v>
      </c>
      <c r="AO22" s="72">
        <v>0</v>
      </c>
      <c r="AP22" s="73">
        <v>0</v>
      </c>
      <c r="AQ22" s="72">
        <v>0</v>
      </c>
      <c r="AR22" s="72">
        <v>0</v>
      </c>
      <c r="AS22" s="73">
        <v>0</v>
      </c>
      <c r="AT22" s="72">
        <v>0</v>
      </c>
      <c r="AU22" s="72">
        <v>0</v>
      </c>
      <c r="AV22" s="73">
        <v>0</v>
      </c>
      <c r="AW22" s="72">
        <v>0</v>
      </c>
      <c r="AX22" s="72">
        <v>0</v>
      </c>
      <c r="AY22" s="74" t="s">
        <v>0</v>
      </c>
    </row>
    <row r="23" spans="1:51" ht="14.45" customHeight="1">
      <c r="A23" s="66">
        <v>45936</v>
      </c>
      <c r="B23" s="66">
        <v>45936</v>
      </c>
      <c r="C23" s="66">
        <v>45936</v>
      </c>
      <c r="D23" s="67" t="s">
        <v>91</v>
      </c>
      <c r="E23" s="67" t="s">
        <v>0</v>
      </c>
      <c r="F23" s="67"/>
      <c r="G23" s="67" t="s">
        <v>72</v>
      </c>
      <c r="H23" s="67" t="s">
        <v>17</v>
      </c>
      <c r="I23" s="68" t="s">
        <v>15</v>
      </c>
      <c r="J23" s="69">
        <v>-15625</v>
      </c>
      <c r="K23" s="70">
        <v>0</v>
      </c>
      <c r="L23" s="69">
        <v>0</v>
      </c>
      <c r="M23" s="71">
        <v>0</v>
      </c>
      <c r="N23" s="72">
        <v>0</v>
      </c>
      <c r="O23" s="72">
        <v>0</v>
      </c>
      <c r="P23" s="72">
        <v>6605869.3700000001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3">
        <v>14499755.029999999</v>
      </c>
      <c r="AH23" s="72">
        <v>0</v>
      </c>
      <c r="AI23" s="72">
        <v>14499755.029999999</v>
      </c>
      <c r="AJ23" s="73">
        <v>0</v>
      </c>
      <c r="AK23" s="72">
        <v>0</v>
      </c>
      <c r="AL23" s="72">
        <v>0</v>
      </c>
      <c r="AM23" s="73">
        <v>0</v>
      </c>
      <c r="AN23" s="72">
        <v>0</v>
      </c>
      <c r="AO23" s="72">
        <v>0</v>
      </c>
      <c r="AP23" s="73">
        <v>0</v>
      </c>
      <c r="AQ23" s="72">
        <v>0</v>
      </c>
      <c r="AR23" s="72">
        <v>0</v>
      </c>
      <c r="AS23" s="73">
        <v>0</v>
      </c>
      <c r="AT23" s="72">
        <v>0</v>
      </c>
      <c r="AU23" s="72">
        <v>0</v>
      </c>
      <c r="AV23" s="73">
        <v>0</v>
      </c>
      <c r="AW23" s="72">
        <v>0</v>
      </c>
      <c r="AX23" s="72">
        <v>0</v>
      </c>
      <c r="AY23" s="74" t="s">
        <v>0</v>
      </c>
    </row>
    <row r="24" spans="1:51" ht="14.45" customHeight="1">
      <c r="A24" s="66">
        <v>45939</v>
      </c>
      <c r="B24" s="66">
        <v>45939</v>
      </c>
      <c r="C24" s="66">
        <v>45939</v>
      </c>
      <c r="D24" s="67" t="s">
        <v>92</v>
      </c>
      <c r="E24" s="67" t="s">
        <v>93</v>
      </c>
      <c r="F24" s="67" t="s">
        <v>94</v>
      </c>
      <c r="G24" s="67" t="s">
        <v>76</v>
      </c>
      <c r="H24" s="67" t="s">
        <v>17</v>
      </c>
      <c r="I24" s="68" t="s">
        <v>15</v>
      </c>
      <c r="J24" s="69">
        <v>-2493750</v>
      </c>
      <c r="K24" s="70">
        <v>0.99750000000000005</v>
      </c>
      <c r="L24" s="69">
        <v>2500000</v>
      </c>
      <c r="M24" s="71">
        <v>0</v>
      </c>
      <c r="N24" s="72">
        <v>0</v>
      </c>
      <c r="O24" s="72">
        <v>0</v>
      </c>
      <c r="P24" s="72">
        <v>4112119.37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3">
        <v>16999755.030000001</v>
      </c>
      <c r="AH24" s="72">
        <v>0</v>
      </c>
      <c r="AI24" s="72">
        <v>16999755.030000001</v>
      </c>
      <c r="AJ24" s="73">
        <v>0</v>
      </c>
      <c r="AK24" s="72">
        <v>0</v>
      </c>
      <c r="AL24" s="72">
        <v>0</v>
      </c>
      <c r="AM24" s="73">
        <v>0</v>
      </c>
      <c r="AN24" s="72">
        <v>0</v>
      </c>
      <c r="AO24" s="72">
        <v>0</v>
      </c>
      <c r="AP24" s="73">
        <v>0</v>
      </c>
      <c r="AQ24" s="72">
        <v>0</v>
      </c>
      <c r="AR24" s="72">
        <v>0</v>
      </c>
      <c r="AS24" s="73">
        <v>0</v>
      </c>
      <c r="AT24" s="72">
        <v>0</v>
      </c>
      <c r="AU24" s="72">
        <v>0</v>
      </c>
      <c r="AV24" s="73">
        <v>0</v>
      </c>
      <c r="AW24" s="72">
        <v>0</v>
      </c>
      <c r="AX24" s="72">
        <v>0</v>
      </c>
      <c r="AY24" s="74" t="s">
        <v>0</v>
      </c>
    </row>
    <row r="25" spans="1:51" ht="14.45" customHeight="1">
      <c r="A25" s="66">
        <v>45940</v>
      </c>
      <c r="B25" s="66">
        <v>45936</v>
      </c>
      <c r="C25" s="66">
        <v>45936</v>
      </c>
      <c r="D25" s="67" t="s">
        <v>82</v>
      </c>
      <c r="E25" s="67" t="s">
        <v>83</v>
      </c>
      <c r="F25" s="67" t="s">
        <v>84</v>
      </c>
      <c r="G25" s="67" t="s">
        <v>95</v>
      </c>
      <c r="H25" s="67" t="s">
        <v>17</v>
      </c>
      <c r="I25" s="68" t="s">
        <v>15</v>
      </c>
      <c r="J25" s="69">
        <v>79315.27</v>
      </c>
      <c r="K25" s="70">
        <v>1</v>
      </c>
      <c r="L25" s="69">
        <v>-79315.27</v>
      </c>
      <c r="M25" s="71">
        <v>0</v>
      </c>
      <c r="N25" s="72">
        <v>0</v>
      </c>
      <c r="O25" s="72">
        <v>0</v>
      </c>
      <c r="P25" s="72">
        <v>4191434.64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3">
        <v>16920439.760000002</v>
      </c>
      <c r="AH25" s="72">
        <v>0</v>
      </c>
      <c r="AI25" s="72">
        <v>16920439.760000002</v>
      </c>
      <c r="AJ25" s="73">
        <v>0</v>
      </c>
      <c r="AK25" s="72">
        <v>0</v>
      </c>
      <c r="AL25" s="72">
        <v>0</v>
      </c>
      <c r="AM25" s="73">
        <v>0</v>
      </c>
      <c r="AN25" s="72">
        <v>0</v>
      </c>
      <c r="AO25" s="72">
        <v>0</v>
      </c>
      <c r="AP25" s="73">
        <v>0</v>
      </c>
      <c r="AQ25" s="72">
        <v>0</v>
      </c>
      <c r="AR25" s="72">
        <v>0</v>
      </c>
      <c r="AS25" s="73">
        <v>0</v>
      </c>
      <c r="AT25" s="72">
        <v>0</v>
      </c>
      <c r="AU25" s="72">
        <v>0</v>
      </c>
      <c r="AV25" s="73">
        <v>0</v>
      </c>
      <c r="AW25" s="72">
        <v>0</v>
      </c>
      <c r="AX25" s="72">
        <v>0</v>
      </c>
      <c r="AY25" s="74" t="s">
        <v>0</v>
      </c>
    </row>
    <row r="26" spans="1:51" ht="14.45" customHeight="1">
      <c r="A26" s="66">
        <v>45940</v>
      </c>
      <c r="B26" s="66">
        <v>45940</v>
      </c>
      <c r="C26" s="66">
        <v>45939</v>
      </c>
      <c r="D26" s="67" t="s">
        <v>96</v>
      </c>
      <c r="E26" s="67" t="s">
        <v>80</v>
      </c>
      <c r="F26" s="67" t="s">
        <v>97</v>
      </c>
      <c r="G26" s="67" t="s">
        <v>76</v>
      </c>
      <c r="H26" s="67" t="s">
        <v>17</v>
      </c>
      <c r="I26" s="68" t="s">
        <v>15</v>
      </c>
      <c r="J26" s="69">
        <v>-5254591.1900000004</v>
      </c>
      <c r="K26" s="70">
        <v>0.98750000000000004</v>
      </c>
      <c r="L26" s="69">
        <v>5321105</v>
      </c>
      <c r="M26" s="71">
        <v>0</v>
      </c>
      <c r="N26" s="72">
        <v>0</v>
      </c>
      <c r="O26" s="72">
        <v>0</v>
      </c>
      <c r="P26" s="72">
        <v>-1063156.55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  <c r="Z26" s="72">
        <v>0</v>
      </c>
      <c r="AA26" s="72">
        <v>0</v>
      </c>
      <c r="AB26" s="72">
        <v>0</v>
      </c>
      <c r="AC26" s="72">
        <v>0</v>
      </c>
      <c r="AD26" s="72">
        <v>0</v>
      </c>
      <c r="AE26" s="72">
        <v>0</v>
      </c>
      <c r="AF26" s="72">
        <v>0</v>
      </c>
      <c r="AG26" s="73">
        <v>22241544.760000002</v>
      </c>
      <c r="AH26" s="72">
        <v>0</v>
      </c>
      <c r="AI26" s="72">
        <v>22241544.760000002</v>
      </c>
      <c r="AJ26" s="73">
        <v>0</v>
      </c>
      <c r="AK26" s="72">
        <v>0</v>
      </c>
      <c r="AL26" s="72">
        <v>0</v>
      </c>
      <c r="AM26" s="73">
        <v>0</v>
      </c>
      <c r="AN26" s="72">
        <v>0</v>
      </c>
      <c r="AO26" s="72">
        <v>0</v>
      </c>
      <c r="AP26" s="73">
        <v>0</v>
      </c>
      <c r="AQ26" s="72">
        <v>0</v>
      </c>
      <c r="AR26" s="72">
        <v>0</v>
      </c>
      <c r="AS26" s="73">
        <v>0</v>
      </c>
      <c r="AT26" s="72">
        <v>0</v>
      </c>
      <c r="AU26" s="72">
        <v>0</v>
      </c>
      <c r="AV26" s="73">
        <v>0</v>
      </c>
      <c r="AW26" s="72">
        <v>0</v>
      </c>
      <c r="AX26" s="72">
        <v>0</v>
      </c>
      <c r="AY26" s="74" t="s">
        <v>0</v>
      </c>
    </row>
    <row r="27" spans="1:51" ht="14.45" customHeight="1">
      <c r="A27" s="66">
        <v>45940</v>
      </c>
      <c r="B27" s="66">
        <v>45940</v>
      </c>
      <c r="C27" s="66">
        <v>45939</v>
      </c>
      <c r="D27" s="67" t="s">
        <v>96</v>
      </c>
      <c r="E27" s="67" t="s">
        <v>98</v>
      </c>
      <c r="F27" s="67"/>
      <c r="G27" s="67" t="s">
        <v>76</v>
      </c>
      <c r="H27" s="67" t="s">
        <v>17</v>
      </c>
      <c r="I27" s="68" t="s">
        <v>15</v>
      </c>
      <c r="J27" s="69">
        <v>-98750</v>
      </c>
      <c r="K27" s="70">
        <v>0.98750000000000004</v>
      </c>
      <c r="L27" s="69">
        <v>0</v>
      </c>
      <c r="M27" s="71">
        <v>-7900000</v>
      </c>
      <c r="N27" s="72">
        <v>0</v>
      </c>
      <c r="O27" s="72">
        <v>0</v>
      </c>
      <c r="P27" s="72">
        <v>-1161906.55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  <c r="Z27" s="72">
        <v>0</v>
      </c>
      <c r="AA27" s="72">
        <v>0</v>
      </c>
      <c r="AB27" s="72">
        <v>0</v>
      </c>
      <c r="AC27" s="72">
        <v>0</v>
      </c>
      <c r="AD27" s="72">
        <v>0</v>
      </c>
      <c r="AE27" s="72">
        <v>0</v>
      </c>
      <c r="AF27" s="72">
        <v>0</v>
      </c>
      <c r="AG27" s="73">
        <v>22241544.760000002</v>
      </c>
      <c r="AH27" s="72">
        <v>-7900000</v>
      </c>
      <c r="AI27" s="72">
        <v>14341544.76</v>
      </c>
      <c r="AJ27" s="73">
        <v>0</v>
      </c>
      <c r="AK27" s="72">
        <v>0</v>
      </c>
      <c r="AL27" s="72">
        <v>0</v>
      </c>
      <c r="AM27" s="73">
        <v>0</v>
      </c>
      <c r="AN27" s="72">
        <v>0</v>
      </c>
      <c r="AO27" s="72">
        <v>0</v>
      </c>
      <c r="AP27" s="73">
        <v>0</v>
      </c>
      <c r="AQ27" s="72">
        <v>0</v>
      </c>
      <c r="AR27" s="72">
        <v>0</v>
      </c>
      <c r="AS27" s="73">
        <v>0</v>
      </c>
      <c r="AT27" s="72">
        <v>0</v>
      </c>
      <c r="AU27" s="72">
        <v>0</v>
      </c>
      <c r="AV27" s="73">
        <v>0</v>
      </c>
      <c r="AW27" s="72">
        <v>0</v>
      </c>
      <c r="AX27" s="72">
        <v>0</v>
      </c>
      <c r="AY27" s="74" t="s">
        <v>0</v>
      </c>
    </row>
    <row r="28" spans="1:51" ht="14.45" customHeight="1">
      <c r="A28" s="66">
        <v>45940</v>
      </c>
      <c r="B28" s="66">
        <v>45940</v>
      </c>
      <c r="C28" s="66">
        <v>45940</v>
      </c>
      <c r="D28" s="67" t="s">
        <v>1</v>
      </c>
      <c r="E28" s="67" t="s">
        <v>69</v>
      </c>
      <c r="F28" s="67"/>
      <c r="G28" s="67" t="s">
        <v>85</v>
      </c>
      <c r="H28" s="67" t="s">
        <v>17</v>
      </c>
      <c r="I28" s="68" t="s">
        <v>15</v>
      </c>
      <c r="J28" s="69">
        <v>5500000</v>
      </c>
      <c r="K28" s="70">
        <v>1</v>
      </c>
      <c r="L28" s="69">
        <v>0</v>
      </c>
      <c r="M28" s="71">
        <v>0</v>
      </c>
      <c r="N28" s="72">
        <v>0</v>
      </c>
      <c r="O28" s="72">
        <v>0</v>
      </c>
      <c r="P28" s="72">
        <v>4338093.45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Z28" s="72">
        <v>0</v>
      </c>
      <c r="AA28" s="72">
        <v>0</v>
      </c>
      <c r="AB28" s="72">
        <v>0</v>
      </c>
      <c r="AC28" s="72">
        <v>0</v>
      </c>
      <c r="AD28" s="72">
        <v>0</v>
      </c>
      <c r="AE28" s="72">
        <v>0</v>
      </c>
      <c r="AF28" s="72">
        <v>0</v>
      </c>
      <c r="AG28" s="73">
        <v>22241544.760000002</v>
      </c>
      <c r="AH28" s="72">
        <v>-7900000</v>
      </c>
      <c r="AI28" s="72">
        <v>14341544.76</v>
      </c>
      <c r="AJ28" s="73">
        <v>0</v>
      </c>
      <c r="AK28" s="72">
        <v>0</v>
      </c>
      <c r="AL28" s="72">
        <v>0</v>
      </c>
      <c r="AM28" s="73">
        <v>0</v>
      </c>
      <c r="AN28" s="72">
        <v>0</v>
      </c>
      <c r="AO28" s="72">
        <v>0</v>
      </c>
      <c r="AP28" s="73">
        <v>0</v>
      </c>
      <c r="AQ28" s="72">
        <v>0</v>
      </c>
      <c r="AR28" s="72">
        <v>0</v>
      </c>
      <c r="AS28" s="73">
        <v>0</v>
      </c>
      <c r="AT28" s="72">
        <v>0</v>
      </c>
      <c r="AU28" s="72">
        <v>0</v>
      </c>
      <c r="AV28" s="73">
        <v>0</v>
      </c>
      <c r="AW28" s="72">
        <v>0</v>
      </c>
      <c r="AX28" s="72">
        <v>0</v>
      </c>
      <c r="AY28" s="74" t="s">
        <v>0</v>
      </c>
    </row>
    <row r="29" spans="1:51" ht="14.45" customHeight="1">
      <c r="A29" s="66">
        <v>45944</v>
      </c>
      <c r="B29" s="66">
        <v>45940</v>
      </c>
      <c r="C29" s="66">
        <v>45939</v>
      </c>
      <c r="D29" s="67" t="s">
        <v>96</v>
      </c>
      <c r="E29" s="67" t="s">
        <v>98</v>
      </c>
      <c r="F29" s="67"/>
      <c r="G29" s="67" t="s">
        <v>76</v>
      </c>
      <c r="H29" s="67" t="s">
        <v>17</v>
      </c>
      <c r="I29" s="68" t="s">
        <v>15</v>
      </c>
      <c r="J29" s="69">
        <v>100000</v>
      </c>
      <c r="K29" s="70">
        <v>0.98750000000000004</v>
      </c>
      <c r="L29" s="69">
        <v>0</v>
      </c>
      <c r="M29" s="71">
        <v>100000</v>
      </c>
      <c r="N29" s="72">
        <v>0</v>
      </c>
      <c r="O29" s="72">
        <v>0</v>
      </c>
      <c r="P29" s="72">
        <v>4438093.45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Z29" s="72">
        <v>0</v>
      </c>
      <c r="AA29" s="72">
        <v>0</v>
      </c>
      <c r="AB29" s="72">
        <v>0</v>
      </c>
      <c r="AC29" s="72">
        <v>0</v>
      </c>
      <c r="AD29" s="72">
        <v>0</v>
      </c>
      <c r="AE29" s="72">
        <v>0</v>
      </c>
      <c r="AF29" s="72">
        <v>0</v>
      </c>
      <c r="AG29" s="73">
        <v>22241544.760000002</v>
      </c>
      <c r="AH29" s="72">
        <v>-7800000</v>
      </c>
      <c r="AI29" s="72">
        <v>14441544.76</v>
      </c>
      <c r="AJ29" s="73">
        <v>0</v>
      </c>
      <c r="AK29" s="72">
        <v>0</v>
      </c>
      <c r="AL29" s="72">
        <v>0</v>
      </c>
      <c r="AM29" s="73">
        <v>0</v>
      </c>
      <c r="AN29" s="72">
        <v>0</v>
      </c>
      <c r="AO29" s="72">
        <v>0</v>
      </c>
      <c r="AP29" s="73">
        <v>0</v>
      </c>
      <c r="AQ29" s="72">
        <v>0</v>
      </c>
      <c r="AR29" s="72">
        <v>0</v>
      </c>
      <c r="AS29" s="73">
        <v>0</v>
      </c>
      <c r="AT29" s="72">
        <v>0</v>
      </c>
      <c r="AU29" s="72">
        <v>0</v>
      </c>
      <c r="AV29" s="73">
        <v>0</v>
      </c>
      <c r="AW29" s="72">
        <v>0</v>
      </c>
      <c r="AX29" s="72">
        <v>0</v>
      </c>
      <c r="AY29" s="74" t="s">
        <v>0</v>
      </c>
    </row>
    <row r="30" spans="1:51" ht="14.45" customHeight="1">
      <c r="A30" s="66">
        <v>45944</v>
      </c>
      <c r="B30" s="66">
        <v>45944</v>
      </c>
      <c r="C30" s="66">
        <v>45932</v>
      </c>
      <c r="D30" s="67" t="s">
        <v>99</v>
      </c>
      <c r="E30" s="67" t="s">
        <v>80</v>
      </c>
      <c r="F30" s="67" t="s">
        <v>100</v>
      </c>
      <c r="G30" s="67" t="s">
        <v>76</v>
      </c>
      <c r="H30" s="67" t="s">
        <v>17</v>
      </c>
      <c r="I30" s="68" t="s">
        <v>15</v>
      </c>
      <c r="J30" s="69">
        <v>-5000000</v>
      </c>
      <c r="K30" s="70">
        <v>1</v>
      </c>
      <c r="L30" s="69">
        <v>5000000</v>
      </c>
      <c r="M30" s="71">
        <v>0</v>
      </c>
      <c r="N30" s="72">
        <v>0</v>
      </c>
      <c r="O30" s="72">
        <v>0</v>
      </c>
      <c r="P30" s="72">
        <v>-561906.55000000005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0</v>
      </c>
      <c r="AA30" s="72">
        <v>0</v>
      </c>
      <c r="AB30" s="72">
        <v>0</v>
      </c>
      <c r="AC30" s="72">
        <v>0</v>
      </c>
      <c r="AD30" s="72">
        <v>0</v>
      </c>
      <c r="AE30" s="72">
        <v>0</v>
      </c>
      <c r="AF30" s="72">
        <v>0</v>
      </c>
      <c r="AG30" s="73">
        <v>27241544.760000002</v>
      </c>
      <c r="AH30" s="72">
        <v>-7800000</v>
      </c>
      <c r="AI30" s="72">
        <v>19441544.760000002</v>
      </c>
      <c r="AJ30" s="73">
        <v>0</v>
      </c>
      <c r="AK30" s="72">
        <v>0</v>
      </c>
      <c r="AL30" s="72">
        <v>0</v>
      </c>
      <c r="AM30" s="73">
        <v>0</v>
      </c>
      <c r="AN30" s="72">
        <v>0</v>
      </c>
      <c r="AO30" s="72">
        <v>0</v>
      </c>
      <c r="AP30" s="73">
        <v>0</v>
      </c>
      <c r="AQ30" s="72">
        <v>0</v>
      </c>
      <c r="AR30" s="72">
        <v>0</v>
      </c>
      <c r="AS30" s="73">
        <v>0</v>
      </c>
      <c r="AT30" s="72">
        <v>0</v>
      </c>
      <c r="AU30" s="72">
        <v>0</v>
      </c>
      <c r="AV30" s="73">
        <v>0</v>
      </c>
      <c r="AW30" s="72">
        <v>0</v>
      </c>
      <c r="AX30" s="72">
        <v>0</v>
      </c>
      <c r="AY30" s="74" t="s">
        <v>0</v>
      </c>
    </row>
    <row r="31" spans="1:51" ht="14.45" customHeight="1">
      <c r="A31" s="66">
        <v>45944</v>
      </c>
      <c r="B31" s="66">
        <v>45944</v>
      </c>
      <c r="C31" s="66">
        <v>45944</v>
      </c>
      <c r="D31" s="67" t="s">
        <v>71</v>
      </c>
      <c r="E31" s="67" t="s">
        <v>0</v>
      </c>
      <c r="F31" s="67"/>
      <c r="G31" s="67" t="s">
        <v>72</v>
      </c>
      <c r="H31" s="67" t="s">
        <v>17</v>
      </c>
      <c r="I31" s="68" t="s">
        <v>15</v>
      </c>
      <c r="J31" s="69">
        <v>1500000</v>
      </c>
      <c r="K31" s="70">
        <v>0</v>
      </c>
      <c r="L31" s="69">
        <v>0</v>
      </c>
      <c r="M31" s="71">
        <v>0</v>
      </c>
      <c r="N31" s="72">
        <v>0</v>
      </c>
      <c r="O31" s="72">
        <v>0</v>
      </c>
      <c r="P31" s="72">
        <v>938093.45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Z31" s="72">
        <v>0</v>
      </c>
      <c r="AA31" s="72">
        <v>0</v>
      </c>
      <c r="AB31" s="72">
        <v>0</v>
      </c>
      <c r="AC31" s="72">
        <v>0</v>
      </c>
      <c r="AD31" s="72">
        <v>0</v>
      </c>
      <c r="AE31" s="72">
        <v>0</v>
      </c>
      <c r="AF31" s="72">
        <v>0</v>
      </c>
      <c r="AG31" s="73">
        <v>27241544.760000002</v>
      </c>
      <c r="AH31" s="72">
        <v>-7800000</v>
      </c>
      <c r="AI31" s="72">
        <v>19441544.760000002</v>
      </c>
      <c r="AJ31" s="73">
        <v>0</v>
      </c>
      <c r="AK31" s="72">
        <v>0</v>
      </c>
      <c r="AL31" s="72">
        <v>0</v>
      </c>
      <c r="AM31" s="73">
        <v>0</v>
      </c>
      <c r="AN31" s="72">
        <v>0</v>
      </c>
      <c r="AO31" s="72">
        <v>0</v>
      </c>
      <c r="AP31" s="73">
        <v>0</v>
      </c>
      <c r="AQ31" s="72">
        <v>0</v>
      </c>
      <c r="AR31" s="72">
        <v>0</v>
      </c>
      <c r="AS31" s="73">
        <v>0</v>
      </c>
      <c r="AT31" s="72">
        <v>0</v>
      </c>
      <c r="AU31" s="72">
        <v>0</v>
      </c>
      <c r="AV31" s="73">
        <v>0</v>
      </c>
      <c r="AW31" s="72">
        <v>0</v>
      </c>
      <c r="AX31" s="72">
        <v>0</v>
      </c>
      <c r="AY31" s="74" t="s">
        <v>0</v>
      </c>
    </row>
    <row r="32" spans="1:51" ht="14.45" customHeight="1">
      <c r="A32" s="66">
        <v>45944</v>
      </c>
      <c r="B32" s="66">
        <v>45944</v>
      </c>
      <c r="C32" s="66">
        <v>45944</v>
      </c>
      <c r="D32" s="67" t="s">
        <v>71</v>
      </c>
      <c r="E32" s="67" t="s">
        <v>0</v>
      </c>
      <c r="F32" s="67"/>
      <c r="G32" s="67" t="s">
        <v>72</v>
      </c>
      <c r="H32" s="67" t="s">
        <v>17</v>
      </c>
      <c r="I32" s="68" t="s">
        <v>15</v>
      </c>
      <c r="J32" s="69">
        <v>2493750</v>
      </c>
      <c r="K32" s="70">
        <v>0</v>
      </c>
      <c r="L32" s="69">
        <v>0</v>
      </c>
      <c r="M32" s="71">
        <v>0</v>
      </c>
      <c r="N32" s="72">
        <v>0</v>
      </c>
      <c r="O32" s="72">
        <v>0</v>
      </c>
      <c r="P32" s="72">
        <v>3431843.45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0</v>
      </c>
      <c r="AD32" s="72">
        <v>0</v>
      </c>
      <c r="AE32" s="72">
        <v>0</v>
      </c>
      <c r="AF32" s="72">
        <v>0</v>
      </c>
      <c r="AG32" s="73">
        <v>27241544.760000002</v>
      </c>
      <c r="AH32" s="72">
        <v>-7800000</v>
      </c>
      <c r="AI32" s="72">
        <v>19441544.760000002</v>
      </c>
      <c r="AJ32" s="73">
        <v>0</v>
      </c>
      <c r="AK32" s="72">
        <v>0</v>
      </c>
      <c r="AL32" s="72">
        <v>0</v>
      </c>
      <c r="AM32" s="73">
        <v>0</v>
      </c>
      <c r="AN32" s="72">
        <v>0</v>
      </c>
      <c r="AO32" s="72">
        <v>0</v>
      </c>
      <c r="AP32" s="73">
        <v>0</v>
      </c>
      <c r="AQ32" s="72">
        <v>0</v>
      </c>
      <c r="AR32" s="72">
        <v>0</v>
      </c>
      <c r="AS32" s="73">
        <v>0</v>
      </c>
      <c r="AT32" s="72">
        <v>0</v>
      </c>
      <c r="AU32" s="72">
        <v>0</v>
      </c>
      <c r="AV32" s="73">
        <v>0</v>
      </c>
      <c r="AW32" s="72">
        <v>0</v>
      </c>
      <c r="AX32" s="72">
        <v>0</v>
      </c>
      <c r="AY32" s="74" t="s">
        <v>0</v>
      </c>
    </row>
    <row r="33" spans="1:51" ht="14.45" customHeight="1">
      <c r="A33" s="66">
        <v>45944</v>
      </c>
      <c r="B33" s="66">
        <v>45944</v>
      </c>
      <c r="C33" s="66">
        <v>45944</v>
      </c>
      <c r="D33" s="67" t="s">
        <v>101</v>
      </c>
      <c r="E33" s="67" t="s">
        <v>102</v>
      </c>
      <c r="F33" s="67"/>
      <c r="G33" s="67" t="s">
        <v>76</v>
      </c>
      <c r="H33" s="67" t="s">
        <v>17</v>
      </c>
      <c r="I33" s="68" t="s">
        <v>15</v>
      </c>
      <c r="J33" s="69">
        <v>-2973750</v>
      </c>
      <c r="K33" s="70">
        <v>0.99119999999999997</v>
      </c>
      <c r="L33" s="69">
        <v>3000000</v>
      </c>
      <c r="M33" s="71">
        <v>0</v>
      </c>
      <c r="N33" s="72">
        <v>0</v>
      </c>
      <c r="O33" s="72">
        <v>0</v>
      </c>
      <c r="P33" s="72">
        <v>458093.45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>
        <v>0</v>
      </c>
      <c r="AD33" s="72">
        <v>0</v>
      </c>
      <c r="AE33" s="72">
        <v>0</v>
      </c>
      <c r="AF33" s="72">
        <v>0</v>
      </c>
      <c r="AG33" s="73">
        <v>30241544.760000002</v>
      </c>
      <c r="AH33" s="72">
        <v>-7800000</v>
      </c>
      <c r="AI33" s="72">
        <v>22441544.760000002</v>
      </c>
      <c r="AJ33" s="73">
        <v>0</v>
      </c>
      <c r="AK33" s="72">
        <v>0</v>
      </c>
      <c r="AL33" s="72">
        <v>0</v>
      </c>
      <c r="AM33" s="73">
        <v>0</v>
      </c>
      <c r="AN33" s="72">
        <v>0</v>
      </c>
      <c r="AO33" s="72">
        <v>0</v>
      </c>
      <c r="AP33" s="73">
        <v>0</v>
      </c>
      <c r="AQ33" s="72">
        <v>0</v>
      </c>
      <c r="AR33" s="72">
        <v>0</v>
      </c>
      <c r="AS33" s="73">
        <v>0</v>
      </c>
      <c r="AT33" s="72">
        <v>0</v>
      </c>
      <c r="AU33" s="72">
        <v>0</v>
      </c>
      <c r="AV33" s="73">
        <v>0</v>
      </c>
      <c r="AW33" s="72">
        <v>0</v>
      </c>
      <c r="AX33" s="72">
        <v>0</v>
      </c>
      <c r="AY33" s="74" t="s">
        <v>0</v>
      </c>
    </row>
    <row r="34" spans="1:51" ht="14.45" customHeight="1">
      <c r="A34" s="66">
        <v>45944</v>
      </c>
      <c r="B34" s="66">
        <v>45940</v>
      </c>
      <c r="C34" s="66">
        <v>45939</v>
      </c>
      <c r="D34" s="67" t="s">
        <v>96</v>
      </c>
      <c r="E34" s="67" t="s">
        <v>80</v>
      </c>
      <c r="F34" s="67" t="s">
        <v>97</v>
      </c>
      <c r="G34" s="67" t="s">
        <v>76</v>
      </c>
      <c r="H34" s="67" t="s">
        <v>17</v>
      </c>
      <c r="I34" s="68" t="s">
        <v>15</v>
      </c>
      <c r="J34" s="69">
        <v>5254591.1900000004</v>
      </c>
      <c r="K34" s="70">
        <v>-0.98750000000000004</v>
      </c>
      <c r="L34" s="69">
        <v>-5321105</v>
      </c>
      <c r="M34" s="71">
        <v>0</v>
      </c>
      <c r="N34" s="72">
        <v>0</v>
      </c>
      <c r="O34" s="72">
        <v>0</v>
      </c>
      <c r="P34" s="72">
        <v>5712684.6399999997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0</v>
      </c>
      <c r="Z34" s="72">
        <v>0</v>
      </c>
      <c r="AA34" s="72">
        <v>0</v>
      </c>
      <c r="AB34" s="72">
        <v>0</v>
      </c>
      <c r="AC34" s="72">
        <v>0</v>
      </c>
      <c r="AD34" s="72">
        <v>0</v>
      </c>
      <c r="AE34" s="72">
        <v>0</v>
      </c>
      <c r="AF34" s="72">
        <v>0</v>
      </c>
      <c r="AG34" s="73">
        <v>24920439.760000002</v>
      </c>
      <c r="AH34" s="72">
        <v>-7800000</v>
      </c>
      <c r="AI34" s="72">
        <v>17120439.760000002</v>
      </c>
      <c r="AJ34" s="73">
        <v>0</v>
      </c>
      <c r="AK34" s="72">
        <v>0</v>
      </c>
      <c r="AL34" s="72">
        <v>0</v>
      </c>
      <c r="AM34" s="73">
        <v>0</v>
      </c>
      <c r="AN34" s="72">
        <v>0</v>
      </c>
      <c r="AO34" s="72">
        <v>0</v>
      </c>
      <c r="AP34" s="73">
        <v>0</v>
      </c>
      <c r="AQ34" s="72">
        <v>0</v>
      </c>
      <c r="AR34" s="72">
        <v>0</v>
      </c>
      <c r="AS34" s="73">
        <v>0</v>
      </c>
      <c r="AT34" s="72">
        <v>0</v>
      </c>
      <c r="AU34" s="72">
        <v>0</v>
      </c>
      <c r="AV34" s="73">
        <v>0</v>
      </c>
      <c r="AW34" s="72">
        <v>0</v>
      </c>
      <c r="AX34" s="72">
        <v>0</v>
      </c>
      <c r="AY34" s="74" t="s">
        <v>0</v>
      </c>
    </row>
    <row r="35" spans="1:51" ht="14.45" customHeight="1">
      <c r="A35" s="66">
        <v>45944</v>
      </c>
      <c r="B35" s="66">
        <v>45940</v>
      </c>
      <c r="C35" s="66">
        <v>45939</v>
      </c>
      <c r="D35" s="67" t="s">
        <v>96</v>
      </c>
      <c r="E35" s="67" t="s">
        <v>98</v>
      </c>
      <c r="F35" s="67"/>
      <c r="G35" s="67" t="s">
        <v>76</v>
      </c>
      <c r="H35" s="67" t="s">
        <v>17</v>
      </c>
      <c r="I35" s="68" t="s">
        <v>15</v>
      </c>
      <c r="J35" s="69">
        <v>98750</v>
      </c>
      <c r="K35" s="70">
        <v>-0.98750000000000004</v>
      </c>
      <c r="L35" s="69">
        <v>0</v>
      </c>
      <c r="M35" s="71">
        <v>7900000</v>
      </c>
      <c r="N35" s="72">
        <v>0</v>
      </c>
      <c r="O35" s="72">
        <v>0</v>
      </c>
      <c r="P35" s="72">
        <v>5811434.6399999997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0</v>
      </c>
      <c r="AD35" s="72">
        <v>0</v>
      </c>
      <c r="AE35" s="72">
        <v>0</v>
      </c>
      <c r="AF35" s="72">
        <v>0</v>
      </c>
      <c r="AG35" s="73">
        <v>24920439.760000002</v>
      </c>
      <c r="AH35" s="72">
        <v>100000</v>
      </c>
      <c r="AI35" s="72">
        <v>25020439.760000002</v>
      </c>
      <c r="AJ35" s="73">
        <v>0</v>
      </c>
      <c r="AK35" s="72">
        <v>0</v>
      </c>
      <c r="AL35" s="72">
        <v>0</v>
      </c>
      <c r="AM35" s="73">
        <v>0</v>
      </c>
      <c r="AN35" s="72">
        <v>0</v>
      </c>
      <c r="AO35" s="72">
        <v>0</v>
      </c>
      <c r="AP35" s="73">
        <v>0</v>
      </c>
      <c r="AQ35" s="72">
        <v>0</v>
      </c>
      <c r="AR35" s="72">
        <v>0</v>
      </c>
      <c r="AS35" s="73">
        <v>0</v>
      </c>
      <c r="AT35" s="72">
        <v>0</v>
      </c>
      <c r="AU35" s="72">
        <v>0</v>
      </c>
      <c r="AV35" s="73">
        <v>0</v>
      </c>
      <c r="AW35" s="72">
        <v>0</v>
      </c>
      <c r="AX35" s="72">
        <v>0</v>
      </c>
      <c r="AY35" s="74" t="s">
        <v>0</v>
      </c>
    </row>
    <row r="36" spans="1:51" ht="14.45" customHeight="1">
      <c r="A36" s="66">
        <v>45944</v>
      </c>
      <c r="B36" s="66">
        <v>45940</v>
      </c>
      <c r="C36" s="66">
        <v>45939</v>
      </c>
      <c r="D36" s="67" t="s">
        <v>96</v>
      </c>
      <c r="E36" s="67" t="s">
        <v>98</v>
      </c>
      <c r="F36" s="67"/>
      <c r="G36" s="67" t="s">
        <v>76</v>
      </c>
      <c r="H36" s="67" t="s">
        <v>17</v>
      </c>
      <c r="I36" s="68" t="s">
        <v>15</v>
      </c>
      <c r="J36" s="69">
        <v>-100000</v>
      </c>
      <c r="K36" s="70">
        <v>-0.98750000000000004</v>
      </c>
      <c r="L36" s="69">
        <v>0</v>
      </c>
      <c r="M36" s="71">
        <v>-100000</v>
      </c>
      <c r="N36" s="72">
        <v>0</v>
      </c>
      <c r="O36" s="72">
        <v>0</v>
      </c>
      <c r="P36" s="72">
        <v>5711434.6399999997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</v>
      </c>
      <c r="AC36" s="72">
        <v>0</v>
      </c>
      <c r="AD36" s="72">
        <v>0</v>
      </c>
      <c r="AE36" s="72">
        <v>0</v>
      </c>
      <c r="AF36" s="72">
        <v>0</v>
      </c>
      <c r="AG36" s="73">
        <v>24920439.760000002</v>
      </c>
      <c r="AH36" s="72">
        <v>0</v>
      </c>
      <c r="AI36" s="72">
        <v>24920439.760000002</v>
      </c>
      <c r="AJ36" s="73">
        <v>0</v>
      </c>
      <c r="AK36" s="72">
        <v>0</v>
      </c>
      <c r="AL36" s="72">
        <v>0</v>
      </c>
      <c r="AM36" s="73">
        <v>0</v>
      </c>
      <c r="AN36" s="72">
        <v>0</v>
      </c>
      <c r="AO36" s="72">
        <v>0</v>
      </c>
      <c r="AP36" s="73">
        <v>0</v>
      </c>
      <c r="AQ36" s="72">
        <v>0</v>
      </c>
      <c r="AR36" s="72">
        <v>0</v>
      </c>
      <c r="AS36" s="73">
        <v>0</v>
      </c>
      <c r="AT36" s="72">
        <v>0</v>
      </c>
      <c r="AU36" s="72">
        <v>0</v>
      </c>
      <c r="AV36" s="73">
        <v>0</v>
      </c>
      <c r="AW36" s="72">
        <v>0</v>
      </c>
      <c r="AX36" s="72">
        <v>0</v>
      </c>
      <c r="AY36" s="74" t="s">
        <v>0</v>
      </c>
    </row>
    <row r="37" spans="1:51" ht="14.45" customHeight="1">
      <c r="A37" s="66">
        <v>45944</v>
      </c>
      <c r="B37" s="66">
        <v>45940</v>
      </c>
      <c r="C37" s="66">
        <v>45939</v>
      </c>
      <c r="D37" s="67" t="s">
        <v>96</v>
      </c>
      <c r="E37" s="67" t="s">
        <v>80</v>
      </c>
      <c r="F37" s="67" t="s">
        <v>97</v>
      </c>
      <c r="G37" s="67" t="s">
        <v>76</v>
      </c>
      <c r="H37" s="67" t="s">
        <v>17</v>
      </c>
      <c r="I37" s="68" t="s">
        <v>15</v>
      </c>
      <c r="J37" s="69">
        <v>-5354591.1900000004</v>
      </c>
      <c r="K37" s="70">
        <v>0.98750000000000004</v>
      </c>
      <c r="L37" s="69">
        <v>5422370.8200000003</v>
      </c>
      <c r="M37" s="71">
        <v>0</v>
      </c>
      <c r="N37" s="72">
        <v>0</v>
      </c>
      <c r="O37" s="72">
        <v>0</v>
      </c>
      <c r="P37" s="72">
        <v>356843.45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0</v>
      </c>
      <c r="AD37" s="72">
        <v>0</v>
      </c>
      <c r="AE37" s="72">
        <v>0</v>
      </c>
      <c r="AF37" s="72">
        <v>0</v>
      </c>
      <c r="AG37" s="73">
        <v>30342810.579999998</v>
      </c>
      <c r="AH37" s="72">
        <v>0</v>
      </c>
      <c r="AI37" s="72">
        <v>30342810.579999998</v>
      </c>
      <c r="AJ37" s="73">
        <v>0</v>
      </c>
      <c r="AK37" s="72">
        <v>0</v>
      </c>
      <c r="AL37" s="72">
        <v>0</v>
      </c>
      <c r="AM37" s="73">
        <v>0</v>
      </c>
      <c r="AN37" s="72">
        <v>0</v>
      </c>
      <c r="AO37" s="72">
        <v>0</v>
      </c>
      <c r="AP37" s="73">
        <v>0</v>
      </c>
      <c r="AQ37" s="72">
        <v>0</v>
      </c>
      <c r="AR37" s="72">
        <v>0</v>
      </c>
      <c r="AS37" s="73">
        <v>0</v>
      </c>
      <c r="AT37" s="72">
        <v>0</v>
      </c>
      <c r="AU37" s="72">
        <v>0</v>
      </c>
      <c r="AV37" s="73">
        <v>0</v>
      </c>
      <c r="AW37" s="72">
        <v>0</v>
      </c>
      <c r="AX37" s="72">
        <v>0</v>
      </c>
      <c r="AY37" s="74" t="s">
        <v>0</v>
      </c>
    </row>
    <row r="38" spans="1:51" ht="14.45" customHeight="1">
      <c r="A38" s="66">
        <v>45944</v>
      </c>
      <c r="B38" s="66">
        <v>45940</v>
      </c>
      <c r="C38" s="66">
        <v>45939</v>
      </c>
      <c r="D38" s="67" t="s">
        <v>96</v>
      </c>
      <c r="E38" s="67" t="s">
        <v>80</v>
      </c>
      <c r="F38" s="67" t="s">
        <v>97</v>
      </c>
      <c r="G38" s="67" t="s">
        <v>76</v>
      </c>
      <c r="H38" s="67" t="s">
        <v>17</v>
      </c>
      <c r="I38" s="68" t="s">
        <v>15</v>
      </c>
      <c r="J38" s="69">
        <v>100000</v>
      </c>
      <c r="K38" s="70">
        <v>0.98750000000000004</v>
      </c>
      <c r="L38" s="69">
        <v>-101265.82</v>
      </c>
      <c r="M38" s="71">
        <v>0</v>
      </c>
      <c r="N38" s="72">
        <v>0</v>
      </c>
      <c r="O38" s="72">
        <v>0</v>
      </c>
      <c r="P38" s="72">
        <v>456843.45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0</v>
      </c>
      <c r="AD38" s="72">
        <v>0</v>
      </c>
      <c r="AE38" s="72">
        <v>0</v>
      </c>
      <c r="AF38" s="72">
        <v>0</v>
      </c>
      <c r="AG38" s="73">
        <v>30241544.760000002</v>
      </c>
      <c r="AH38" s="72">
        <v>0</v>
      </c>
      <c r="AI38" s="72">
        <v>30241544.760000002</v>
      </c>
      <c r="AJ38" s="73">
        <v>0</v>
      </c>
      <c r="AK38" s="72">
        <v>0</v>
      </c>
      <c r="AL38" s="72">
        <v>0</v>
      </c>
      <c r="AM38" s="73">
        <v>0</v>
      </c>
      <c r="AN38" s="72">
        <v>0</v>
      </c>
      <c r="AO38" s="72">
        <v>0</v>
      </c>
      <c r="AP38" s="73">
        <v>0</v>
      </c>
      <c r="AQ38" s="72">
        <v>0</v>
      </c>
      <c r="AR38" s="72">
        <v>0</v>
      </c>
      <c r="AS38" s="73">
        <v>0</v>
      </c>
      <c r="AT38" s="72">
        <v>0</v>
      </c>
      <c r="AU38" s="72">
        <v>0</v>
      </c>
      <c r="AV38" s="73">
        <v>0</v>
      </c>
      <c r="AW38" s="72">
        <v>0</v>
      </c>
      <c r="AX38" s="72">
        <v>0</v>
      </c>
      <c r="AY38" s="74" t="s">
        <v>0</v>
      </c>
    </row>
    <row r="39" spans="1:51" ht="14.45" customHeight="1">
      <c r="A39" s="66">
        <v>45944</v>
      </c>
      <c r="B39" s="66">
        <v>45940</v>
      </c>
      <c r="C39" s="66">
        <v>45939</v>
      </c>
      <c r="D39" s="67" t="s">
        <v>96</v>
      </c>
      <c r="E39" s="67" t="s">
        <v>98</v>
      </c>
      <c r="F39" s="67"/>
      <c r="G39" s="67" t="s">
        <v>76</v>
      </c>
      <c r="H39" s="67" t="s">
        <v>17</v>
      </c>
      <c r="I39" s="68" t="s">
        <v>15</v>
      </c>
      <c r="J39" s="69">
        <v>1250</v>
      </c>
      <c r="K39" s="70">
        <v>0.98750000000000004</v>
      </c>
      <c r="L39" s="69">
        <v>0</v>
      </c>
      <c r="M39" s="71">
        <v>100000</v>
      </c>
      <c r="N39" s="72">
        <v>0</v>
      </c>
      <c r="O39" s="72">
        <v>0</v>
      </c>
      <c r="P39" s="72">
        <v>458093.45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0</v>
      </c>
      <c r="AD39" s="72">
        <v>0</v>
      </c>
      <c r="AE39" s="72">
        <v>0</v>
      </c>
      <c r="AF39" s="72">
        <v>0</v>
      </c>
      <c r="AG39" s="73">
        <v>30241544.760000002</v>
      </c>
      <c r="AH39" s="72">
        <v>100000</v>
      </c>
      <c r="AI39" s="72">
        <v>30341544.760000002</v>
      </c>
      <c r="AJ39" s="73">
        <v>0</v>
      </c>
      <c r="AK39" s="72">
        <v>0</v>
      </c>
      <c r="AL39" s="72">
        <v>0</v>
      </c>
      <c r="AM39" s="73">
        <v>0</v>
      </c>
      <c r="AN39" s="72">
        <v>0</v>
      </c>
      <c r="AO39" s="72">
        <v>0</v>
      </c>
      <c r="AP39" s="73">
        <v>0</v>
      </c>
      <c r="AQ39" s="72">
        <v>0</v>
      </c>
      <c r="AR39" s="72">
        <v>0</v>
      </c>
      <c r="AS39" s="73">
        <v>0</v>
      </c>
      <c r="AT39" s="72">
        <v>0</v>
      </c>
      <c r="AU39" s="72">
        <v>0</v>
      </c>
      <c r="AV39" s="73">
        <v>0</v>
      </c>
      <c r="AW39" s="72">
        <v>0</v>
      </c>
      <c r="AX39" s="72">
        <v>0</v>
      </c>
      <c r="AY39" s="74" t="s">
        <v>0</v>
      </c>
    </row>
    <row r="40" spans="1:51" ht="14.45" customHeight="1">
      <c r="A40" s="66">
        <v>45945</v>
      </c>
      <c r="B40" s="66">
        <v>45945</v>
      </c>
      <c r="C40" s="66">
        <v>45945</v>
      </c>
      <c r="D40" s="67" t="s">
        <v>82</v>
      </c>
      <c r="E40" s="67" t="s">
        <v>83</v>
      </c>
      <c r="F40" s="67" t="s">
        <v>84</v>
      </c>
      <c r="G40" s="67" t="s">
        <v>103</v>
      </c>
      <c r="H40" s="67" t="s">
        <v>16</v>
      </c>
      <c r="I40" s="68" t="s">
        <v>15</v>
      </c>
      <c r="J40" s="69">
        <v>1798.32</v>
      </c>
      <c r="K40" s="70">
        <v>0</v>
      </c>
      <c r="L40" s="69">
        <v>0</v>
      </c>
      <c r="M40" s="71">
        <v>0</v>
      </c>
      <c r="N40" s="72">
        <v>0</v>
      </c>
      <c r="O40" s="72">
        <v>1798.32</v>
      </c>
      <c r="P40" s="72">
        <v>458093.45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0</v>
      </c>
      <c r="AD40" s="72">
        <v>0</v>
      </c>
      <c r="AE40" s="72">
        <v>0</v>
      </c>
      <c r="AF40" s="72">
        <v>0</v>
      </c>
      <c r="AG40" s="73">
        <v>30241544.760000002</v>
      </c>
      <c r="AH40" s="72">
        <v>100000</v>
      </c>
      <c r="AI40" s="72">
        <v>30341544.760000002</v>
      </c>
      <c r="AJ40" s="73">
        <v>0</v>
      </c>
      <c r="AK40" s="72">
        <v>0</v>
      </c>
      <c r="AL40" s="72">
        <v>0</v>
      </c>
      <c r="AM40" s="73">
        <v>0</v>
      </c>
      <c r="AN40" s="72">
        <v>0</v>
      </c>
      <c r="AO40" s="72">
        <v>0</v>
      </c>
      <c r="AP40" s="73">
        <v>0</v>
      </c>
      <c r="AQ40" s="72">
        <v>0</v>
      </c>
      <c r="AR40" s="72">
        <v>0</v>
      </c>
      <c r="AS40" s="73">
        <v>0</v>
      </c>
      <c r="AT40" s="72">
        <v>0</v>
      </c>
      <c r="AU40" s="72">
        <v>0</v>
      </c>
      <c r="AV40" s="73">
        <v>0</v>
      </c>
      <c r="AW40" s="72">
        <v>0</v>
      </c>
      <c r="AX40" s="72">
        <v>0</v>
      </c>
      <c r="AY40" s="74" t="s">
        <v>0</v>
      </c>
    </row>
    <row r="41" spans="1:51" ht="14.45" customHeight="1">
      <c r="A41" s="66">
        <v>45947</v>
      </c>
      <c r="B41" s="66">
        <v>45946</v>
      </c>
      <c r="C41" s="66">
        <v>45946</v>
      </c>
      <c r="D41" s="67" t="s">
        <v>1</v>
      </c>
      <c r="E41" s="67" t="s">
        <v>69</v>
      </c>
      <c r="F41" s="67"/>
      <c r="G41" s="67" t="s">
        <v>85</v>
      </c>
      <c r="H41" s="67" t="s">
        <v>17</v>
      </c>
      <c r="I41" s="68" t="s">
        <v>15</v>
      </c>
      <c r="J41" s="69">
        <v>4000000</v>
      </c>
      <c r="K41" s="70">
        <v>1</v>
      </c>
      <c r="L41" s="69">
        <v>0</v>
      </c>
      <c r="M41" s="71">
        <v>0</v>
      </c>
      <c r="N41" s="72">
        <v>0</v>
      </c>
      <c r="O41" s="72">
        <v>1798.32</v>
      </c>
      <c r="P41" s="72">
        <v>4458093.45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0</v>
      </c>
      <c r="AD41" s="72">
        <v>0</v>
      </c>
      <c r="AE41" s="72">
        <v>0</v>
      </c>
      <c r="AF41" s="72">
        <v>0</v>
      </c>
      <c r="AG41" s="73">
        <v>30241544.760000002</v>
      </c>
      <c r="AH41" s="72">
        <v>100000</v>
      </c>
      <c r="AI41" s="72">
        <v>30341544.760000002</v>
      </c>
      <c r="AJ41" s="73">
        <v>0</v>
      </c>
      <c r="AK41" s="72">
        <v>0</v>
      </c>
      <c r="AL41" s="72">
        <v>0</v>
      </c>
      <c r="AM41" s="73">
        <v>0</v>
      </c>
      <c r="AN41" s="72">
        <v>0</v>
      </c>
      <c r="AO41" s="72">
        <v>0</v>
      </c>
      <c r="AP41" s="73">
        <v>0</v>
      </c>
      <c r="AQ41" s="72">
        <v>0</v>
      </c>
      <c r="AR41" s="72">
        <v>0</v>
      </c>
      <c r="AS41" s="73">
        <v>0</v>
      </c>
      <c r="AT41" s="72">
        <v>0</v>
      </c>
      <c r="AU41" s="72">
        <v>0</v>
      </c>
      <c r="AV41" s="73">
        <v>0</v>
      </c>
      <c r="AW41" s="72">
        <v>0</v>
      </c>
      <c r="AX41" s="72">
        <v>0</v>
      </c>
      <c r="AY41" s="74" t="s">
        <v>0</v>
      </c>
    </row>
    <row r="42" spans="1:51" ht="14.45" customHeight="1">
      <c r="A42" s="66">
        <v>45951</v>
      </c>
      <c r="B42" s="66">
        <v>45932</v>
      </c>
      <c r="C42" s="66">
        <v>45932</v>
      </c>
      <c r="D42" s="67" t="s">
        <v>104</v>
      </c>
      <c r="E42" s="67" t="s">
        <v>74</v>
      </c>
      <c r="F42" s="67" t="s">
        <v>105</v>
      </c>
      <c r="G42" s="67" t="s">
        <v>76</v>
      </c>
      <c r="H42" s="67" t="s">
        <v>17</v>
      </c>
      <c r="I42" s="68" t="s">
        <v>15</v>
      </c>
      <c r="J42" s="69">
        <v>-1448404.86</v>
      </c>
      <c r="K42" s="70">
        <v>0.98750000000000004</v>
      </c>
      <c r="L42" s="69">
        <v>1466739.1</v>
      </c>
      <c r="M42" s="71">
        <v>0</v>
      </c>
      <c r="N42" s="72">
        <v>0</v>
      </c>
      <c r="O42" s="72">
        <v>1798.32</v>
      </c>
      <c r="P42" s="72">
        <v>3009688.59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0</v>
      </c>
      <c r="AD42" s="72">
        <v>0</v>
      </c>
      <c r="AE42" s="72">
        <v>0</v>
      </c>
      <c r="AF42" s="72">
        <v>0</v>
      </c>
      <c r="AG42" s="73">
        <v>31708283.859999999</v>
      </c>
      <c r="AH42" s="72">
        <v>100000</v>
      </c>
      <c r="AI42" s="72">
        <v>31808283.859999999</v>
      </c>
      <c r="AJ42" s="73">
        <v>0</v>
      </c>
      <c r="AK42" s="72">
        <v>0</v>
      </c>
      <c r="AL42" s="72">
        <v>0</v>
      </c>
      <c r="AM42" s="73">
        <v>0</v>
      </c>
      <c r="AN42" s="72">
        <v>0</v>
      </c>
      <c r="AO42" s="72">
        <v>0</v>
      </c>
      <c r="AP42" s="73">
        <v>0</v>
      </c>
      <c r="AQ42" s="72">
        <v>0</v>
      </c>
      <c r="AR42" s="72">
        <v>0</v>
      </c>
      <c r="AS42" s="73">
        <v>0</v>
      </c>
      <c r="AT42" s="72">
        <v>0</v>
      </c>
      <c r="AU42" s="72">
        <v>0</v>
      </c>
      <c r="AV42" s="73">
        <v>0</v>
      </c>
      <c r="AW42" s="72">
        <v>0</v>
      </c>
      <c r="AX42" s="72">
        <v>0</v>
      </c>
      <c r="AY42" s="74" t="s">
        <v>0</v>
      </c>
    </row>
    <row r="43" spans="1:51" ht="14.45" customHeight="1">
      <c r="A43" s="66">
        <v>45952</v>
      </c>
      <c r="B43" s="66">
        <v>45952</v>
      </c>
      <c r="C43" s="66">
        <v>45952</v>
      </c>
      <c r="D43" s="67" t="s">
        <v>104</v>
      </c>
      <c r="E43" s="67" t="s">
        <v>74</v>
      </c>
      <c r="F43" s="67" t="s">
        <v>105</v>
      </c>
      <c r="G43" s="67" t="s">
        <v>103</v>
      </c>
      <c r="H43" s="67" t="s">
        <v>16</v>
      </c>
      <c r="I43" s="68" t="s">
        <v>15</v>
      </c>
      <c r="J43" s="69">
        <v>8055.2</v>
      </c>
      <c r="K43" s="70">
        <v>0</v>
      </c>
      <c r="L43" s="69">
        <v>0</v>
      </c>
      <c r="M43" s="71">
        <v>0</v>
      </c>
      <c r="N43" s="72">
        <v>0</v>
      </c>
      <c r="O43" s="72">
        <v>9853.52</v>
      </c>
      <c r="P43" s="72">
        <v>3009688.59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0</v>
      </c>
      <c r="AD43" s="72">
        <v>0</v>
      </c>
      <c r="AE43" s="72">
        <v>0</v>
      </c>
      <c r="AF43" s="72">
        <v>0</v>
      </c>
      <c r="AG43" s="73">
        <v>31708283.859999999</v>
      </c>
      <c r="AH43" s="72">
        <v>100000</v>
      </c>
      <c r="AI43" s="72">
        <v>31808283.859999999</v>
      </c>
      <c r="AJ43" s="73">
        <v>0</v>
      </c>
      <c r="AK43" s="72">
        <v>0</v>
      </c>
      <c r="AL43" s="72">
        <v>0</v>
      </c>
      <c r="AM43" s="73">
        <v>0</v>
      </c>
      <c r="AN43" s="72">
        <v>0</v>
      </c>
      <c r="AO43" s="72">
        <v>0</v>
      </c>
      <c r="AP43" s="73">
        <v>0</v>
      </c>
      <c r="AQ43" s="72">
        <v>0</v>
      </c>
      <c r="AR43" s="72">
        <v>0</v>
      </c>
      <c r="AS43" s="73">
        <v>0</v>
      </c>
      <c r="AT43" s="72">
        <v>0</v>
      </c>
      <c r="AU43" s="72">
        <v>0</v>
      </c>
      <c r="AV43" s="73">
        <v>0</v>
      </c>
      <c r="AW43" s="72">
        <v>0</v>
      </c>
      <c r="AX43" s="72">
        <v>0</v>
      </c>
      <c r="AY43" s="74" t="s">
        <v>0</v>
      </c>
    </row>
    <row r="44" spans="1:51" ht="14.45" customHeight="1">
      <c r="A44" s="66">
        <v>45961</v>
      </c>
      <c r="B44" s="66">
        <v>45961</v>
      </c>
      <c r="C44" s="66">
        <v>45961</v>
      </c>
      <c r="D44" s="67" t="s">
        <v>92</v>
      </c>
      <c r="E44" s="67" t="s">
        <v>93</v>
      </c>
      <c r="F44" s="67" t="s">
        <v>94</v>
      </c>
      <c r="G44" s="67" t="s">
        <v>103</v>
      </c>
      <c r="H44" s="67" t="s">
        <v>16</v>
      </c>
      <c r="I44" s="68" t="s">
        <v>15</v>
      </c>
      <c r="J44" s="69">
        <v>14763.53</v>
      </c>
      <c r="K44" s="70">
        <v>0</v>
      </c>
      <c r="L44" s="69">
        <v>0</v>
      </c>
      <c r="M44" s="71">
        <v>0</v>
      </c>
      <c r="N44" s="72">
        <v>0</v>
      </c>
      <c r="O44" s="72">
        <v>24617.05</v>
      </c>
      <c r="P44" s="72">
        <v>3009688.59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0</v>
      </c>
      <c r="AD44" s="72">
        <v>0</v>
      </c>
      <c r="AE44" s="72">
        <v>0</v>
      </c>
      <c r="AF44" s="72">
        <v>0</v>
      </c>
      <c r="AG44" s="73">
        <v>31708283.859999999</v>
      </c>
      <c r="AH44" s="72">
        <v>100000</v>
      </c>
      <c r="AI44" s="72">
        <v>31808283.859999999</v>
      </c>
      <c r="AJ44" s="73">
        <v>0</v>
      </c>
      <c r="AK44" s="72">
        <v>0</v>
      </c>
      <c r="AL44" s="72">
        <v>0</v>
      </c>
      <c r="AM44" s="73">
        <v>0</v>
      </c>
      <c r="AN44" s="72">
        <v>0</v>
      </c>
      <c r="AO44" s="72">
        <v>0</v>
      </c>
      <c r="AP44" s="73">
        <v>0</v>
      </c>
      <c r="AQ44" s="72">
        <v>0</v>
      </c>
      <c r="AR44" s="72">
        <v>0</v>
      </c>
      <c r="AS44" s="73">
        <v>0</v>
      </c>
      <c r="AT44" s="72">
        <v>0</v>
      </c>
      <c r="AU44" s="72">
        <v>0</v>
      </c>
      <c r="AV44" s="73">
        <v>0</v>
      </c>
      <c r="AW44" s="72">
        <v>0</v>
      </c>
      <c r="AX44" s="72">
        <v>0</v>
      </c>
      <c r="AY44" s="74" t="s">
        <v>0</v>
      </c>
    </row>
    <row r="45" spans="1:51" ht="14.45" customHeight="1">
      <c r="A45" s="66">
        <v>45964</v>
      </c>
      <c r="B45" s="66">
        <v>45961</v>
      </c>
      <c r="C45" s="66">
        <v>45961</v>
      </c>
      <c r="D45" s="67" t="s">
        <v>88</v>
      </c>
      <c r="E45" s="67" t="s">
        <v>74</v>
      </c>
      <c r="F45" s="67"/>
      <c r="G45" s="67" t="s">
        <v>103</v>
      </c>
      <c r="H45" s="67" t="s">
        <v>16</v>
      </c>
      <c r="I45" s="68" t="s">
        <v>15</v>
      </c>
      <c r="J45" s="69">
        <v>17331.61</v>
      </c>
      <c r="K45" s="70">
        <v>0</v>
      </c>
      <c r="L45" s="69">
        <v>0</v>
      </c>
      <c r="M45" s="71">
        <v>0</v>
      </c>
      <c r="N45" s="72">
        <v>0</v>
      </c>
      <c r="O45" s="72">
        <v>41948.66</v>
      </c>
      <c r="P45" s="72">
        <v>3009688.59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0</v>
      </c>
      <c r="AD45" s="72">
        <v>0</v>
      </c>
      <c r="AE45" s="72">
        <v>0</v>
      </c>
      <c r="AF45" s="72">
        <v>0</v>
      </c>
      <c r="AG45" s="73">
        <v>31708283.859999999</v>
      </c>
      <c r="AH45" s="72">
        <v>100000</v>
      </c>
      <c r="AI45" s="72">
        <v>31808283.859999999</v>
      </c>
      <c r="AJ45" s="73">
        <v>0</v>
      </c>
      <c r="AK45" s="72">
        <v>0</v>
      </c>
      <c r="AL45" s="72">
        <v>0</v>
      </c>
      <c r="AM45" s="73">
        <v>0</v>
      </c>
      <c r="AN45" s="72">
        <v>0</v>
      </c>
      <c r="AO45" s="72">
        <v>0</v>
      </c>
      <c r="AP45" s="73">
        <v>0</v>
      </c>
      <c r="AQ45" s="72">
        <v>0</v>
      </c>
      <c r="AR45" s="72">
        <v>0</v>
      </c>
      <c r="AS45" s="73">
        <v>0</v>
      </c>
      <c r="AT45" s="72">
        <v>0</v>
      </c>
      <c r="AU45" s="72">
        <v>0</v>
      </c>
      <c r="AV45" s="73">
        <v>0</v>
      </c>
      <c r="AW45" s="72">
        <v>0</v>
      </c>
      <c r="AX45" s="72">
        <v>0</v>
      </c>
      <c r="AY45" s="74" t="s">
        <v>0</v>
      </c>
    </row>
    <row r="46" spans="1:51" ht="14.45" customHeight="1">
      <c r="A46" s="66">
        <v>45964</v>
      </c>
      <c r="B46" s="66">
        <v>45961</v>
      </c>
      <c r="C46" s="66">
        <v>45961</v>
      </c>
      <c r="D46" s="67" t="s">
        <v>106</v>
      </c>
      <c r="E46" s="67" t="s">
        <v>74</v>
      </c>
      <c r="F46" s="67" t="s">
        <v>107</v>
      </c>
      <c r="G46" s="67" t="s">
        <v>76</v>
      </c>
      <c r="H46" s="67" t="s">
        <v>17</v>
      </c>
      <c r="I46" s="68" t="s">
        <v>15</v>
      </c>
      <c r="J46" s="69">
        <v>-1960557.81</v>
      </c>
      <c r="K46" s="70">
        <v>0.98750000000000004</v>
      </c>
      <c r="L46" s="69">
        <v>1985375</v>
      </c>
      <c r="M46" s="71">
        <v>0</v>
      </c>
      <c r="N46" s="72">
        <v>0</v>
      </c>
      <c r="O46" s="72">
        <v>41948.66</v>
      </c>
      <c r="P46" s="72">
        <v>1049130.78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3">
        <v>33693658.859999999</v>
      </c>
      <c r="AH46" s="72">
        <v>100000</v>
      </c>
      <c r="AI46" s="72">
        <v>33793658.859999999</v>
      </c>
      <c r="AJ46" s="73">
        <v>0</v>
      </c>
      <c r="AK46" s="72">
        <v>0</v>
      </c>
      <c r="AL46" s="72">
        <v>0</v>
      </c>
      <c r="AM46" s="73">
        <v>0</v>
      </c>
      <c r="AN46" s="72">
        <v>0</v>
      </c>
      <c r="AO46" s="72">
        <v>0</v>
      </c>
      <c r="AP46" s="73">
        <v>0</v>
      </c>
      <c r="AQ46" s="72">
        <v>0</v>
      </c>
      <c r="AR46" s="72">
        <v>0</v>
      </c>
      <c r="AS46" s="73">
        <v>0</v>
      </c>
      <c r="AT46" s="72">
        <v>0</v>
      </c>
      <c r="AU46" s="72">
        <v>0</v>
      </c>
      <c r="AV46" s="73">
        <v>0</v>
      </c>
      <c r="AW46" s="72">
        <v>0</v>
      </c>
      <c r="AX46" s="72">
        <v>0</v>
      </c>
      <c r="AY46" s="74" t="s">
        <v>0</v>
      </c>
    </row>
    <row r="47" spans="1:51" ht="14.45" customHeight="1">
      <c r="A47" s="66">
        <v>45967</v>
      </c>
      <c r="B47" s="66">
        <v>45965</v>
      </c>
      <c r="C47" s="66">
        <v>45961</v>
      </c>
      <c r="D47" s="67" t="s">
        <v>108</v>
      </c>
      <c r="E47" s="67" t="s">
        <v>109</v>
      </c>
      <c r="F47" s="67" t="s">
        <v>110</v>
      </c>
      <c r="G47" s="67" t="s">
        <v>76</v>
      </c>
      <c r="H47" s="67" t="s">
        <v>17</v>
      </c>
      <c r="I47" s="68" t="s">
        <v>15</v>
      </c>
      <c r="J47" s="69">
        <v>-3714975</v>
      </c>
      <c r="K47" s="70">
        <v>0.98750000000000004</v>
      </c>
      <c r="L47" s="69">
        <v>3762000</v>
      </c>
      <c r="M47" s="71">
        <v>0</v>
      </c>
      <c r="N47" s="72">
        <v>0</v>
      </c>
      <c r="O47" s="72">
        <v>41948.66</v>
      </c>
      <c r="P47" s="72">
        <v>-2665844.2200000002</v>
      </c>
      <c r="Q47" s="72">
        <v>0</v>
      </c>
      <c r="R47" s="72">
        <v>0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0</v>
      </c>
      <c r="AD47" s="72">
        <v>0</v>
      </c>
      <c r="AE47" s="72">
        <v>0</v>
      </c>
      <c r="AF47" s="72">
        <v>0</v>
      </c>
      <c r="AG47" s="73">
        <v>37455658.859999999</v>
      </c>
      <c r="AH47" s="72">
        <v>100000</v>
      </c>
      <c r="AI47" s="72">
        <v>37555658.859999999</v>
      </c>
      <c r="AJ47" s="73">
        <v>0</v>
      </c>
      <c r="AK47" s="72">
        <v>0</v>
      </c>
      <c r="AL47" s="72">
        <v>0</v>
      </c>
      <c r="AM47" s="73">
        <v>0</v>
      </c>
      <c r="AN47" s="72">
        <v>0</v>
      </c>
      <c r="AO47" s="72">
        <v>0</v>
      </c>
      <c r="AP47" s="73">
        <v>0</v>
      </c>
      <c r="AQ47" s="72">
        <v>0</v>
      </c>
      <c r="AR47" s="72">
        <v>0</v>
      </c>
      <c r="AS47" s="73">
        <v>0</v>
      </c>
      <c r="AT47" s="72">
        <v>0</v>
      </c>
      <c r="AU47" s="72">
        <v>0</v>
      </c>
      <c r="AV47" s="73">
        <v>0</v>
      </c>
      <c r="AW47" s="72">
        <v>0</v>
      </c>
      <c r="AX47" s="72">
        <v>0</v>
      </c>
      <c r="AY47" s="74" t="s">
        <v>0</v>
      </c>
    </row>
    <row r="48" spans="1:51" ht="14.45" customHeight="1">
      <c r="A48" s="66">
        <v>45967</v>
      </c>
      <c r="B48" s="66">
        <v>45967</v>
      </c>
      <c r="C48" s="66">
        <v>45967</v>
      </c>
      <c r="D48" s="67" t="s">
        <v>71</v>
      </c>
      <c r="E48" s="67" t="s">
        <v>0</v>
      </c>
      <c r="F48" s="67"/>
      <c r="G48" s="67" t="s">
        <v>72</v>
      </c>
      <c r="H48" s="67" t="s">
        <v>17</v>
      </c>
      <c r="I48" s="68" t="s">
        <v>15</v>
      </c>
      <c r="J48" s="69">
        <v>32500000</v>
      </c>
      <c r="K48" s="70">
        <v>0</v>
      </c>
      <c r="L48" s="69">
        <v>0</v>
      </c>
      <c r="M48" s="71">
        <v>0</v>
      </c>
      <c r="N48" s="72">
        <v>0</v>
      </c>
      <c r="O48" s="72">
        <v>41948.66</v>
      </c>
      <c r="P48" s="72">
        <v>29834155.780000001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0</v>
      </c>
      <c r="AD48" s="72">
        <v>0</v>
      </c>
      <c r="AE48" s="72">
        <v>0</v>
      </c>
      <c r="AF48" s="72">
        <v>0</v>
      </c>
      <c r="AG48" s="73">
        <v>37455658.859999999</v>
      </c>
      <c r="AH48" s="72">
        <v>100000</v>
      </c>
      <c r="AI48" s="72">
        <v>37555658.859999999</v>
      </c>
      <c r="AJ48" s="73">
        <v>0</v>
      </c>
      <c r="AK48" s="72">
        <v>0</v>
      </c>
      <c r="AL48" s="72">
        <v>0</v>
      </c>
      <c r="AM48" s="73">
        <v>0</v>
      </c>
      <c r="AN48" s="72">
        <v>0</v>
      </c>
      <c r="AO48" s="72">
        <v>0</v>
      </c>
      <c r="AP48" s="73">
        <v>0</v>
      </c>
      <c r="AQ48" s="72">
        <v>0</v>
      </c>
      <c r="AR48" s="72">
        <v>0</v>
      </c>
      <c r="AS48" s="73">
        <v>0</v>
      </c>
      <c r="AT48" s="72">
        <v>0</v>
      </c>
      <c r="AU48" s="72">
        <v>0</v>
      </c>
      <c r="AV48" s="73">
        <v>0</v>
      </c>
      <c r="AW48" s="72">
        <v>0</v>
      </c>
      <c r="AX48" s="72">
        <v>0</v>
      </c>
      <c r="AY48" s="74" t="s">
        <v>0</v>
      </c>
    </row>
    <row r="49" spans="1:51" ht="14.45" customHeight="1">
      <c r="A49" s="66">
        <v>45967</v>
      </c>
      <c r="B49" s="66">
        <v>45967</v>
      </c>
      <c r="C49" s="66">
        <v>45967</v>
      </c>
      <c r="D49" s="67" t="s">
        <v>1</v>
      </c>
      <c r="E49" s="67" t="s">
        <v>69</v>
      </c>
      <c r="F49" s="67"/>
      <c r="G49" s="67" t="s">
        <v>111</v>
      </c>
      <c r="H49" s="67" t="s">
        <v>17</v>
      </c>
      <c r="I49" s="68" t="s">
        <v>15</v>
      </c>
      <c r="J49" s="69">
        <v>-16500000</v>
      </c>
      <c r="K49" s="70">
        <v>0</v>
      </c>
      <c r="L49" s="69">
        <v>0</v>
      </c>
      <c r="M49" s="71">
        <v>0</v>
      </c>
      <c r="N49" s="72">
        <v>0</v>
      </c>
      <c r="O49" s="72">
        <v>41948.66</v>
      </c>
      <c r="P49" s="72">
        <v>13334155.779999999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0</v>
      </c>
      <c r="AD49" s="72">
        <v>0</v>
      </c>
      <c r="AE49" s="72">
        <v>0</v>
      </c>
      <c r="AF49" s="72">
        <v>0</v>
      </c>
      <c r="AG49" s="73">
        <v>37455658.859999999</v>
      </c>
      <c r="AH49" s="72">
        <v>100000</v>
      </c>
      <c r="AI49" s="72">
        <v>37555658.859999999</v>
      </c>
      <c r="AJ49" s="73">
        <v>0</v>
      </c>
      <c r="AK49" s="72">
        <v>0</v>
      </c>
      <c r="AL49" s="72">
        <v>0</v>
      </c>
      <c r="AM49" s="73">
        <v>0</v>
      </c>
      <c r="AN49" s="72">
        <v>0</v>
      </c>
      <c r="AO49" s="72">
        <v>0</v>
      </c>
      <c r="AP49" s="73">
        <v>0</v>
      </c>
      <c r="AQ49" s="72">
        <v>0</v>
      </c>
      <c r="AR49" s="72">
        <v>0</v>
      </c>
      <c r="AS49" s="73">
        <v>0</v>
      </c>
      <c r="AT49" s="72">
        <v>0</v>
      </c>
      <c r="AU49" s="72">
        <v>0</v>
      </c>
      <c r="AV49" s="73">
        <v>0</v>
      </c>
      <c r="AW49" s="72">
        <v>0</v>
      </c>
      <c r="AX49" s="72">
        <v>0</v>
      </c>
      <c r="AY49" s="74" t="s">
        <v>0</v>
      </c>
    </row>
    <row r="50" spans="1:51" ht="14.45" customHeight="1">
      <c r="A50" s="66">
        <v>45971</v>
      </c>
      <c r="B50" s="66">
        <v>45971</v>
      </c>
      <c r="C50" s="66">
        <v>45961</v>
      </c>
      <c r="D50" s="67" t="s">
        <v>112</v>
      </c>
      <c r="E50" s="67" t="s">
        <v>80</v>
      </c>
      <c r="F50" s="67"/>
      <c r="G50" s="67" t="s">
        <v>76</v>
      </c>
      <c r="H50" s="67" t="s">
        <v>17</v>
      </c>
      <c r="I50" s="68" t="s">
        <v>15</v>
      </c>
      <c r="J50" s="69">
        <v>-4993750</v>
      </c>
      <c r="K50" s="70">
        <v>0.99880000000000002</v>
      </c>
      <c r="L50" s="69">
        <v>5000000</v>
      </c>
      <c r="M50" s="71">
        <v>0</v>
      </c>
      <c r="N50" s="72">
        <v>0</v>
      </c>
      <c r="O50" s="72">
        <v>41948.66</v>
      </c>
      <c r="P50" s="72">
        <v>8340405.7800000003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0</v>
      </c>
      <c r="AD50" s="72">
        <v>0</v>
      </c>
      <c r="AE50" s="72">
        <v>0</v>
      </c>
      <c r="AF50" s="72">
        <v>0</v>
      </c>
      <c r="AG50" s="73">
        <v>42455658.859999999</v>
      </c>
      <c r="AH50" s="72">
        <v>100000</v>
      </c>
      <c r="AI50" s="72">
        <v>42555658.859999999</v>
      </c>
      <c r="AJ50" s="73">
        <v>0</v>
      </c>
      <c r="AK50" s="72">
        <v>0</v>
      </c>
      <c r="AL50" s="72">
        <v>0</v>
      </c>
      <c r="AM50" s="73">
        <v>0</v>
      </c>
      <c r="AN50" s="72">
        <v>0</v>
      </c>
      <c r="AO50" s="72">
        <v>0</v>
      </c>
      <c r="AP50" s="73">
        <v>0</v>
      </c>
      <c r="AQ50" s="72">
        <v>0</v>
      </c>
      <c r="AR50" s="72">
        <v>0</v>
      </c>
      <c r="AS50" s="73">
        <v>0</v>
      </c>
      <c r="AT50" s="72">
        <v>0</v>
      </c>
      <c r="AU50" s="72">
        <v>0</v>
      </c>
      <c r="AV50" s="73">
        <v>0</v>
      </c>
      <c r="AW50" s="72">
        <v>0</v>
      </c>
      <c r="AX50" s="72">
        <v>0</v>
      </c>
      <c r="AY50" s="74" t="s">
        <v>0</v>
      </c>
    </row>
    <row r="51" spans="1:51" ht="15.75">
      <c r="A51" s="75" t="s">
        <v>0</v>
      </c>
      <c r="B51" s="75" t="s">
        <v>0</v>
      </c>
      <c r="C51" s="75" t="s">
        <v>0</v>
      </c>
      <c r="D51" s="76" t="s">
        <v>113</v>
      </c>
      <c r="E51" s="75" t="s">
        <v>0</v>
      </c>
      <c r="F51" s="75" t="s">
        <v>0</v>
      </c>
      <c r="G51" s="75" t="s">
        <v>0</v>
      </c>
      <c r="H51" s="75" t="s">
        <v>0</v>
      </c>
      <c r="I51" s="75" t="s">
        <v>0</v>
      </c>
      <c r="J51" s="75" t="s">
        <v>0</v>
      </c>
      <c r="K51" s="75" t="s">
        <v>0</v>
      </c>
      <c r="L51" s="75" t="s">
        <v>0</v>
      </c>
      <c r="M51" s="77" t="s">
        <v>0</v>
      </c>
      <c r="N51" s="78">
        <v>0</v>
      </c>
      <c r="O51" s="78">
        <v>41948.66</v>
      </c>
      <c r="P51" s="78">
        <v>8340405.7800000003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  <c r="AF51" s="78">
        <v>0</v>
      </c>
      <c r="AG51" s="79">
        <v>42455658.859999999</v>
      </c>
      <c r="AH51" s="78">
        <v>100000</v>
      </c>
      <c r="AI51" s="78">
        <v>42555658.859999999</v>
      </c>
      <c r="AJ51" s="79">
        <v>0</v>
      </c>
      <c r="AK51" s="78">
        <v>0</v>
      </c>
      <c r="AL51" s="78">
        <v>0</v>
      </c>
      <c r="AM51" s="79">
        <v>0</v>
      </c>
      <c r="AN51" s="78">
        <v>0</v>
      </c>
      <c r="AO51" s="78">
        <v>0</v>
      </c>
      <c r="AP51" s="79">
        <v>0</v>
      </c>
      <c r="AQ51" s="78">
        <v>0</v>
      </c>
      <c r="AR51" s="78">
        <v>0</v>
      </c>
      <c r="AS51" s="79">
        <v>0</v>
      </c>
      <c r="AT51" s="78">
        <v>0</v>
      </c>
      <c r="AU51" s="78">
        <v>0</v>
      </c>
      <c r="AV51" s="79">
        <v>0</v>
      </c>
      <c r="AW51" s="78">
        <v>0</v>
      </c>
      <c r="AX51" s="78">
        <v>0</v>
      </c>
      <c r="AY51" s="80" t="s">
        <v>0</v>
      </c>
    </row>
    <row r="52" spans="1:51" ht="16.7" customHeight="1"/>
  </sheetData>
  <mergeCells count="19">
    <mergeCell ref="A8:M8"/>
    <mergeCell ref="N8:AF8"/>
    <mergeCell ref="AG8:AX8"/>
    <mergeCell ref="N6:AF6"/>
    <mergeCell ref="AG6:AX6"/>
    <mergeCell ref="A7:D7"/>
    <mergeCell ref="N7:AF7"/>
    <mergeCell ref="AG7:AX7"/>
    <mergeCell ref="A1:B5"/>
    <mergeCell ref="N1:AF1"/>
    <mergeCell ref="AG1:AX1"/>
    <mergeCell ref="N2:AF2"/>
    <mergeCell ref="AG2:AX2"/>
    <mergeCell ref="N3:AF3"/>
    <mergeCell ref="AG3:AX3"/>
    <mergeCell ref="N4:AF4"/>
    <mergeCell ref="AG4:AX4"/>
    <mergeCell ref="N5:AF5"/>
    <mergeCell ref="AG5:AX5"/>
  </mergeCells>
  <pageMargins left="1" right="1" top="1" bottom="1.45" header="1" footer="1"/>
  <pageSetup orientation="portrait" horizontalDpi="300" verticalDpi="300"/>
  <headerFooter alignWithMargins="0">
    <oddFooter>&amp;L&amp;"Segoe UI,Regular"&amp;10 11/18/2025 7:09:18 PM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showGridLines="0" zoomScale="85" workbookViewId="0"/>
  </sheetViews>
  <sheetFormatPr defaultRowHeight="15"/>
  <cols>
    <col min="1" max="1" width="16.5703125" customWidth="1"/>
    <col min="2" max="2" width="22.85546875" customWidth="1"/>
    <col min="3" max="3" width="35.28515625" customWidth="1"/>
    <col min="4" max="4" width="19.7109375" customWidth="1"/>
    <col min="5" max="5" width="44.28515625" customWidth="1"/>
    <col min="6" max="6" width="34.5703125" customWidth="1"/>
    <col min="7" max="7" width="19.140625" customWidth="1"/>
    <col min="8" max="10" width="26.28515625" customWidth="1"/>
    <col min="11" max="12" width="23.140625" customWidth="1"/>
    <col min="13" max="13" width="22.140625" customWidth="1"/>
    <col min="14" max="14" width="46.5703125" customWidth="1"/>
    <col min="15" max="15" width="10.42578125" customWidth="1"/>
    <col min="16" max="16" width="0" hidden="1" customWidth="1"/>
    <col min="17" max="17" width="6.140625" customWidth="1"/>
  </cols>
  <sheetData>
    <row r="1" spans="1:14" ht="18" customHeight="1">
      <c r="A1" s="171"/>
      <c r="B1" s="171"/>
      <c r="C1" s="1" t="s">
        <v>0</v>
      </c>
      <c r="D1" s="14" t="s">
        <v>0</v>
      </c>
    </row>
    <row r="2" spans="1:14" ht="14.45" customHeight="1">
      <c r="A2" s="171"/>
      <c r="B2" s="171"/>
      <c r="C2" s="1" t="s">
        <v>0</v>
      </c>
      <c r="D2" s="14" t="s">
        <v>0</v>
      </c>
    </row>
    <row r="3" spans="1:14" ht="14.45" customHeight="1">
      <c r="A3" s="171"/>
      <c r="B3" s="171"/>
      <c r="C3" s="1" t="s">
        <v>0</v>
      </c>
      <c r="D3" s="14" t="s">
        <v>0</v>
      </c>
    </row>
    <row r="4" spans="1:14" ht="14.45" customHeight="1">
      <c r="A4" s="171"/>
      <c r="B4" s="171"/>
      <c r="C4" s="1" t="s">
        <v>0</v>
      </c>
      <c r="D4" s="14" t="s">
        <v>0</v>
      </c>
    </row>
    <row r="5" spans="1:14" ht="14.45" customHeight="1">
      <c r="A5" s="171"/>
      <c r="B5" s="171"/>
      <c r="C5" s="1" t="s">
        <v>0</v>
      </c>
      <c r="D5" s="14" t="s">
        <v>0</v>
      </c>
    </row>
    <row r="6" spans="1:14">
      <c r="A6" s="81" t="s">
        <v>0</v>
      </c>
      <c r="B6" s="81" t="s">
        <v>0</v>
      </c>
      <c r="C6" s="81" t="s">
        <v>0</v>
      </c>
      <c r="D6" s="14" t="s">
        <v>0</v>
      </c>
    </row>
    <row r="7" spans="1:14">
      <c r="A7" s="154" t="s">
        <v>114</v>
      </c>
      <c r="B7" s="171"/>
      <c r="C7" s="171"/>
      <c r="D7" s="7" t="s">
        <v>0</v>
      </c>
    </row>
    <row r="8" spans="1:14" ht="15.75">
      <c r="A8" s="155" t="s">
        <v>115</v>
      </c>
      <c r="B8" s="156"/>
      <c r="C8" s="82" t="s">
        <v>0</v>
      </c>
      <c r="D8" s="82" t="s">
        <v>0</v>
      </c>
      <c r="E8" s="82" t="s">
        <v>0</v>
      </c>
      <c r="F8" s="157" t="s">
        <v>0</v>
      </c>
      <c r="G8" s="158"/>
    </row>
    <row r="9" spans="1:14" ht="15.75">
      <c r="A9" s="84" t="s">
        <v>116</v>
      </c>
      <c r="B9" s="85" t="s">
        <v>57</v>
      </c>
      <c r="C9" s="85" t="s">
        <v>58</v>
      </c>
      <c r="D9" s="85" t="s">
        <v>117</v>
      </c>
      <c r="E9" s="85" t="s">
        <v>118</v>
      </c>
      <c r="F9" s="159" t="s">
        <v>119</v>
      </c>
      <c r="G9" s="160"/>
    </row>
    <row r="10" spans="1:14">
      <c r="A10" s="87" t="s">
        <v>0</v>
      </c>
      <c r="B10" s="14" t="s">
        <v>0</v>
      </c>
      <c r="C10" s="14" t="s">
        <v>0</v>
      </c>
      <c r="D10" s="14" t="s">
        <v>0</v>
      </c>
      <c r="E10" s="14" t="s">
        <v>0</v>
      </c>
      <c r="F10" s="161" t="s">
        <v>0</v>
      </c>
      <c r="G10" s="162"/>
    </row>
    <row r="11" spans="1:14">
      <c r="A11" s="89" t="s">
        <v>0</v>
      </c>
      <c r="B11" s="7" t="s">
        <v>0</v>
      </c>
      <c r="C11" s="7" t="s">
        <v>0</v>
      </c>
      <c r="D11" s="7" t="s">
        <v>0</v>
      </c>
      <c r="E11" s="7" t="s">
        <v>0</v>
      </c>
      <c r="F11" s="163" t="s">
        <v>0</v>
      </c>
      <c r="G11" s="162"/>
    </row>
    <row r="12" spans="1:14">
      <c r="A12" s="89" t="s">
        <v>0</v>
      </c>
      <c r="B12" s="7" t="s">
        <v>0</v>
      </c>
      <c r="C12" s="7" t="s">
        <v>0</v>
      </c>
      <c r="D12" s="7" t="s">
        <v>0</v>
      </c>
      <c r="E12" s="7" t="s">
        <v>0</v>
      </c>
      <c r="F12" s="163" t="s">
        <v>0</v>
      </c>
      <c r="G12" s="162"/>
    </row>
    <row r="13" spans="1:14" ht="15.75">
      <c r="A13" s="90" t="s">
        <v>0</v>
      </c>
      <c r="B13" s="91" t="s">
        <v>0</v>
      </c>
      <c r="C13" s="91" t="s">
        <v>0</v>
      </c>
      <c r="D13" s="92">
        <v>0</v>
      </c>
      <c r="E13" s="91" t="s">
        <v>0</v>
      </c>
      <c r="F13" s="164" t="s">
        <v>0</v>
      </c>
      <c r="G13" s="165"/>
    </row>
    <row r="14" spans="1:14" ht="15.75">
      <c r="A14" s="93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</row>
    <row r="15" spans="1:14" ht="15.75">
      <c r="A15" s="93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</row>
    <row r="16" spans="1:14" ht="15.75">
      <c r="A16" s="166" t="s">
        <v>42</v>
      </c>
      <c r="B16" s="156"/>
      <c r="C16" s="82" t="s">
        <v>0</v>
      </c>
      <c r="D16" s="82" t="s">
        <v>0</v>
      </c>
      <c r="E16" s="82" t="s">
        <v>0</v>
      </c>
      <c r="F16" s="82" t="s">
        <v>0</v>
      </c>
      <c r="G16" s="82" t="s">
        <v>0</v>
      </c>
      <c r="H16" s="82" t="s">
        <v>0</v>
      </c>
      <c r="I16" s="82" t="s">
        <v>0</v>
      </c>
      <c r="J16" s="82" t="s">
        <v>0</v>
      </c>
      <c r="K16" s="82" t="s">
        <v>0</v>
      </c>
      <c r="L16" s="82" t="s">
        <v>0</v>
      </c>
      <c r="M16" s="82" t="s">
        <v>0</v>
      </c>
      <c r="N16" s="83" t="s">
        <v>0</v>
      </c>
    </row>
    <row r="17" spans="1:14" ht="31.5">
      <c r="A17" s="94" t="s">
        <v>120</v>
      </c>
      <c r="B17" s="95" t="s">
        <v>121</v>
      </c>
      <c r="C17" s="95" t="s">
        <v>5</v>
      </c>
      <c r="D17" s="95" t="s">
        <v>116</v>
      </c>
      <c r="E17" s="95" t="s">
        <v>57</v>
      </c>
      <c r="F17" s="95" t="s">
        <v>58</v>
      </c>
      <c r="G17" s="95" t="s">
        <v>59</v>
      </c>
      <c r="H17" s="95" t="s">
        <v>60</v>
      </c>
      <c r="I17" s="95" t="s">
        <v>4</v>
      </c>
      <c r="J17" s="95" t="s">
        <v>122</v>
      </c>
      <c r="K17" s="95" t="s">
        <v>61</v>
      </c>
      <c r="L17" s="95" t="s">
        <v>123</v>
      </c>
      <c r="M17" s="95" t="s">
        <v>124</v>
      </c>
      <c r="N17" s="96" t="s">
        <v>119</v>
      </c>
    </row>
    <row r="18" spans="1:14" ht="15.75">
      <c r="A18" s="84" t="s">
        <v>0</v>
      </c>
      <c r="B18" s="85" t="s">
        <v>0</v>
      </c>
      <c r="C18" s="85" t="s">
        <v>0</v>
      </c>
      <c r="D18" s="85" t="s">
        <v>0</v>
      </c>
      <c r="E18" s="85" t="s">
        <v>0</v>
      </c>
      <c r="F18" s="85" t="s">
        <v>0</v>
      </c>
      <c r="G18" s="85" t="s">
        <v>0</v>
      </c>
      <c r="H18" s="85" t="s">
        <v>0</v>
      </c>
      <c r="I18" s="85" t="s">
        <v>0</v>
      </c>
      <c r="J18" s="85" t="s">
        <v>0</v>
      </c>
      <c r="K18" s="97">
        <v>-5236089.6100000003</v>
      </c>
      <c r="L18" s="97">
        <v>-5336089.6100000003</v>
      </c>
      <c r="M18" s="98" t="s">
        <v>0</v>
      </c>
      <c r="N18" s="86" t="s">
        <v>0</v>
      </c>
    </row>
    <row r="19" spans="1:14" ht="14.45" customHeight="1">
      <c r="A19" s="99">
        <v>447153</v>
      </c>
      <c r="B19" s="16">
        <v>9077</v>
      </c>
      <c r="C19" s="16" t="s">
        <v>125</v>
      </c>
      <c r="D19" s="100">
        <v>45940</v>
      </c>
      <c r="E19" s="14" t="s">
        <v>96</v>
      </c>
      <c r="F19" s="14" t="s">
        <v>80</v>
      </c>
      <c r="G19" s="16" t="s">
        <v>97</v>
      </c>
      <c r="H19" s="14" t="s">
        <v>126</v>
      </c>
      <c r="I19" s="14" t="s">
        <v>17</v>
      </c>
      <c r="J19" s="14" t="s">
        <v>0</v>
      </c>
      <c r="K19" s="101">
        <v>-5254591.1900000004</v>
      </c>
      <c r="L19" s="101">
        <v>-5354591.1900000004</v>
      </c>
      <c r="M19" s="14"/>
      <c r="N19" s="88"/>
    </row>
    <row r="20" spans="1:14" ht="14.45" customHeight="1">
      <c r="A20" s="99">
        <v>476344</v>
      </c>
      <c r="B20" s="16">
        <v>9071</v>
      </c>
      <c r="C20" s="16" t="s">
        <v>125</v>
      </c>
      <c r="D20" s="100">
        <v>45961</v>
      </c>
      <c r="E20" s="14" t="s">
        <v>79</v>
      </c>
      <c r="F20" s="14" t="s">
        <v>80</v>
      </c>
      <c r="G20" s="16" t="s">
        <v>81</v>
      </c>
      <c r="H20" s="14" t="s">
        <v>127</v>
      </c>
      <c r="I20" s="14" t="s">
        <v>16</v>
      </c>
      <c r="J20" s="14" t="s">
        <v>0</v>
      </c>
      <c r="K20" s="101">
        <v>18501.580000000002</v>
      </c>
      <c r="L20" s="101">
        <v>18501.580000000002</v>
      </c>
      <c r="M20" s="14"/>
      <c r="N20" s="88"/>
    </row>
    <row r="21" spans="1:14">
      <c r="A21" s="102" t="s">
        <v>0</v>
      </c>
      <c r="B21" s="102" t="s">
        <v>0</v>
      </c>
      <c r="C21" s="102" t="s">
        <v>0</v>
      </c>
      <c r="D21" s="102" t="s">
        <v>0</v>
      </c>
      <c r="E21" s="102" t="s">
        <v>0</v>
      </c>
      <c r="F21" s="102" t="s">
        <v>0</v>
      </c>
      <c r="G21" s="103" t="s">
        <v>0</v>
      </c>
      <c r="H21" s="102" t="s">
        <v>0</v>
      </c>
      <c r="I21" s="102" t="s">
        <v>0</v>
      </c>
      <c r="J21" s="102" t="s">
        <v>0</v>
      </c>
      <c r="K21" s="102" t="s">
        <v>0</v>
      </c>
      <c r="L21" s="102" t="s">
        <v>0</v>
      </c>
      <c r="M21" s="102" t="s">
        <v>0</v>
      </c>
      <c r="N21" s="102" t="s">
        <v>0</v>
      </c>
    </row>
  </sheetData>
  <mergeCells count="10">
    <mergeCell ref="F10:G10"/>
    <mergeCell ref="F11:G11"/>
    <mergeCell ref="F12:G12"/>
    <mergeCell ref="F13:G13"/>
    <mergeCell ref="A16:B16"/>
    <mergeCell ref="A1:B5"/>
    <mergeCell ref="A7:C7"/>
    <mergeCell ref="A8:B8"/>
    <mergeCell ref="F8:G8"/>
    <mergeCell ref="F9:G9"/>
  </mergeCells>
  <pageMargins left="1" right="1" top="1" bottom="1.45" header="1" footer="1"/>
  <pageSetup orientation="portrait" horizontalDpi="300" verticalDpi="300"/>
  <headerFooter alignWithMargins="0">
    <oddFooter>&amp;C&amp;"Segoe UI,Regular"&amp;10 11/18/2025 7:09:18 PM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8"/>
  <sheetViews>
    <sheetView showGridLines="0" tabSelected="1" zoomScale="85" workbookViewId="0">
      <selection activeCell="M10" sqref="M10"/>
    </sheetView>
  </sheetViews>
  <sheetFormatPr defaultRowHeight="15"/>
  <cols>
    <col min="1" max="1" width="11" customWidth="1"/>
    <col min="2" max="3" width="48.5703125" customWidth="1"/>
    <col min="4" max="4" width="16.28515625" customWidth="1"/>
    <col min="5" max="5" width="13.28515625" customWidth="1"/>
    <col min="6" max="6" width="13.85546875" customWidth="1"/>
    <col min="7" max="7" width="13.140625" customWidth="1"/>
    <col min="8" max="8" width="25" customWidth="1"/>
    <col min="9" max="9" width="18.140625" customWidth="1"/>
    <col min="10" max="10" width="20.28515625" customWidth="1"/>
    <col min="11" max="11" width="13.28515625" customWidth="1"/>
    <col min="12" max="12" width="24.140625" customWidth="1"/>
    <col min="13" max="13" width="18.140625" customWidth="1"/>
    <col min="14" max="14" width="20.42578125" customWidth="1"/>
    <col min="15" max="15" width="13.5703125" customWidth="1"/>
    <col min="16" max="16" width="18.140625" customWidth="1"/>
    <col min="17" max="17" width="7.85546875" customWidth="1"/>
    <col min="18" max="18" width="0" hidden="1" customWidth="1"/>
    <col min="19" max="19" width="6.140625" customWidth="1"/>
  </cols>
  <sheetData>
    <row r="1" spans="1:16" ht="15.75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104" t="s">
        <v>0</v>
      </c>
      <c r="H1" s="105" t="s">
        <v>128</v>
      </c>
      <c r="I1" s="106" t="s">
        <v>129</v>
      </c>
      <c r="J1" s="106" t="s">
        <v>130</v>
      </c>
      <c r="K1" s="106" t="s">
        <v>131</v>
      </c>
      <c r="L1" s="106" t="s">
        <v>132</v>
      </c>
      <c r="M1" s="106" t="s">
        <v>133</v>
      </c>
      <c r="N1" s="106" t="s">
        <v>134</v>
      </c>
      <c r="O1" s="107" t="s">
        <v>135</v>
      </c>
      <c r="P1" s="2" t="s">
        <v>0</v>
      </c>
    </row>
    <row r="2" spans="1:16" ht="14.45" customHeight="1">
      <c r="A2" s="171"/>
      <c r="B2" s="171"/>
      <c r="C2" s="7" t="s">
        <v>0</v>
      </c>
      <c r="D2" s="7" t="s">
        <v>0</v>
      </c>
      <c r="E2" s="7" t="s">
        <v>0</v>
      </c>
      <c r="F2" s="7" t="s">
        <v>0</v>
      </c>
      <c r="G2" s="108" t="s">
        <v>125</v>
      </c>
      <c r="H2" s="109">
        <f>+SUM(H10:H27)</f>
        <v>47455659.519999996</v>
      </c>
      <c r="I2" s="109">
        <f>+SUM(I10:I27)</f>
        <v>47455659.519999996</v>
      </c>
      <c r="J2" s="109">
        <v>-7.4505805969238298E-9</v>
      </c>
      <c r="K2" s="109">
        <v>0</v>
      </c>
      <c r="L2" s="109">
        <f t="shared" ref="L2:M2" si="0">+SUM(L10:L27)</f>
        <v>42455659.519999996</v>
      </c>
      <c r="M2" s="109">
        <f t="shared" si="0"/>
        <v>42455659.519999996</v>
      </c>
      <c r="N2" s="109">
        <v>0</v>
      </c>
      <c r="O2" s="110">
        <v>0</v>
      </c>
      <c r="P2" s="111" t="s">
        <v>0</v>
      </c>
    </row>
    <row r="3" spans="1:16" ht="14.45" customHeight="1">
      <c r="A3" s="171"/>
      <c r="B3" s="171"/>
      <c r="C3" s="7" t="s">
        <v>0</v>
      </c>
      <c r="D3" s="7" t="s">
        <v>0</v>
      </c>
      <c r="E3" s="7" t="s">
        <v>0</v>
      </c>
      <c r="F3" s="7" t="s">
        <v>0</v>
      </c>
      <c r="G3" s="108" t="s">
        <v>136</v>
      </c>
      <c r="H3" s="109">
        <v>0</v>
      </c>
      <c r="I3" s="109">
        <v>0</v>
      </c>
      <c r="J3" s="109">
        <v>0</v>
      </c>
      <c r="K3" s="109">
        <v>0</v>
      </c>
      <c r="L3" s="109">
        <v>0</v>
      </c>
      <c r="M3" s="109">
        <v>0</v>
      </c>
      <c r="N3" s="109">
        <v>0</v>
      </c>
      <c r="O3" s="110">
        <v>0</v>
      </c>
      <c r="P3" s="111" t="s">
        <v>0</v>
      </c>
    </row>
    <row r="4" spans="1:16" ht="14.45" customHeight="1">
      <c r="A4" s="171"/>
      <c r="B4" s="171"/>
      <c r="C4" s="7" t="s">
        <v>0</v>
      </c>
      <c r="D4" s="7" t="s">
        <v>0</v>
      </c>
      <c r="E4" s="7" t="s">
        <v>0</v>
      </c>
      <c r="F4" s="7" t="s">
        <v>0</v>
      </c>
      <c r="G4" s="108" t="s">
        <v>137</v>
      </c>
      <c r="H4" s="109">
        <v>0</v>
      </c>
      <c r="I4" s="109">
        <v>0</v>
      </c>
      <c r="J4" s="109">
        <v>0</v>
      </c>
      <c r="K4" s="109">
        <v>0</v>
      </c>
      <c r="L4" s="109">
        <v>0</v>
      </c>
      <c r="M4" s="109">
        <v>0</v>
      </c>
      <c r="N4" s="109">
        <v>0</v>
      </c>
      <c r="O4" s="110">
        <v>0</v>
      </c>
      <c r="P4" s="111" t="s">
        <v>0</v>
      </c>
    </row>
    <row r="5" spans="1:16" ht="14.45" customHeight="1">
      <c r="A5" s="171"/>
      <c r="B5" s="171"/>
      <c r="C5" s="7" t="s">
        <v>0</v>
      </c>
      <c r="D5" s="7" t="s">
        <v>0</v>
      </c>
      <c r="E5" s="7" t="s">
        <v>0</v>
      </c>
      <c r="F5" s="7" t="s">
        <v>0</v>
      </c>
      <c r="G5" s="108" t="s">
        <v>138</v>
      </c>
      <c r="H5" s="109">
        <v>0</v>
      </c>
      <c r="I5" s="109">
        <v>0</v>
      </c>
      <c r="J5" s="109">
        <v>0</v>
      </c>
      <c r="K5" s="109">
        <v>0</v>
      </c>
      <c r="L5" s="109">
        <v>0</v>
      </c>
      <c r="M5" s="109">
        <v>0</v>
      </c>
      <c r="N5" s="109">
        <v>0</v>
      </c>
      <c r="O5" s="110">
        <v>0</v>
      </c>
      <c r="P5" s="111" t="s">
        <v>0</v>
      </c>
    </row>
    <row r="6" spans="1:16" ht="14.45" customHeight="1">
      <c r="A6" s="171"/>
      <c r="B6" s="171"/>
      <c r="C6" s="7" t="s">
        <v>0</v>
      </c>
      <c r="D6" s="7" t="s">
        <v>0</v>
      </c>
      <c r="E6" s="7" t="s">
        <v>0</v>
      </c>
      <c r="F6" s="7" t="s">
        <v>0</v>
      </c>
      <c r="G6" s="108" t="s">
        <v>139</v>
      </c>
      <c r="H6" s="109">
        <v>0</v>
      </c>
      <c r="I6" s="109">
        <v>0</v>
      </c>
      <c r="J6" s="109">
        <v>0</v>
      </c>
      <c r="K6" s="109">
        <v>0</v>
      </c>
      <c r="L6" s="109">
        <v>0</v>
      </c>
      <c r="M6" s="109">
        <v>0</v>
      </c>
      <c r="N6" s="109">
        <v>0</v>
      </c>
      <c r="O6" s="110">
        <v>0</v>
      </c>
      <c r="P6" s="111" t="s">
        <v>0</v>
      </c>
    </row>
    <row r="7" spans="1:16" ht="14.45" customHeight="1">
      <c r="A7" s="171"/>
      <c r="B7" s="171"/>
      <c r="C7" s="7" t="s">
        <v>0</v>
      </c>
      <c r="D7" s="7" t="s">
        <v>0</v>
      </c>
      <c r="E7" s="7" t="s">
        <v>0</v>
      </c>
      <c r="F7" s="7" t="s">
        <v>0</v>
      </c>
      <c r="G7" s="108" t="s">
        <v>140</v>
      </c>
      <c r="H7" s="109">
        <v>0</v>
      </c>
      <c r="I7" s="109">
        <v>0</v>
      </c>
      <c r="J7" s="109">
        <v>0</v>
      </c>
      <c r="K7" s="109">
        <v>0</v>
      </c>
      <c r="L7" s="109">
        <v>0</v>
      </c>
      <c r="M7" s="109">
        <v>0</v>
      </c>
      <c r="N7" s="109">
        <v>0</v>
      </c>
      <c r="O7" s="110">
        <v>0</v>
      </c>
      <c r="P7" s="111" t="s">
        <v>0</v>
      </c>
    </row>
    <row r="8" spans="1:16" ht="18.75">
      <c r="A8" s="139" t="s">
        <v>141</v>
      </c>
      <c r="B8" s="171"/>
      <c r="C8" s="112" t="s">
        <v>0</v>
      </c>
      <c r="D8" s="112" t="s">
        <v>0</v>
      </c>
      <c r="E8" s="112" t="s">
        <v>0</v>
      </c>
      <c r="F8" s="112" t="s">
        <v>0</v>
      </c>
      <c r="G8" s="113" t="s">
        <v>0</v>
      </c>
      <c r="H8" s="113" t="s">
        <v>0</v>
      </c>
      <c r="I8" s="113" t="s">
        <v>0</v>
      </c>
      <c r="J8" s="113" t="s">
        <v>0</v>
      </c>
      <c r="K8" s="113" t="s">
        <v>0</v>
      </c>
      <c r="L8" s="113" t="s">
        <v>0</v>
      </c>
      <c r="M8" s="113" t="s">
        <v>0</v>
      </c>
      <c r="N8" s="113" t="s">
        <v>0</v>
      </c>
      <c r="O8" s="113" t="s">
        <v>0</v>
      </c>
      <c r="P8" s="112" t="s">
        <v>0</v>
      </c>
    </row>
    <row r="9" spans="1:16" ht="31.5">
      <c r="A9" s="94" t="s">
        <v>142</v>
      </c>
      <c r="B9" s="95" t="s">
        <v>57</v>
      </c>
      <c r="C9" s="95" t="s">
        <v>58</v>
      </c>
      <c r="D9" s="95" t="s">
        <v>59</v>
      </c>
      <c r="E9" s="95" t="s">
        <v>143</v>
      </c>
      <c r="F9" s="95" t="s">
        <v>144</v>
      </c>
      <c r="G9" s="95" t="s">
        <v>5</v>
      </c>
      <c r="H9" s="95" t="s">
        <v>128</v>
      </c>
      <c r="I9" s="95" t="s">
        <v>129</v>
      </c>
      <c r="J9" s="95" t="s">
        <v>130</v>
      </c>
      <c r="K9" s="95" t="s">
        <v>131</v>
      </c>
      <c r="L9" s="95" t="s">
        <v>132</v>
      </c>
      <c r="M9" s="95" t="s">
        <v>133</v>
      </c>
      <c r="N9" s="95" t="s">
        <v>134</v>
      </c>
      <c r="O9" s="96" t="s">
        <v>135</v>
      </c>
      <c r="P9" s="114" t="s">
        <v>0</v>
      </c>
    </row>
    <row r="10" spans="1:16">
      <c r="A10" s="87">
        <v>9057</v>
      </c>
      <c r="B10" s="14" t="s">
        <v>73</v>
      </c>
      <c r="C10" s="14" t="s">
        <v>74</v>
      </c>
      <c r="D10" s="14" t="s">
        <v>75</v>
      </c>
      <c r="E10" s="14" t="s">
        <v>145</v>
      </c>
      <c r="F10" s="115">
        <v>47346</v>
      </c>
      <c r="G10" s="16" t="s">
        <v>125</v>
      </c>
      <c r="H10" s="19">
        <v>309773.2</v>
      </c>
      <c r="I10" s="19">
        <v>309773.2</v>
      </c>
      <c r="J10" s="19">
        <v>0</v>
      </c>
      <c r="K10" s="19">
        <v>0</v>
      </c>
      <c r="L10" s="19">
        <v>309773.2</v>
      </c>
      <c r="M10" s="19">
        <v>309773.2</v>
      </c>
      <c r="N10" s="19">
        <v>0</v>
      </c>
      <c r="O10" s="116">
        <v>0</v>
      </c>
      <c r="P10" s="14" t="s">
        <v>0</v>
      </c>
    </row>
    <row r="11" spans="1:16">
      <c r="A11" s="87">
        <v>19826</v>
      </c>
      <c r="B11" s="14" t="s">
        <v>88</v>
      </c>
      <c r="C11" s="14" t="s">
        <v>74</v>
      </c>
      <c r="D11" s="14"/>
      <c r="E11" s="14" t="s">
        <v>145</v>
      </c>
      <c r="F11" s="115">
        <v>48046</v>
      </c>
      <c r="G11" s="16" t="s">
        <v>125</v>
      </c>
      <c r="H11" s="19">
        <v>2500000</v>
      </c>
      <c r="I11" s="19">
        <v>2500000</v>
      </c>
      <c r="J11" s="19">
        <v>0</v>
      </c>
      <c r="K11" s="19">
        <v>0</v>
      </c>
      <c r="L11" s="19">
        <v>2500000</v>
      </c>
      <c r="M11" s="19">
        <v>2500000</v>
      </c>
      <c r="N11" s="19">
        <v>0</v>
      </c>
      <c r="O11" s="116">
        <v>0</v>
      </c>
      <c r="P11" s="14" t="s">
        <v>0</v>
      </c>
    </row>
    <row r="12" spans="1:16">
      <c r="A12" s="87">
        <v>25188</v>
      </c>
      <c r="B12" s="14" t="s">
        <v>112</v>
      </c>
      <c r="C12" s="14" t="s">
        <v>80</v>
      </c>
      <c r="D12" s="14"/>
      <c r="E12" s="14" t="s">
        <v>145</v>
      </c>
      <c r="F12" s="115">
        <v>48120</v>
      </c>
      <c r="G12" s="16" t="s">
        <v>125</v>
      </c>
      <c r="H12" s="19">
        <v>5000000</v>
      </c>
      <c r="I12" s="19">
        <v>5000000</v>
      </c>
      <c r="J12" s="19">
        <v>0</v>
      </c>
      <c r="K12" s="19">
        <v>0</v>
      </c>
      <c r="L12" s="19">
        <v>5000000</v>
      </c>
      <c r="M12" s="19">
        <v>5000000</v>
      </c>
      <c r="N12" s="19">
        <v>0</v>
      </c>
      <c r="O12" s="116">
        <v>0</v>
      </c>
      <c r="P12" s="14" t="s">
        <v>0</v>
      </c>
    </row>
    <row r="13" spans="1:16">
      <c r="A13" s="87">
        <v>9061</v>
      </c>
      <c r="B13" s="14" t="s">
        <v>77</v>
      </c>
      <c r="C13" s="14" t="s">
        <v>74</v>
      </c>
      <c r="D13" s="14" t="s">
        <v>78</v>
      </c>
      <c r="E13" s="14" t="s">
        <v>145</v>
      </c>
      <c r="F13" s="115">
        <v>47358</v>
      </c>
      <c r="G13" s="16" t="s">
        <v>125</v>
      </c>
      <c r="H13" s="19">
        <v>1219179.67</v>
      </c>
      <c r="I13" s="19">
        <v>1219179.67</v>
      </c>
      <c r="J13" s="19">
        <v>0</v>
      </c>
      <c r="K13" s="19">
        <v>0</v>
      </c>
      <c r="L13" s="19">
        <v>1219179.67</v>
      </c>
      <c r="M13" s="19">
        <v>1219179.67</v>
      </c>
      <c r="N13" s="19">
        <v>0</v>
      </c>
      <c r="O13" s="116">
        <v>0</v>
      </c>
      <c r="P13" s="14" t="s">
        <v>0</v>
      </c>
    </row>
    <row r="14" spans="1:16">
      <c r="A14" s="87">
        <v>9063</v>
      </c>
      <c r="B14" s="14" t="s">
        <v>104</v>
      </c>
      <c r="C14" s="14" t="s">
        <v>74</v>
      </c>
      <c r="D14" s="14" t="s">
        <v>105</v>
      </c>
      <c r="E14" s="14" t="s">
        <v>145</v>
      </c>
      <c r="F14" s="115">
        <v>47374</v>
      </c>
      <c r="G14" s="16" t="s">
        <v>125</v>
      </c>
      <c r="H14" s="19">
        <v>1466739.1</v>
      </c>
      <c r="I14" s="19">
        <v>1466739.1</v>
      </c>
      <c r="J14" s="19">
        <v>0</v>
      </c>
      <c r="K14" s="19">
        <v>0</v>
      </c>
      <c r="L14" s="19">
        <v>1466739.1</v>
      </c>
      <c r="M14" s="19">
        <v>1466739.1</v>
      </c>
      <c r="N14" s="19">
        <v>0</v>
      </c>
      <c r="O14" s="116">
        <v>0</v>
      </c>
      <c r="P14" s="14" t="s">
        <v>0</v>
      </c>
    </row>
    <row r="15" spans="1:16">
      <c r="A15" s="87">
        <v>19561</v>
      </c>
      <c r="B15" s="14" t="s">
        <v>92</v>
      </c>
      <c r="C15" s="14" t="s">
        <v>93</v>
      </c>
      <c r="D15" s="14" t="s">
        <v>94</v>
      </c>
      <c r="E15" s="14" t="s">
        <v>145</v>
      </c>
      <c r="F15" s="115">
        <v>48044</v>
      </c>
      <c r="G15" s="16" t="s">
        <v>125</v>
      </c>
      <c r="H15" s="19">
        <v>2500000</v>
      </c>
      <c r="I15" s="19">
        <v>2500000</v>
      </c>
      <c r="J15" s="19">
        <v>0</v>
      </c>
      <c r="K15" s="19">
        <v>0</v>
      </c>
      <c r="L15" s="19">
        <v>2500000</v>
      </c>
      <c r="M15" s="19">
        <v>2500000</v>
      </c>
      <c r="N15" s="19">
        <v>0</v>
      </c>
      <c r="O15" s="116">
        <v>0</v>
      </c>
      <c r="P15" s="14" t="s">
        <v>0</v>
      </c>
    </row>
    <row r="16" spans="1:16">
      <c r="A16" s="87">
        <v>27237</v>
      </c>
      <c r="B16" s="14" t="s">
        <v>146</v>
      </c>
      <c r="C16" s="14" t="s">
        <v>80</v>
      </c>
      <c r="D16" s="14"/>
      <c r="E16" s="14" t="s">
        <v>145</v>
      </c>
      <c r="F16" s="115">
        <v>47756</v>
      </c>
      <c r="G16" s="16" t="s">
        <v>125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16">
        <v>0</v>
      </c>
      <c r="P16" s="14" t="s">
        <v>0</v>
      </c>
    </row>
    <row r="17" spans="1:16">
      <c r="A17" s="87">
        <v>11701</v>
      </c>
      <c r="B17" s="14" t="s">
        <v>108</v>
      </c>
      <c r="C17" s="14" t="s">
        <v>109</v>
      </c>
      <c r="D17" s="14" t="s">
        <v>110</v>
      </c>
      <c r="E17" s="14" t="s">
        <v>145</v>
      </c>
      <c r="F17" s="115">
        <v>47756</v>
      </c>
      <c r="G17" s="16" t="s">
        <v>125</v>
      </c>
      <c r="H17" s="19">
        <v>3762000</v>
      </c>
      <c r="I17" s="19">
        <v>3762000</v>
      </c>
      <c r="J17" s="19">
        <v>0</v>
      </c>
      <c r="K17" s="19">
        <v>0</v>
      </c>
      <c r="L17" s="19">
        <v>3762000</v>
      </c>
      <c r="M17" s="19">
        <v>3762000</v>
      </c>
      <c r="N17" s="19">
        <v>0</v>
      </c>
      <c r="O17" s="116">
        <v>0</v>
      </c>
      <c r="P17" s="14" t="s">
        <v>0</v>
      </c>
    </row>
    <row r="18" spans="1:16">
      <c r="A18" s="87">
        <v>9077</v>
      </c>
      <c r="B18" s="14" t="s">
        <v>96</v>
      </c>
      <c r="C18" s="14" t="s">
        <v>80</v>
      </c>
      <c r="D18" s="14" t="s">
        <v>97</v>
      </c>
      <c r="E18" s="14" t="s">
        <v>145</v>
      </c>
      <c r="F18" s="115">
        <v>47753</v>
      </c>
      <c r="G18" s="16" t="s">
        <v>125</v>
      </c>
      <c r="H18" s="19">
        <v>5321105</v>
      </c>
      <c r="I18" s="19">
        <v>5321105</v>
      </c>
      <c r="J18" s="19">
        <v>0</v>
      </c>
      <c r="K18" s="19">
        <v>0</v>
      </c>
      <c r="L18" s="19">
        <v>5321105</v>
      </c>
      <c r="M18" s="19">
        <v>5321105</v>
      </c>
      <c r="N18" s="19">
        <v>0</v>
      </c>
      <c r="O18" s="116">
        <v>0</v>
      </c>
      <c r="P18" s="14" t="s">
        <v>0</v>
      </c>
    </row>
    <row r="19" spans="1:16">
      <c r="A19" s="87">
        <v>9071</v>
      </c>
      <c r="B19" s="14" t="s">
        <v>79</v>
      </c>
      <c r="C19" s="14" t="s">
        <v>80</v>
      </c>
      <c r="D19" s="14" t="s">
        <v>81</v>
      </c>
      <c r="E19" s="14" t="s">
        <v>145</v>
      </c>
      <c r="F19" s="115">
        <v>47704</v>
      </c>
      <c r="G19" s="16" t="s">
        <v>125</v>
      </c>
      <c r="H19" s="19">
        <v>2506436.17</v>
      </c>
      <c r="I19" s="19">
        <v>2506436.17</v>
      </c>
      <c r="J19" s="19">
        <v>0</v>
      </c>
      <c r="K19" s="19">
        <v>0</v>
      </c>
      <c r="L19" s="19">
        <v>2506436.17</v>
      </c>
      <c r="M19" s="19">
        <v>2506436.17</v>
      </c>
      <c r="N19" s="19">
        <v>0</v>
      </c>
      <c r="O19" s="116">
        <v>0</v>
      </c>
      <c r="P19" s="14" t="s">
        <v>0</v>
      </c>
    </row>
    <row r="20" spans="1:16">
      <c r="A20" s="87">
        <v>13711</v>
      </c>
      <c r="B20" s="14" t="s">
        <v>82</v>
      </c>
      <c r="C20" s="14" t="s">
        <v>83</v>
      </c>
      <c r="D20" s="14" t="s">
        <v>84</v>
      </c>
      <c r="E20" s="14" t="s">
        <v>145</v>
      </c>
      <c r="F20" s="115">
        <v>46153</v>
      </c>
      <c r="G20" s="16" t="s">
        <v>125</v>
      </c>
      <c r="H20" s="19">
        <v>462987.94</v>
      </c>
      <c r="I20" s="19">
        <v>462987.94</v>
      </c>
      <c r="J20" s="19">
        <v>0</v>
      </c>
      <c r="K20" s="19">
        <v>0</v>
      </c>
      <c r="L20" s="19">
        <v>462987.94</v>
      </c>
      <c r="M20" s="19">
        <v>462987.94</v>
      </c>
      <c r="N20" s="19">
        <v>0</v>
      </c>
      <c r="O20" s="116">
        <v>0</v>
      </c>
      <c r="P20" s="14" t="s">
        <v>0</v>
      </c>
    </row>
    <row r="21" spans="1:16">
      <c r="A21" s="87">
        <v>23253</v>
      </c>
      <c r="B21" s="14" t="s">
        <v>147</v>
      </c>
      <c r="C21" s="14" t="s">
        <v>148</v>
      </c>
      <c r="D21" s="14" t="s">
        <v>149</v>
      </c>
      <c r="E21" s="14" t="s">
        <v>145</v>
      </c>
      <c r="F21" s="115">
        <v>48089</v>
      </c>
      <c r="G21" s="16" t="s">
        <v>125</v>
      </c>
      <c r="H21" s="19">
        <v>5000000</v>
      </c>
      <c r="I21" s="19">
        <v>5000000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16">
        <v>0</v>
      </c>
      <c r="P21" s="14" t="s">
        <v>0</v>
      </c>
    </row>
    <row r="22" spans="1:16">
      <c r="A22" s="87">
        <v>19009</v>
      </c>
      <c r="B22" s="14" t="s">
        <v>89</v>
      </c>
      <c r="C22" s="14" t="s">
        <v>74</v>
      </c>
      <c r="D22" s="14"/>
      <c r="E22" s="14" t="s">
        <v>145</v>
      </c>
      <c r="F22" s="115">
        <v>48030</v>
      </c>
      <c r="G22" s="16" t="s">
        <v>125</v>
      </c>
      <c r="H22" s="19">
        <v>2490625</v>
      </c>
      <c r="I22" s="19">
        <v>2490625</v>
      </c>
      <c r="J22" s="19">
        <v>0</v>
      </c>
      <c r="K22" s="19">
        <v>0</v>
      </c>
      <c r="L22" s="19">
        <v>2490625</v>
      </c>
      <c r="M22" s="19">
        <v>2490625</v>
      </c>
      <c r="N22" s="19">
        <v>0</v>
      </c>
      <c r="O22" s="116">
        <v>0</v>
      </c>
      <c r="P22" s="14" t="s">
        <v>0</v>
      </c>
    </row>
    <row r="23" spans="1:16">
      <c r="A23" s="87">
        <v>26103</v>
      </c>
      <c r="B23" s="14" t="s">
        <v>101</v>
      </c>
      <c r="C23" s="14" t="s">
        <v>102</v>
      </c>
      <c r="D23" s="14"/>
      <c r="E23" s="14" t="s">
        <v>145</v>
      </c>
      <c r="F23" s="115">
        <v>47770</v>
      </c>
      <c r="G23" s="16" t="s">
        <v>125</v>
      </c>
      <c r="H23" s="19">
        <v>3000000</v>
      </c>
      <c r="I23" s="19">
        <v>3000000</v>
      </c>
      <c r="J23" s="19">
        <v>0</v>
      </c>
      <c r="K23" s="19">
        <v>0</v>
      </c>
      <c r="L23" s="19">
        <v>3000000</v>
      </c>
      <c r="M23" s="19">
        <v>3000000</v>
      </c>
      <c r="N23" s="19">
        <v>0</v>
      </c>
      <c r="O23" s="116">
        <v>0</v>
      </c>
      <c r="P23" s="14" t="s">
        <v>0</v>
      </c>
    </row>
    <row r="24" spans="1:16">
      <c r="A24" s="87">
        <v>20942</v>
      </c>
      <c r="B24" s="14" t="s">
        <v>99</v>
      </c>
      <c r="C24" s="14" t="s">
        <v>80</v>
      </c>
      <c r="D24" s="14" t="s">
        <v>100</v>
      </c>
      <c r="E24" s="14" t="s">
        <v>145</v>
      </c>
      <c r="F24" s="115">
        <v>48060</v>
      </c>
      <c r="G24" s="16" t="s">
        <v>125</v>
      </c>
      <c r="H24" s="19">
        <v>5000000</v>
      </c>
      <c r="I24" s="19">
        <v>5000000</v>
      </c>
      <c r="J24" s="19">
        <v>0</v>
      </c>
      <c r="K24" s="19">
        <v>0</v>
      </c>
      <c r="L24" s="19">
        <v>5000000</v>
      </c>
      <c r="M24" s="19">
        <v>5000000</v>
      </c>
      <c r="N24" s="19">
        <v>0</v>
      </c>
      <c r="O24" s="116">
        <v>0</v>
      </c>
      <c r="P24" s="14" t="s">
        <v>0</v>
      </c>
    </row>
    <row r="25" spans="1:16">
      <c r="A25" s="87">
        <v>25571</v>
      </c>
      <c r="B25" s="14" t="s">
        <v>90</v>
      </c>
      <c r="C25" s="14" t="s">
        <v>74</v>
      </c>
      <c r="D25" s="14"/>
      <c r="E25" s="14" t="s">
        <v>145</v>
      </c>
      <c r="F25" s="115">
        <v>48490</v>
      </c>
      <c r="G25" s="16" t="s">
        <v>125</v>
      </c>
      <c r="H25" s="19">
        <v>2500000</v>
      </c>
      <c r="I25" s="19">
        <v>2500000</v>
      </c>
      <c r="J25" s="19">
        <v>0</v>
      </c>
      <c r="K25" s="19">
        <v>0</v>
      </c>
      <c r="L25" s="19">
        <v>2500000</v>
      </c>
      <c r="M25" s="19">
        <v>2500000</v>
      </c>
      <c r="N25" s="19">
        <v>0</v>
      </c>
      <c r="O25" s="116">
        <v>0</v>
      </c>
      <c r="P25" s="14" t="s">
        <v>0</v>
      </c>
    </row>
    <row r="26" spans="1:16">
      <c r="A26" s="87">
        <v>3955</v>
      </c>
      <c r="B26" s="14" t="s">
        <v>86</v>
      </c>
      <c r="C26" s="14" t="s">
        <v>80</v>
      </c>
      <c r="D26" s="14" t="s">
        <v>87</v>
      </c>
      <c r="E26" s="14" t="s">
        <v>145</v>
      </c>
      <c r="F26" s="115">
        <v>47241</v>
      </c>
      <c r="G26" s="16" t="s">
        <v>125</v>
      </c>
      <c r="H26" s="19">
        <v>2431438.44</v>
      </c>
      <c r="I26" s="19">
        <v>2431438.44</v>
      </c>
      <c r="J26" s="19">
        <v>0</v>
      </c>
      <c r="K26" s="19">
        <v>0</v>
      </c>
      <c r="L26" s="19">
        <v>2431438.44</v>
      </c>
      <c r="M26" s="19">
        <v>2431438.44</v>
      </c>
      <c r="N26" s="19">
        <v>0</v>
      </c>
      <c r="O26" s="116">
        <v>0</v>
      </c>
      <c r="P26" s="14" t="s">
        <v>0</v>
      </c>
    </row>
    <row r="27" spans="1:16">
      <c r="A27" s="87">
        <v>9497</v>
      </c>
      <c r="B27" s="14" t="s">
        <v>106</v>
      </c>
      <c r="C27" s="14" t="s">
        <v>74</v>
      </c>
      <c r="D27" s="14" t="s">
        <v>107</v>
      </c>
      <c r="E27" s="14" t="s">
        <v>145</v>
      </c>
      <c r="F27" s="115">
        <v>47787</v>
      </c>
      <c r="G27" s="16" t="s">
        <v>125</v>
      </c>
      <c r="H27" s="19">
        <v>1985375</v>
      </c>
      <c r="I27" s="19">
        <v>1985375</v>
      </c>
      <c r="J27" s="19">
        <v>0</v>
      </c>
      <c r="K27" s="19">
        <v>0</v>
      </c>
      <c r="L27" s="19">
        <v>1985375</v>
      </c>
      <c r="M27" s="19">
        <v>1985375</v>
      </c>
      <c r="N27" s="19">
        <v>0</v>
      </c>
      <c r="O27" s="116">
        <v>0</v>
      </c>
      <c r="P27" s="14" t="s">
        <v>0</v>
      </c>
    </row>
    <row r="28" spans="1:16">
      <c r="A28" s="117" t="s">
        <v>0</v>
      </c>
      <c r="B28" s="117" t="s">
        <v>0</v>
      </c>
      <c r="C28" s="117" t="s">
        <v>0</v>
      </c>
      <c r="D28" s="117" t="s">
        <v>0</v>
      </c>
      <c r="E28" s="117" t="s">
        <v>0</v>
      </c>
      <c r="F28" s="117" t="s">
        <v>0</v>
      </c>
      <c r="G28" s="118" t="s">
        <v>0</v>
      </c>
      <c r="H28" s="117" t="s">
        <v>0</v>
      </c>
      <c r="I28" s="117" t="s">
        <v>0</v>
      </c>
      <c r="J28" s="117" t="s">
        <v>0</v>
      </c>
      <c r="K28" s="117" t="s">
        <v>0</v>
      </c>
      <c r="L28" s="117" t="s">
        <v>0</v>
      </c>
      <c r="M28" s="117" t="s">
        <v>0</v>
      </c>
      <c r="N28" s="117" t="s">
        <v>0</v>
      </c>
      <c r="O28" s="117" t="s">
        <v>0</v>
      </c>
      <c r="P28" s="7" t="s">
        <v>0</v>
      </c>
    </row>
  </sheetData>
  <mergeCells count="2">
    <mergeCell ref="A2:B7"/>
    <mergeCell ref="A8:B8"/>
  </mergeCells>
  <pageMargins left="1" right="1" top="1" bottom="1.45" header="1" footer="1"/>
  <pageSetup orientation="portrait" horizontalDpi="300" verticalDpi="300"/>
  <headerFooter alignWithMargins="0">
    <oddFooter>&amp;C&amp;"Segoe UI,Regular"&amp;10 11/18/2025 7:09:18 PM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4"/>
  <sheetViews>
    <sheetView showGridLines="0" zoomScale="85" workbookViewId="0"/>
  </sheetViews>
  <sheetFormatPr defaultRowHeight="15"/>
  <cols>
    <col min="1" max="1" width="10.42578125" customWidth="1"/>
    <col min="2" max="2" width="10.28515625" customWidth="1"/>
    <col min="3" max="4" width="35.42578125" customWidth="1"/>
    <col min="5" max="5" width="12.7109375" customWidth="1"/>
    <col min="6" max="6" width="13.85546875" customWidth="1"/>
    <col min="7" max="8" width="14.42578125" customWidth="1"/>
    <col min="9" max="9" width="14" customWidth="1"/>
    <col min="10" max="10" width="14.85546875" customWidth="1"/>
    <col min="11" max="11" width="20" customWidth="1"/>
    <col min="12" max="12" width="20.42578125" customWidth="1"/>
    <col min="13" max="13" width="22.5703125" customWidth="1"/>
    <col min="14" max="14" width="11.28515625" customWidth="1"/>
    <col min="15" max="15" width="12.7109375" customWidth="1"/>
    <col min="16" max="35" width="22.42578125" customWidth="1"/>
    <col min="36" max="37" width="13.7109375" customWidth="1"/>
    <col min="38" max="38" width="11.5703125" customWidth="1"/>
    <col min="39" max="39" width="6.140625" customWidth="1"/>
  </cols>
  <sheetData>
    <row r="1" spans="1:37" ht="18" customHeight="1">
      <c r="A1" s="171"/>
      <c r="B1" s="171"/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119" t="s">
        <v>0</v>
      </c>
      <c r="M1" s="119" t="s">
        <v>0</v>
      </c>
      <c r="N1" s="119" t="s">
        <v>0</v>
      </c>
      <c r="O1" s="120" t="s">
        <v>0</v>
      </c>
      <c r="P1" s="120" t="s">
        <v>0</v>
      </c>
      <c r="Q1" s="120" t="s">
        <v>0</v>
      </c>
      <c r="R1" s="120" t="s">
        <v>0</v>
      </c>
      <c r="S1" s="119" t="s">
        <v>0</v>
      </c>
      <c r="T1" s="119" t="s">
        <v>0</v>
      </c>
      <c r="U1" s="119" t="s">
        <v>0</v>
      </c>
      <c r="V1" s="119" t="s">
        <v>0</v>
      </c>
      <c r="W1" s="119" t="s">
        <v>0</v>
      </c>
      <c r="X1" s="167" t="s">
        <v>0</v>
      </c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21" t="s">
        <v>0</v>
      </c>
    </row>
    <row r="2" spans="1:37" ht="18" customHeight="1">
      <c r="A2" s="171"/>
      <c r="B2" s="171"/>
      <c r="C2" s="3" t="s">
        <v>0</v>
      </c>
      <c r="D2" s="119" t="s">
        <v>0</v>
      </c>
      <c r="E2" s="119" t="s">
        <v>0</v>
      </c>
      <c r="F2" s="119" t="s">
        <v>0</v>
      </c>
      <c r="G2" s="119" t="s">
        <v>0</v>
      </c>
      <c r="H2" s="119" t="s">
        <v>0</v>
      </c>
      <c r="I2" s="119" t="s">
        <v>0</v>
      </c>
      <c r="J2" s="119" t="s">
        <v>0</v>
      </c>
      <c r="K2" s="119" t="s">
        <v>0</v>
      </c>
      <c r="L2" s="119" t="s">
        <v>0</v>
      </c>
      <c r="M2" s="119" t="s">
        <v>0</v>
      </c>
      <c r="N2" s="119" t="s">
        <v>0</v>
      </c>
      <c r="O2" s="120" t="s">
        <v>0</v>
      </c>
      <c r="P2" s="120" t="s">
        <v>0</v>
      </c>
      <c r="Q2" s="120" t="s">
        <v>0</v>
      </c>
      <c r="R2" s="120" t="s">
        <v>0</v>
      </c>
      <c r="S2" s="119" t="s">
        <v>0</v>
      </c>
      <c r="T2" s="119" t="s">
        <v>0</v>
      </c>
      <c r="U2" s="119" t="s">
        <v>0</v>
      </c>
      <c r="V2" s="119" t="s">
        <v>0</v>
      </c>
      <c r="W2" s="119" t="s">
        <v>0</v>
      </c>
      <c r="X2" s="167" t="s">
        <v>0</v>
      </c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21" t="s">
        <v>0</v>
      </c>
    </row>
    <row r="3" spans="1:37" ht="18" customHeight="1">
      <c r="A3" s="171"/>
      <c r="B3" s="171"/>
      <c r="C3" s="3" t="s">
        <v>0</v>
      </c>
      <c r="D3" s="119" t="s">
        <v>0</v>
      </c>
      <c r="E3" s="119" t="s">
        <v>0</v>
      </c>
      <c r="F3" s="119" t="s">
        <v>0</v>
      </c>
      <c r="G3" s="119" t="s">
        <v>0</v>
      </c>
      <c r="H3" s="119" t="s">
        <v>0</v>
      </c>
      <c r="I3" s="119" t="s">
        <v>0</v>
      </c>
      <c r="J3" s="119" t="s">
        <v>0</v>
      </c>
      <c r="K3" s="119" t="s">
        <v>0</v>
      </c>
      <c r="L3" s="119" t="s">
        <v>0</v>
      </c>
      <c r="M3" s="119" t="s">
        <v>0</v>
      </c>
      <c r="N3" s="119" t="s">
        <v>0</v>
      </c>
      <c r="O3" s="120" t="s">
        <v>0</v>
      </c>
      <c r="P3" s="120" t="s">
        <v>0</v>
      </c>
      <c r="Q3" s="120" t="s">
        <v>0</v>
      </c>
      <c r="R3" s="120" t="s">
        <v>0</v>
      </c>
      <c r="S3" s="119" t="s">
        <v>0</v>
      </c>
      <c r="T3" s="119" t="s">
        <v>0</v>
      </c>
      <c r="U3" s="119" t="s">
        <v>0</v>
      </c>
      <c r="V3" s="119" t="s">
        <v>0</v>
      </c>
      <c r="W3" s="119" t="s">
        <v>0</v>
      </c>
      <c r="X3" s="168" t="s">
        <v>0</v>
      </c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21" t="s">
        <v>0</v>
      </c>
    </row>
    <row r="4" spans="1:37" ht="18" customHeight="1">
      <c r="A4" s="171"/>
      <c r="B4" s="171"/>
      <c r="C4" s="3" t="s">
        <v>0</v>
      </c>
      <c r="N4" s="122" t="s">
        <v>0</v>
      </c>
      <c r="S4" s="122" t="s">
        <v>0</v>
      </c>
      <c r="T4" s="119" t="s">
        <v>0</v>
      </c>
      <c r="V4" s="122" t="s">
        <v>0</v>
      </c>
      <c r="W4" s="122" t="s">
        <v>0</v>
      </c>
      <c r="X4" s="169" t="s">
        <v>150</v>
      </c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70"/>
      <c r="AJ4" s="123" t="s">
        <v>0</v>
      </c>
    </row>
    <row r="5" spans="1:37">
      <c r="D5" s="124" t="s">
        <v>0</v>
      </c>
      <c r="E5" s="124" t="s">
        <v>0</v>
      </c>
      <c r="F5" s="124" t="s">
        <v>0</v>
      </c>
      <c r="G5" s="124" t="s">
        <v>0</v>
      </c>
      <c r="H5" s="124" t="s">
        <v>0</v>
      </c>
      <c r="I5" s="124" t="s">
        <v>0</v>
      </c>
      <c r="J5" s="124" t="s">
        <v>0</v>
      </c>
      <c r="K5" s="124" t="s">
        <v>0</v>
      </c>
      <c r="L5" s="124" t="s">
        <v>0</v>
      </c>
      <c r="M5" s="124" t="s">
        <v>0</v>
      </c>
      <c r="N5" s="125" t="s">
        <v>125</v>
      </c>
      <c r="O5" s="126" t="s">
        <v>0</v>
      </c>
      <c r="P5" s="126" t="s">
        <v>0</v>
      </c>
      <c r="Q5" s="126" t="s">
        <v>0</v>
      </c>
      <c r="R5" s="126" t="s">
        <v>0</v>
      </c>
      <c r="S5" s="127">
        <v>8762000</v>
      </c>
      <c r="T5" s="124" t="s">
        <v>0</v>
      </c>
      <c r="U5" s="124" t="s">
        <v>0</v>
      </c>
      <c r="V5" s="128">
        <v>-8714975</v>
      </c>
      <c r="W5" s="129">
        <v>0</v>
      </c>
      <c r="X5" s="130">
        <v>0</v>
      </c>
      <c r="Y5" s="131">
        <v>-8714975</v>
      </c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3" t="s">
        <v>0</v>
      </c>
    </row>
    <row r="6" spans="1:37">
      <c r="D6" s="124" t="s">
        <v>0</v>
      </c>
      <c r="E6" s="124" t="s">
        <v>0</v>
      </c>
      <c r="F6" s="124" t="s">
        <v>0</v>
      </c>
      <c r="G6" s="124" t="s">
        <v>0</v>
      </c>
      <c r="H6" s="124" t="s">
        <v>0</v>
      </c>
      <c r="I6" s="124" t="s">
        <v>0</v>
      </c>
      <c r="J6" s="124" t="s">
        <v>0</v>
      </c>
      <c r="K6" s="124" t="s">
        <v>0</v>
      </c>
      <c r="L6" s="124" t="s">
        <v>0</v>
      </c>
      <c r="M6" s="124" t="s">
        <v>0</v>
      </c>
      <c r="N6" s="125" t="s">
        <v>136</v>
      </c>
      <c r="O6" s="126" t="s">
        <v>0</v>
      </c>
      <c r="P6" s="126" t="s">
        <v>0</v>
      </c>
      <c r="Q6" s="126" t="s">
        <v>0</v>
      </c>
      <c r="R6" s="126" t="s">
        <v>0</v>
      </c>
      <c r="S6" s="127">
        <v>0</v>
      </c>
      <c r="T6" s="124" t="s">
        <v>0</v>
      </c>
      <c r="U6" s="124" t="s">
        <v>0</v>
      </c>
      <c r="V6" s="128">
        <v>0</v>
      </c>
      <c r="W6" s="129">
        <v>0</v>
      </c>
      <c r="X6" s="132"/>
      <c r="Y6" s="132"/>
      <c r="Z6" s="130">
        <v>0</v>
      </c>
      <c r="AA6" s="131">
        <v>0</v>
      </c>
      <c r="AB6" s="132"/>
      <c r="AC6" s="132"/>
      <c r="AD6" s="132"/>
      <c r="AE6" s="132"/>
      <c r="AF6" s="132"/>
      <c r="AG6" s="132"/>
      <c r="AH6" s="132"/>
      <c r="AI6" s="132"/>
      <c r="AJ6" s="133" t="s">
        <v>0</v>
      </c>
    </row>
    <row r="7" spans="1:37">
      <c r="D7" s="124" t="s">
        <v>0</v>
      </c>
      <c r="E7" s="124" t="s">
        <v>0</v>
      </c>
      <c r="F7" s="124" t="s">
        <v>0</v>
      </c>
      <c r="G7" s="124" t="s">
        <v>0</v>
      </c>
      <c r="H7" s="124" t="s">
        <v>0</v>
      </c>
      <c r="I7" s="124" t="s">
        <v>0</v>
      </c>
      <c r="J7" s="124" t="s">
        <v>0</v>
      </c>
      <c r="K7" s="124" t="s">
        <v>0</v>
      </c>
      <c r="L7" s="124" t="s">
        <v>0</v>
      </c>
      <c r="M7" s="124" t="s">
        <v>0</v>
      </c>
      <c r="N7" s="125" t="s">
        <v>137</v>
      </c>
      <c r="O7" s="126" t="s">
        <v>0</v>
      </c>
      <c r="P7" s="126" t="s">
        <v>0</v>
      </c>
      <c r="Q7" s="126" t="s">
        <v>0</v>
      </c>
      <c r="R7" s="126" t="s">
        <v>0</v>
      </c>
      <c r="S7" s="127">
        <v>0</v>
      </c>
      <c r="T7" s="124" t="s">
        <v>0</v>
      </c>
      <c r="U7" s="124" t="s">
        <v>0</v>
      </c>
      <c r="V7" s="128">
        <v>0</v>
      </c>
      <c r="W7" s="129">
        <v>0</v>
      </c>
      <c r="X7" s="132"/>
      <c r="Y7" s="132"/>
      <c r="Z7" s="132"/>
      <c r="AA7" s="132"/>
      <c r="AB7" s="130">
        <v>0</v>
      </c>
      <c r="AC7" s="131">
        <v>0</v>
      </c>
      <c r="AD7" s="132"/>
      <c r="AE7" s="132"/>
      <c r="AF7" s="132"/>
      <c r="AG7" s="132"/>
      <c r="AH7" s="132"/>
      <c r="AI7" s="132"/>
      <c r="AJ7" s="133" t="s">
        <v>0</v>
      </c>
    </row>
    <row r="8" spans="1:37">
      <c r="D8" s="124" t="s">
        <v>0</v>
      </c>
      <c r="E8" s="124" t="s">
        <v>0</v>
      </c>
      <c r="F8" s="124" t="s">
        <v>0</v>
      </c>
      <c r="G8" s="124" t="s">
        <v>0</v>
      </c>
      <c r="H8" s="124" t="s">
        <v>0</v>
      </c>
      <c r="I8" s="124" t="s">
        <v>0</v>
      </c>
      <c r="J8" s="124" t="s">
        <v>0</v>
      </c>
      <c r="K8" s="124" t="s">
        <v>0</v>
      </c>
      <c r="L8" s="124" t="s">
        <v>0</v>
      </c>
      <c r="M8" s="124" t="s">
        <v>0</v>
      </c>
      <c r="N8" s="125" t="s">
        <v>138</v>
      </c>
      <c r="O8" s="126" t="s">
        <v>0</v>
      </c>
      <c r="P8" s="126" t="s">
        <v>0</v>
      </c>
      <c r="Q8" s="126" t="s">
        <v>0</v>
      </c>
      <c r="R8" s="126" t="s">
        <v>0</v>
      </c>
      <c r="S8" s="127">
        <v>0</v>
      </c>
      <c r="T8" s="124" t="s">
        <v>0</v>
      </c>
      <c r="U8" s="124" t="s">
        <v>0</v>
      </c>
      <c r="V8" s="128">
        <v>0</v>
      </c>
      <c r="W8" s="129">
        <v>0</v>
      </c>
      <c r="X8" s="132"/>
      <c r="Y8" s="132"/>
      <c r="Z8" s="132"/>
      <c r="AA8" s="132"/>
      <c r="AB8" s="132"/>
      <c r="AC8" s="132"/>
      <c r="AD8" s="130">
        <v>0</v>
      </c>
      <c r="AE8" s="131">
        <v>0</v>
      </c>
      <c r="AF8" s="132"/>
      <c r="AG8" s="132"/>
      <c r="AH8" s="132"/>
      <c r="AI8" s="132"/>
      <c r="AJ8" s="133" t="s">
        <v>0</v>
      </c>
    </row>
    <row r="9" spans="1:37">
      <c r="D9" s="124" t="s">
        <v>0</v>
      </c>
      <c r="E9" s="124" t="s">
        <v>0</v>
      </c>
      <c r="F9" s="124" t="s">
        <v>0</v>
      </c>
      <c r="G9" s="124" t="s">
        <v>0</v>
      </c>
      <c r="H9" s="124" t="s">
        <v>0</v>
      </c>
      <c r="I9" s="124" t="s">
        <v>0</v>
      </c>
      <c r="J9" s="124" t="s">
        <v>0</v>
      </c>
      <c r="K9" s="124" t="s">
        <v>0</v>
      </c>
      <c r="L9" s="124" t="s">
        <v>0</v>
      </c>
      <c r="M9" s="124" t="s">
        <v>0</v>
      </c>
      <c r="N9" s="125" t="s">
        <v>139</v>
      </c>
      <c r="O9" s="126" t="s">
        <v>0</v>
      </c>
      <c r="P9" s="126" t="s">
        <v>0</v>
      </c>
      <c r="Q9" s="126" t="s">
        <v>0</v>
      </c>
      <c r="R9" s="126" t="s">
        <v>0</v>
      </c>
      <c r="S9" s="127">
        <v>0</v>
      </c>
      <c r="T9" s="124" t="s">
        <v>0</v>
      </c>
      <c r="U9" s="124" t="s">
        <v>0</v>
      </c>
      <c r="V9" s="128">
        <v>0</v>
      </c>
      <c r="W9" s="129">
        <v>0</v>
      </c>
      <c r="X9" s="132"/>
      <c r="Y9" s="132"/>
      <c r="Z9" s="132"/>
      <c r="AA9" s="132"/>
      <c r="AB9" s="132"/>
      <c r="AC9" s="132"/>
      <c r="AD9" s="132"/>
      <c r="AE9" s="132"/>
      <c r="AF9" s="130">
        <v>0</v>
      </c>
      <c r="AG9" s="131">
        <v>0</v>
      </c>
      <c r="AH9" s="132"/>
      <c r="AI9" s="132"/>
      <c r="AJ9" s="133" t="s">
        <v>0</v>
      </c>
    </row>
    <row r="10" spans="1:37">
      <c r="A10" s="139" t="s">
        <v>151</v>
      </c>
      <c r="B10" s="171"/>
      <c r="C10" s="171"/>
      <c r="D10" s="124" t="s">
        <v>0</v>
      </c>
      <c r="E10" s="124" t="s">
        <v>0</v>
      </c>
      <c r="F10" s="124" t="s">
        <v>0</v>
      </c>
      <c r="G10" s="124" t="s">
        <v>0</v>
      </c>
      <c r="H10" s="124" t="s">
        <v>0</v>
      </c>
      <c r="I10" s="124" t="s">
        <v>0</v>
      </c>
      <c r="J10" s="124" t="s">
        <v>0</v>
      </c>
      <c r="K10" s="124" t="s">
        <v>0</v>
      </c>
      <c r="L10" s="124" t="s">
        <v>0</v>
      </c>
      <c r="M10" s="124" t="s">
        <v>0</v>
      </c>
      <c r="N10" s="125" t="s">
        <v>140</v>
      </c>
      <c r="O10" s="126" t="s">
        <v>0</v>
      </c>
      <c r="P10" s="126" t="s">
        <v>0</v>
      </c>
      <c r="Q10" s="126" t="s">
        <v>0</v>
      </c>
      <c r="R10" s="126" t="s">
        <v>0</v>
      </c>
      <c r="S10" s="127">
        <v>0</v>
      </c>
      <c r="T10" s="124" t="s">
        <v>0</v>
      </c>
      <c r="U10" s="124" t="s">
        <v>0</v>
      </c>
      <c r="V10" s="128">
        <v>0</v>
      </c>
      <c r="W10" s="129">
        <v>0</v>
      </c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0">
        <v>0</v>
      </c>
      <c r="AI10" s="131">
        <v>0</v>
      </c>
      <c r="AJ10" s="133" t="s">
        <v>0</v>
      </c>
    </row>
    <row r="11" spans="1:37" ht="47.25">
      <c r="A11" s="134" t="s">
        <v>152</v>
      </c>
      <c r="B11" s="134" t="s">
        <v>121</v>
      </c>
      <c r="C11" s="134" t="s">
        <v>57</v>
      </c>
      <c r="D11" s="134" t="s">
        <v>58</v>
      </c>
      <c r="E11" s="134" t="s">
        <v>143</v>
      </c>
      <c r="F11" s="134" t="s">
        <v>59</v>
      </c>
      <c r="G11" s="134" t="s">
        <v>56</v>
      </c>
      <c r="H11" s="134" t="s">
        <v>153</v>
      </c>
      <c r="I11" s="134" t="s">
        <v>154</v>
      </c>
      <c r="J11" s="134" t="s">
        <v>155</v>
      </c>
      <c r="K11" s="134" t="s">
        <v>156</v>
      </c>
      <c r="L11" s="134" t="s">
        <v>157</v>
      </c>
      <c r="M11" s="134" t="s">
        <v>158</v>
      </c>
      <c r="N11" s="134" t="s">
        <v>5</v>
      </c>
      <c r="O11" s="134" t="s">
        <v>159</v>
      </c>
      <c r="P11" s="134" t="s">
        <v>160</v>
      </c>
      <c r="Q11" s="134" t="s">
        <v>161</v>
      </c>
      <c r="R11" s="134" t="s">
        <v>162</v>
      </c>
      <c r="S11" s="134" t="s">
        <v>163</v>
      </c>
      <c r="T11" s="134" t="s">
        <v>164</v>
      </c>
      <c r="U11" s="134" t="s">
        <v>165</v>
      </c>
      <c r="V11" s="134" t="s">
        <v>166</v>
      </c>
      <c r="W11" s="135" t="s">
        <v>167</v>
      </c>
      <c r="X11" s="134" t="s">
        <v>16</v>
      </c>
      <c r="Y11" s="134" t="s">
        <v>17</v>
      </c>
      <c r="Z11" s="134" t="s">
        <v>19</v>
      </c>
      <c r="AA11" s="134" t="s">
        <v>21</v>
      </c>
      <c r="AB11" s="134" t="s">
        <v>23</v>
      </c>
      <c r="AC11" s="134" t="s">
        <v>25</v>
      </c>
      <c r="AD11" s="134" t="s">
        <v>27</v>
      </c>
      <c r="AE11" s="134" t="s">
        <v>29</v>
      </c>
      <c r="AF11" s="134" t="s">
        <v>31</v>
      </c>
      <c r="AG11" s="134" t="s">
        <v>33</v>
      </c>
      <c r="AH11" s="134" t="s">
        <v>35</v>
      </c>
      <c r="AI11" s="134" t="s">
        <v>37</v>
      </c>
      <c r="AJ11" s="136" t="s">
        <v>0</v>
      </c>
    </row>
    <row r="12" spans="1:37" ht="14.45" customHeight="1">
      <c r="A12" s="14">
        <v>47104</v>
      </c>
      <c r="B12" s="14">
        <v>27237</v>
      </c>
      <c r="C12" s="14" t="s">
        <v>146</v>
      </c>
      <c r="D12" s="14" t="s">
        <v>80</v>
      </c>
      <c r="E12" s="14" t="s">
        <v>145</v>
      </c>
      <c r="F12" s="14"/>
      <c r="G12" s="115">
        <v>45961</v>
      </c>
      <c r="H12" s="115">
        <v>45973</v>
      </c>
      <c r="I12" s="14" t="s">
        <v>168</v>
      </c>
      <c r="J12" s="14" t="s">
        <v>169</v>
      </c>
      <c r="K12" s="14"/>
      <c r="L12" s="14"/>
      <c r="M12" s="14" t="s">
        <v>170</v>
      </c>
      <c r="N12" s="14" t="s">
        <v>125</v>
      </c>
      <c r="O12" s="137">
        <v>98.75</v>
      </c>
      <c r="P12" s="19">
        <v>3762000</v>
      </c>
      <c r="Q12" s="19">
        <v>3762000</v>
      </c>
      <c r="R12" s="19">
        <v>0</v>
      </c>
      <c r="S12" s="19">
        <v>3762000</v>
      </c>
      <c r="T12" s="19">
        <v>3762000</v>
      </c>
      <c r="U12" s="19">
        <v>0</v>
      </c>
      <c r="V12" s="19">
        <v>-3714975</v>
      </c>
      <c r="W12" s="44">
        <v>0</v>
      </c>
      <c r="X12" s="19">
        <v>0</v>
      </c>
      <c r="Y12" s="19">
        <v>-3714975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42" t="s">
        <v>0</v>
      </c>
      <c r="AK12" s="14" t="s">
        <v>0</v>
      </c>
    </row>
    <row r="13" spans="1:37" ht="14.45" customHeight="1">
      <c r="A13" s="14">
        <v>47356</v>
      </c>
      <c r="B13" s="14">
        <v>23253</v>
      </c>
      <c r="C13" s="14" t="s">
        <v>147</v>
      </c>
      <c r="D13" s="14" t="s">
        <v>148</v>
      </c>
      <c r="E13" s="14" t="s">
        <v>145</v>
      </c>
      <c r="F13" s="14" t="s">
        <v>149</v>
      </c>
      <c r="G13" s="115">
        <v>45961</v>
      </c>
      <c r="H13" s="115">
        <v>45973</v>
      </c>
      <c r="I13" s="14" t="s">
        <v>168</v>
      </c>
      <c r="J13" s="14" t="s">
        <v>169</v>
      </c>
      <c r="K13" s="14"/>
      <c r="L13" s="14"/>
      <c r="M13" s="14" t="s">
        <v>171</v>
      </c>
      <c r="N13" s="14" t="s">
        <v>125</v>
      </c>
      <c r="O13" s="137">
        <v>100</v>
      </c>
      <c r="P13" s="19">
        <v>5000000</v>
      </c>
      <c r="Q13" s="19">
        <v>5000000</v>
      </c>
      <c r="R13" s="19">
        <v>0</v>
      </c>
      <c r="S13" s="19">
        <v>5000000</v>
      </c>
      <c r="T13" s="19">
        <v>5000000</v>
      </c>
      <c r="U13" s="19">
        <v>0</v>
      </c>
      <c r="V13" s="19">
        <v>-5000000</v>
      </c>
      <c r="W13" s="44">
        <v>0</v>
      </c>
      <c r="X13" s="19">
        <v>0</v>
      </c>
      <c r="Y13" s="19">
        <v>-5000000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42" t="s">
        <v>0</v>
      </c>
      <c r="AK13" s="14" t="s">
        <v>0</v>
      </c>
    </row>
    <row r="14" spans="1:37">
      <c r="A14" s="138" t="s">
        <v>0</v>
      </c>
      <c r="B14" s="138" t="s">
        <v>0</v>
      </c>
      <c r="C14" s="138" t="s">
        <v>0</v>
      </c>
      <c r="D14" s="138" t="s">
        <v>0</v>
      </c>
      <c r="E14" s="138" t="s">
        <v>0</v>
      </c>
      <c r="F14" s="138" t="s">
        <v>0</v>
      </c>
      <c r="G14" s="138" t="s">
        <v>0</v>
      </c>
      <c r="H14" s="138" t="s">
        <v>0</v>
      </c>
      <c r="I14" s="138" t="s">
        <v>0</v>
      </c>
      <c r="J14" s="138" t="s">
        <v>0</v>
      </c>
      <c r="K14" s="138" t="s">
        <v>0</v>
      </c>
      <c r="L14" s="138" t="s">
        <v>0</v>
      </c>
      <c r="M14" s="138" t="s">
        <v>0</v>
      </c>
      <c r="N14" s="138" t="s">
        <v>0</v>
      </c>
      <c r="O14" s="138" t="s">
        <v>0</v>
      </c>
      <c r="P14" s="138" t="s">
        <v>0</v>
      </c>
      <c r="Q14" s="138" t="s">
        <v>0</v>
      </c>
      <c r="R14" s="138" t="s">
        <v>0</v>
      </c>
      <c r="S14" s="138" t="s">
        <v>0</v>
      </c>
      <c r="T14" s="138" t="s">
        <v>0</v>
      </c>
      <c r="U14" s="138" t="s">
        <v>0</v>
      </c>
      <c r="V14" s="138" t="s">
        <v>0</v>
      </c>
      <c r="W14" s="138" t="s">
        <v>0</v>
      </c>
      <c r="X14" s="138" t="s">
        <v>0</v>
      </c>
      <c r="Y14" s="138" t="s">
        <v>0</v>
      </c>
      <c r="Z14" s="138" t="s">
        <v>0</v>
      </c>
      <c r="AA14" s="138" t="s">
        <v>0</v>
      </c>
      <c r="AB14" s="138" t="s">
        <v>0</v>
      </c>
      <c r="AC14" s="138" t="s">
        <v>0</v>
      </c>
      <c r="AD14" s="138" t="s">
        <v>0</v>
      </c>
      <c r="AE14" s="138" t="s">
        <v>0</v>
      </c>
      <c r="AF14" s="138" t="s">
        <v>0</v>
      </c>
      <c r="AG14" s="138" t="s">
        <v>0</v>
      </c>
      <c r="AH14" s="138" t="s">
        <v>0</v>
      </c>
      <c r="AI14" s="138" t="s">
        <v>0</v>
      </c>
      <c r="AK14" s="124" t="s">
        <v>0</v>
      </c>
    </row>
  </sheetData>
  <mergeCells count="6">
    <mergeCell ref="A10:C10"/>
    <mergeCell ref="A1:B4"/>
    <mergeCell ref="X1:AI1"/>
    <mergeCell ref="X2:AI2"/>
    <mergeCell ref="X3:AI3"/>
    <mergeCell ref="X4:AI4"/>
  </mergeCells>
  <pageMargins left="1" right="1" top="1" bottom="1.45" header="1" footer="1"/>
  <pageSetup orientation="portrait" horizontalDpi="300" verticalDpi="300"/>
  <headerFooter alignWithMargins="0">
    <oddFooter>&amp;L&amp;"Segoe UI,Regular"&amp;10 11/18/2025 7:09:18 PM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6C0B0299502459BE057F60D45F7A2" ma:contentTypeVersion="17" ma:contentTypeDescription="Create a new document." ma:contentTypeScope="" ma:versionID="6e23d62fb7150e11f984414b68c1227b">
  <xsd:schema xmlns:xsd="http://www.w3.org/2001/XMLSchema" xmlns:xs="http://www.w3.org/2001/XMLSchema" xmlns:p="http://schemas.microsoft.com/office/2006/metadata/properties" xmlns:ns2="ecf2865c-a0c0-4830-9c97-c878b24eefc5" xmlns:ns3="0c3f3349-3fde-44b2-91dd-1461469ae59c" targetNamespace="http://schemas.microsoft.com/office/2006/metadata/properties" ma:root="true" ma:fieldsID="a90d4b92e403bde2b0b8c8a97853fd2e" ns2:_="" ns3:_="">
    <xsd:import namespace="ecf2865c-a0c0-4830-9c97-c878b24eefc5"/>
    <xsd:import namespace="0c3f3349-3fde-44b2-91dd-1461469ae5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2865c-a0c0-4830-9c97-c878b24eef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4104d38-e8e4-4984-a0bc-6afa79dcdd70}" ma:internalName="TaxCatchAll" ma:showField="CatchAllData" ma:web="ecf2865c-a0c0-4830-9c97-c878b24ee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f3349-3fde-44b2-91dd-1461469ae5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36efef-33c7-4880-a5c8-aa8024ac5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3f3349-3fde-44b2-91dd-1461469ae59c">
      <Terms xmlns="http://schemas.microsoft.com/office/infopath/2007/PartnerControls"/>
    </lcf76f155ced4ddcb4097134ff3c332f>
    <_Flow_SignoffStatus xmlns="0c3f3349-3fde-44b2-91dd-1461469ae59c" xsi:nil="true"/>
    <TaxCatchAll xmlns="ecf2865c-a0c0-4830-9c97-c878b24eefc5" xsi:nil="true"/>
  </documentManagement>
</p:properties>
</file>

<file path=customXml/itemProps1.xml><?xml version="1.0" encoding="utf-8"?>
<ds:datastoreItem xmlns:ds="http://schemas.openxmlformats.org/officeDocument/2006/customXml" ds:itemID="{348FFF71-28E9-44D5-8D79-482935CC3D10}"/>
</file>

<file path=customXml/itemProps2.xml><?xml version="1.0" encoding="utf-8"?>
<ds:datastoreItem xmlns:ds="http://schemas.openxmlformats.org/officeDocument/2006/customXml" ds:itemID="{6E1EFAD3-405F-4758-A807-F6FD53C87E65}"/>
</file>

<file path=customXml/itemProps3.xml><?xml version="1.0" encoding="utf-8"?>
<ds:datastoreItem xmlns:ds="http://schemas.openxmlformats.org/officeDocument/2006/customXml" ds:itemID="{EEC3198B-6E2B-49CE-BC3B-BC9EB165B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Jakob Martino</dc:creator>
  <cp:keywords/>
  <dc:description/>
  <cp:lastModifiedBy/>
  <cp:revision/>
  <dcterms:created xsi:type="dcterms:W3CDTF">2025-11-19T20:55:51Z</dcterms:created>
  <dcterms:modified xsi:type="dcterms:W3CDTF">2026-07-06T11:25:44Z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94f5a0-bec6-4169-b07a-78e4c0c21507_Enabled">
    <vt:lpwstr>true</vt:lpwstr>
  </property>
  <property fmtid="{D5CDD505-2E9C-101B-9397-08002B2CF9AE}" pid="3" name="MSIP_Label_a794f5a0-bec6-4169-b07a-78e4c0c21507_SetDate">
    <vt:lpwstr>2025-11-18T19:10:18Z</vt:lpwstr>
  </property>
  <property fmtid="{D5CDD505-2E9C-101B-9397-08002B2CF9AE}" pid="4" name="MSIP_Label_a794f5a0-bec6-4169-b07a-78e4c0c21507_Method">
    <vt:lpwstr>Privileged</vt:lpwstr>
  </property>
  <property fmtid="{D5CDD505-2E9C-101B-9397-08002B2CF9AE}" pid="5" name="MSIP_Label_a794f5a0-bec6-4169-b07a-78e4c0c21507_Name">
    <vt:lpwstr>Internal</vt:lpwstr>
  </property>
  <property fmtid="{D5CDD505-2E9C-101B-9397-08002B2CF9AE}" pid="6" name="MSIP_Label_a794f5a0-bec6-4169-b07a-78e4c0c21507_SiteId">
    <vt:lpwstr>50c56ba2-8fca-42f4-8307-025e0d821d34</vt:lpwstr>
  </property>
  <property fmtid="{D5CDD505-2E9C-101B-9397-08002B2CF9AE}" pid="7" name="MSIP_Label_a794f5a0-bec6-4169-b07a-78e4c0c21507_ActionId">
    <vt:lpwstr>2dcd6c90-41db-4fd0-a3d2-00cd2fbe2e62</vt:lpwstr>
  </property>
  <property fmtid="{D5CDD505-2E9C-101B-9397-08002B2CF9AE}" pid="8" name="MSIP_Label_a794f5a0-bec6-4169-b07a-78e4c0c21507_ContentBits">
    <vt:lpwstr>0</vt:lpwstr>
  </property>
  <property fmtid="{D5CDD505-2E9C-101B-9397-08002B2CF9AE}" pid="9" name="ContentTypeId">
    <vt:lpwstr>0x010100E2D6C0B0299502459BE057F60D45F7A2</vt:lpwstr>
  </property>
  <property fmtid="{D5CDD505-2E9C-101B-9397-08002B2CF9AE}" pid="10" name="MediaServiceImageTags">
    <vt:lpwstr/>
  </property>
</Properties>
</file>